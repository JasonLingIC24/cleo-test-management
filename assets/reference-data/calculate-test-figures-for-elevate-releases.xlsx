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3.21 - v3.30" sheetId="1" r:id="rId4"/>
    <sheet state="visible" name="v3.31 - v3.40" sheetId="2" r:id="rId5"/>
    <sheet state="visible" name="Sheet2" sheetId="3" r:id="rId6"/>
  </sheets>
  <definedNames/>
  <calcPr/>
</workbook>
</file>

<file path=xl/sharedStrings.xml><?xml version="1.0" encoding="utf-8"?>
<sst xmlns="http://schemas.openxmlformats.org/spreadsheetml/2006/main" count="248" uniqueCount="32">
  <si>
    <t>Cypress</t>
  </si>
  <si>
    <t>total</t>
  </si>
  <si>
    <t>Pass</t>
  </si>
  <si>
    <t>Fail</t>
  </si>
  <si>
    <t>Pending</t>
  </si>
  <si>
    <t xml:space="preserve">Skipped </t>
  </si>
  <si>
    <t xml:space="preserve">Cypress Nightly </t>
  </si>
  <si>
    <t xml:space="preserve">Totals </t>
  </si>
  <si>
    <t>Cypress totals</t>
  </si>
  <si>
    <t>tests</t>
  </si>
  <si>
    <t>Skipped</t>
  </si>
  <si>
    <t>Backend</t>
  </si>
  <si>
    <t>Frontend</t>
  </si>
  <si>
    <t>Manual tests (- any marked cypress)</t>
  </si>
  <si>
    <t>passed</t>
  </si>
  <si>
    <t>failed</t>
  </si>
  <si>
    <t>n/a</t>
  </si>
  <si>
    <t xml:space="preserve">Total tests </t>
  </si>
  <si>
    <t>Passed</t>
  </si>
  <si>
    <t>deferred (n/a)</t>
  </si>
  <si>
    <t>Total</t>
  </si>
  <si>
    <t>Cypress Totals</t>
  </si>
  <si>
    <t>Tests</t>
  </si>
  <si>
    <t>Manual Tests
(minus total of 
marked cypress)</t>
  </si>
  <si>
    <t>Defects</t>
  </si>
  <si>
    <t>Raised</t>
  </si>
  <si>
    <t>Critical</t>
  </si>
  <si>
    <t>High</t>
  </si>
  <si>
    <t>Medium</t>
  </si>
  <si>
    <t xml:space="preserve">Low </t>
  </si>
  <si>
    <t xml:space="preserve">Open </t>
  </si>
  <si>
    <t xml:space="preserve">Fixed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</si>
</sst>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sz val="14.0"/>
      <color theme="1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b/>
      <color theme="1"/>
      <name val="Arial"/>
      <scheme val="minor"/>
    </font>
    <font>
      <color rgb="FF274E13"/>
      <name val="Arial"/>
      <scheme val="minor"/>
    </font>
    <font>
      <color rgb="FFFF0000"/>
      <name val="Arial"/>
      <scheme val="minor"/>
    </font>
    <font>
      <b/>
      <color rgb="FF274E13"/>
      <name val="Arial"/>
      <scheme val="minor"/>
    </font>
    <font>
      <b/>
      <color rgb="FFFF0000"/>
      <name val="Arial"/>
      <scheme val="minor"/>
    </font>
    <font>
      <b/>
      <color rgb="FFFF9900"/>
      <name val="Arial"/>
      <scheme val="minor"/>
    </font>
    <font>
      <color theme="1"/>
      <name val="Montserrat"/>
    </font>
    <font>
      <b/>
      <sz val="14.0"/>
      <color theme="1"/>
      <name val="Montserrat"/>
    </font>
    <font>
      <sz val="14.0"/>
      <color theme="1"/>
      <name val="Montserrat"/>
    </font>
    <font>
      <color rgb="FF6AA84F"/>
      <name val="Montserrat"/>
    </font>
    <font>
      <color rgb="FFFF0000"/>
      <name val="Montserrat"/>
    </font>
    <font>
      <color rgb="FFFF9900"/>
      <name val="Montserrat"/>
    </font>
    <font>
      <b/>
      <color theme="1"/>
      <name val="Montserrat"/>
    </font>
    <font>
      <b/>
      <color rgb="FF6AA84F"/>
      <name val="Montserrat"/>
    </font>
    <font>
      <b/>
      <color rgb="FFFF0000"/>
      <name val="Montserrat"/>
    </font>
    <font>
      <b/>
      <color rgb="FFFF9900"/>
      <name val="Montserrat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3">
    <border/>
    <border>
      <right style="medium">
        <color rgb="FF000000"/>
      </right>
    </border>
    <border>
      <left style="medium">
        <color rgb="FF000000"/>
      </left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2" fontId="3" numFmtId="0" xfId="0" applyFont="1"/>
    <xf borderId="0" fillId="2" fontId="6" numFmtId="0" xfId="0" applyAlignment="1" applyFont="1">
      <alignment readingOrder="0"/>
    </xf>
    <xf borderId="0" fillId="2" fontId="7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2" fontId="5" numFmtId="0" xfId="0" applyAlignment="1" applyFont="1">
      <alignment readingOrder="0"/>
    </xf>
    <xf borderId="0" fillId="2" fontId="5" numFmtId="0" xfId="0" applyFont="1"/>
    <xf borderId="0" fillId="0" fontId="5" numFmtId="0" xfId="0" applyFont="1"/>
    <xf borderId="0" fillId="2" fontId="8" numFmtId="0" xfId="0" applyAlignment="1" applyFont="1">
      <alignment readingOrder="0"/>
    </xf>
    <xf borderId="0" fillId="2" fontId="8" numFmtId="0" xfId="0" applyFont="1"/>
    <xf borderId="0" fillId="2" fontId="8" numFmtId="10" xfId="0" applyFont="1" applyNumberFormat="1"/>
    <xf borderId="0" fillId="2" fontId="9" numFmtId="0" xfId="0" applyFont="1"/>
    <xf borderId="0" fillId="2" fontId="9" numFmtId="0" xfId="0" applyAlignment="1" applyFont="1">
      <alignment readingOrder="0"/>
    </xf>
    <xf borderId="0" fillId="2" fontId="9" numFmtId="10" xfId="0" applyFont="1" applyNumberFormat="1"/>
    <xf borderId="0" fillId="2" fontId="10" numFmtId="0" xfId="0" applyAlignment="1" applyFont="1">
      <alignment readingOrder="0"/>
    </xf>
    <xf borderId="0" fillId="2" fontId="10" numFmtId="10" xfId="0" applyFont="1" applyNumberFormat="1"/>
    <xf borderId="0" fillId="2" fontId="10" numFmtId="0" xfId="0" applyFont="1"/>
    <xf borderId="0" fillId="0" fontId="3" numFmtId="0" xfId="0" applyAlignment="1" applyFont="1">
      <alignment horizontal="right" readingOrder="0"/>
    </xf>
    <xf borderId="0" fillId="0" fontId="11" numFmtId="0" xfId="0" applyFont="1"/>
    <xf borderId="0" fillId="0" fontId="12" numFmtId="0" xfId="0" applyAlignment="1" applyFont="1">
      <alignment horizontal="right" readingOrder="0"/>
    </xf>
    <xf borderId="1" fillId="0" fontId="11" numFmtId="0" xfId="0" applyBorder="1" applyFont="1"/>
    <xf borderId="2" fillId="0" fontId="11" numFmtId="0" xfId="0" applyBorder="1" applyFont="1"/>
    <xf borderId="0" fillId="0" fontId="12" numFmtId="4" xfId="0" applyAlignment="1" applyFont="1" applyNumberFormat="1">
      <alignment horizontal="right" readingOrder="0"/>
    </xf>
    <xf borderId="0" fillId="0" fontId="13" numFmtId="0" xfId="0" applyFont="1"/>
    <xf borderId="1" fillId="0" fontId="13" numFmtId="0" xfId="0" applyBorder="1" applyFont="1"/>
    <xf borderId="2" fillId="0" fontId="13" numFmtId="0" xfId="0" applyBorder="1" applyFont="1"/>
    <xf borderId="0" fillId="0" fontId="11" numFmtId="0" xfId="0" applyAlignment="1" applyFont="1">
      <alignment readingOrder="0"/>
    </xf>
    <xf borderId="0" fillId="0" fontId="11" numFmtId="0" xfId="0" applyAlignment="1" applyFont="1">
      <alignment horizontal="right" readingOrder="0"/>
    </xf>
    <xf borderId="2" fillId="0" fontId="11" numFmtId="0" xfId="0" applyAlignment="1" applyBorder="1" applyFont="1">
      <alignment readingOrder="0"/>
    </xf>
    <xf borderId="0" fillId="0" fontId="14" numFmtId="0" xfId="0" applyAlignment="1" applyFont="1">
      <alignment horizontal="right" readingOrder="0"/>
    </xf>
    <xf borderId="0" fillId="0" fontId="15" numFmtId="0" xfId="0" applyAlignment="1" applyFont="1">
      <alignment horizontal="right" readingOrder="0"/>
    </xf>
    <xf borderId="0" fillId="3" fontId="16" numFmtId="0" xfId="0" applyAlignment="1" applyFill="1" applyFont="1">
      <alignment horizontal="right" readingOrder="0"/>
    </xf>
    <xf borderId="0" fillId="3" fontId="11" numFmtId="0" xfId="0" applyAlignment="1" applyFont="1">
      <alignment horizontal="right" readingOrder="0"/>
    </xf>
    <xf borderId="0" fillId="3" fontId="14" numFmtId="0" xfId="0" applyAlignment="1" applyFont="1">
      <alignment horizontal="right" readingOrder="0"/>
    </xf>
    <xf borderId="0" fillId="3" fontId="15" numFmtId="0" xfId="0" applyAlignment="1" applyFont="1">
      <alignment horizontal="right" readingOrder="0"/>
    </xf>
    <xf borderId="0" fillId="0" fontId="11" numFmtId="0" xfId="0" applyAlignment="1" applyFont="1">
      <alignment horizontal="right"/>
    </xf>
    <xf borderId="0" fillId="0" fontId="17" numFmtId="0" xfId="0" applyAlignment="1" applyFont="1">
      <alignment readingOrder="0"/>
    </xf>
    <xf borderId="0" fillId="4" fontId="11" numFmtId="0" xfId="0" applyAlignment="1" applyFill="1" applyFont="1">
      <alignment readingOrder="0"/>
    </xf>
    <xf borderId="0" fillId="4" fontId="17" numFmtId="0" xfId="0" applyAlignment="1" applyFont="1">
      <alignment horizontal="right" readingOrder="0"/>
    </xf>
    <xf borderId="0" fillId="4" fontId="11" numFmtId="0" xfId="0" applyFont="1"/>
    <xf borderId="0" fillId="4" fontId="18" numFmtId="0" xfId="0" applyAlignment="1" applyFont="1">
      <alignment horizontal="right" readingOrder="0"/>
    </xf>
    <xf borderId="0" fillId="4" fontId="19" numFmtId="0" xfId="0" applyAlignment="1" applyFont="1">
      <alignment horizontal="right" readingOrder="0"/>
    </xf>
    <xf borderId="0" fillId="4" fontId="20" numFmtId="0" xfId="0" applyAlignment="1" applyFont="1">
      <alignment horizontal="right" readingOrder="0"/>
    </xf>
    <xf borderId="0" fillId="0" fontId="11" numFmtId="0" xfId="0" applyAlignment="1" applyFont="1">
      <alignment readingOrder="0" shrinkToFit="0" wrapText="1"/>
    </xf>
    <xf borderId="0" fillId="4" fontId="11" numFmtId="0" xfId="0" applyAlignment="1" applyFont="1">
      <alignment horizontal="right"/>
    </xf>
    <xf borderId="0" fillId="4" fontId="14" numFmtId="0" xfId="0" applyAlignment="1" applyFont="1">
      <alignment horizontal="right" readingOrder="0"/>
    </xf>
    <xf borderId="0" fillId="4" fontId="15" numFmtId="0" xfId="0" applyAlignment="1" applyFont="1">
      <alignment horizontal="right" readingOrder="0"/>
    </xf>
    <xf borderId="0" fillId="4" fontId="16" numFmtId="0" xfId="0" applyAlignment="1" applyFont="1">
      <alignment horizontal="right" readingOrder="0"/>
    </xf>
    <xf borderId="0" fillId="4" fontId="17" numFmtId="0" xfId="0" applyAlignment="1" applyFont="1">
      <alignment readingOrder="0"/>
    </xf>
    <xf borderId="0" fillId="4" fontId="17" numFmtId="0" xfId="0" applyFont="1"/>
    <xf borderId="0" fillId="4" fontId="18" numFmtId="0" xfId="0" applyAlignment="1" applyFont="1">
      <alignment readingOrder="0"/>
    </xf>
    <xf borderId="0" fillId="4" fontId="18" numFmtId="10" xfId="0" applyAlignment="1" applyFont="1" applyNumberFormat="1">
      <alignment horizontal="right"/>
    </xf>
    <xf borderId="0" fillId="4" fontId="18" numFmtId="0" xfId="0" applyFont="1"/>
    <xf borderId="2" fillId="0" fontId="17" numFmtId="10" xfId="0" applyBorder="1" applyFont="1" applyNumberFormat="1"/>
    <xf borderId="0" fillId="4" fontId="19" numFmtId="0" xfId="0" applyAlignment="1" applyFont="1">
      <alignment readingOrder="0"/>
    </xf>
    <xf borderId="0" fillId="4" fontId="19" numFmtId="10" xfId="0" applyAlignment="1" applyFont="1" applyNumberFormat="1">
      <alignment horizontal="right"/>
    </xf>
    <xf borderId="0" fillId="4" fontId="19" numFmtId="0" xfId="0" applyFont="1"/>
    <xf borderId="0" fillId="4" fontId="20" numFmtId="0" xfId="0" applyAlignment="1" applyFont="1">
      <alignment readingOrder="0"/>
    </xf>
    <xf borderId="0" fillId="4" fontId="20" numFmtId="10" xfId="0" applyAlignment="1" applyFont="1" applyNumberFormat="1">
      <alignment horizontal="right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5"/>
    <col customWidth="1" min="3" max="3" width="9.0"/>
    <col customWidth="1" min="4" max="36" width="6.38"/>
  </cols>
  <sheetData>
    <row r="3">
      <c r="A3" s="1"/>
      <c r="B3" s="1"/>
      <c r="C3" s="2">
        <v>3.21</v>
      </c>
      <c r="D3" s="1"/>
      <c r="E3" s="1"/>
      <c r="F3" s="2">
        <v>3.22</v>
      </c>
      <c r="G3" s="1"/>
      <c r="H3" s="1"/>
      <c r="I3" s="2">
        <v>3.23</v>
      </c>
      <c r="J3" s="1"/>
      <c r="K3" s="1"/>
      <c r="L3" s="2">
        <v>3.24</v>
      </c>
      <c r="M3" s="1"/>
      <c r="N3" s="1"/>
      <c r="O3" s="2">
        <v>3.25</v>
      </c>
      <c r="P3" s="1"/>
      <c r="Q3" s="1"/>
      <c r="R3" s="2">
        <v>3.26</v>
      </c>
      <c r="S3" s="1"/>
      <c r="T3" s="1"/>
      <c r="U3" s="2">
        <v>3.27</v>
      </c>
      <c r="V3" s="1"/>
      <c r="W3" s="1"/>
      <c r="X3" s="2">
        <v>3.28</v>
      </c>
      <c r="Y3" s="1"/>
      <c r="Z3" s="1"/>
      <c r="AA3" s="2">
        <v>3.29</v>
      </c>
      <c r="AB3" s="1"/>
      <c r="AC3" s="1"/>
      <c r="AD3" s="3">
        <v>3.3</v>
      </c>
      <c r="AE3" s="1"/>
      <c r="AF3" s="1"/>
      <c r="AG3" s="1"/>
      <c r="AH3" s="1"/>
      <c r="AI3" s="1"/>
      <c r="AJ3" s="1"/>
    </row>
    <row r="4">
      <c r="A4" s="4" t="s">
        <v>0</v>
      </c>
      <c r="B4" s="4" t="s">
        <v>1</v>
      </c>
      <c r="C4" s="4">
        <v>388.0</v>
      </c>
      <c r="F4" s="4">
        <v>371.0</v>
      </c>
      <c r="I4" s="4">
        <v>414.0</v>
      </c>
      <c r="L4" s="4">
        <v>576.0</v>
      </c>
      <c r="O4" s="4">
        <v>514.0</v>
      </c>
      <c r="R4" s="4">
        <v>509.0</v>
      </c>
      <c r="U4" s="4">
        <v>509.0</v>
      </c>
      <c r="X4" s="4">
        <v>527.0</v>
      </c>
      <c r="AA4" s="4">
        <v>502.0</v>
      </c>
      <c r="AD4" s="4">
        <v>504.0</v>
      </c>
    </row>
    <row r="5">
      <c r="B5" s="4" t="s">
        <v>2</v>
      </c>
      <c r="C5" s="4">
        <v>373.0</v>
      </c>
      <c r="F5" s="4">
        <v>349.0</v>
      </c>
      <c r="I5" s="4">
        <v>414.0</v>
      </c>
      <c r="L5" s="4">
        <v>570.0</v>
      </c>
      <c r="O5" s="4">
        <v>505.0</v>
      </c>
      <c r="R5" s="4">
        <v>500.0</v>
      </c>
      <c r="U5" s="4">
        <v>502.0</v>
      </c>
      <c r="X5" s="4">
        <v>519.0</v>
      </c>
      <c r="AA5" s="4">
        <v>493.0</v>
      </c>
      <c r="AD5" s="4">
        <v>498.0</v>
      </c>
    </row>
    <row r="6">
      <c r="B6" s="4" t="s">
        <v>3</v>
      </c>
      <c r="C6" s="4">
        <v>6.0</v>
      </c>
      <c r="F6" s="4">
        <v>6.0</v>
      </c>
      <c r="O6" s="4">
        <v>3.0</v>
      </c>
      <c r="R6" s="4">
        <v>3.0</v>
      </c>
      <c r="U6" s="4">
        <v>1.0</v>
      </c>
      <c r="X6" s="4">
        <v>2.0</v>
      </c>
      <c r="AA6" s="4">
        <v>3.0</v>
      </c>
      <c r="AD6" s="4">
        <v>0.0</v>
      </c>
    </row>
    <row r="7">
      <c r="B7" s="4" t="s">
        <v>4</v>
      </c>
      <c r="C7" s="4">
        <v>9.0</v>
      </c>
      <c r="F7" s="4">
        <v>3.0</v>
      </c>
      <c r="I7" s="4">
        <v>0.0</v>
      </c>
      <c r="O7" s="4">
        <v>6.0</v>
      </c>
      <c r="R7" s="4">
        <v>6.0</v>
      </c>
      <c r="U7" s="4">
        <v>6.0</v>
      </c>
      <c r="X7" s="4">
        <v>6.0</v>
      </c>
      <c r="AA7" s="4">
        <v>6.0</v>
      </c>
      <c r="AD7" s="4">
        <v>6.0</v>
      </c>
    </row>
    <row r="8">
      <c r="B8" s="4" t="s">
        <v>5</v>
      </c>
      <c r="C8" s="4">
        <v>0.0</v>
      </c>
      <c r="F8" s="4">
        <v>13.0</v>
      </c>
      <c r="I8" s="4">
        <v>0.0</v>
      </c>
      <c r="L8" s="4">
        <v>6.0</v>
      </c>
      <c r="O8" s="4">
        <v>0.0</v>
      </c>
      <c r="R8" s="4">
        <v>0.0</v>
      </c>
      <c r="U8" s="4">
        <v>0.0</v>
      </c>
      <c r="X8" s="4">
        <v>0.0</v>
      </c>
      <c r="AA8" s="4">
        <v>0.0</v>
      </c>
      <c r="AD8" s="4">
        <v>0.0</v>
      </c>
    </row>
    <row r="9">
      <c r="A9" s="4" t="s">
        <v>6</v>
      </c>
      <c r="B9" s="4" t="s">
        <v>1</v>
      </c>
      <c r="C9" s="4">
        <v>330.0</v>
      </c>
      <c r="F9" s="4">
        <v>350.0</v>
      </c>
      <c r="I9" s="4">
        <v>350.0</v>
      </c>
      <c r="L9" s="4">
        <v>349.0</v>
      </c>
      <c r="O9" s="4">
        <v>422.0</v>
      </c>
      <c r="R9" s="4">
        <v>422.0</v>
      </c>
      <c r="U9" s="4">
        <v>424.0</v>
      </c>
      <c r="X9" s="4">
        <v>424.0</v>
      </c>
      <c r="AA9" s="4">
        <v>424.0</v>
      </c>
      <c r="AD9" s="4">
        <v>424.0</v>
      </c>
    </row>
    <row r="10">
      <c r="B10" s="5" t="s">
        <v>2</v>
      </c>
      <c r="C10" s="4">
        <v>321.0</v>
      </c>
      <c r="F10" s="4">
        <v>341.0</v>
      </c>
      <c r="I10" s="4">
        <v>342.0</v>
      </c>
      <c r="L10" s="4">
        <v>342.0</v>
      </c>
      <c r="O10" s="4">
        <v>415.0</v>
      </c>
      <c r="R10" s="4">
        <v>413.0</v>
      </c>
      <c r="U10" s="4">
        <v>388.0</v>
      </c>
      <c r="X10" s="4">
        <v>413.0</v>
      </c>
      <c r="AA10" s="4">
        <v>410.0</v>
      </c>
      <c r="AD10" s="4">
        <v>418.0</v>
      </c>
    </row>
    <row r="11">
      <c r="B11" s="5" t="s">
        <v>3</v>
      </c>
      <c r="C11" s="4">
        <v>1.0</v>
      </c>
      <c r="F11" s="4">
        <v>3.0</v>
      </c>
      <c r="I11" s="4">
        <v>2.0</v>
      </c>
      <c r="L11" s="4">
        <v>1.0</v>
      </c>
      <c r="O11" s="4">
        <v>1.0</v>
      </c>
      <c r="R11" s="4">
        <v>4.0</v>
      </c>
      <c r="U11" s="4">
        <v>6.0</v>
      </c>
      <c r="X11" s="4">
        <v>3.0</v>
      </c>
      <c r="AA11" s="4">
        <v>4.0</v>
      </c>
      <c r="AD11" s="4">
        <v>1.0</v>
      </c>
    </row>
    <row r="12">
      <c r="B12" s="4" t="s">
        <v>4</v>
      </c>
      <c r="C12" s="4">
        <v>8.0</v>
      </c>
      <c r="F12" s="4">
        <v>6.0</v>
      </c>
      <c r="I12" s="4">
        <v>6.0</v>
      </c>
      <c r="L12" s="4">
        <v>5.0</v>
      </c>
      <c r="O12" s="4">
        <v>5.0</v>
      </c>
      <c r="R12" s="4">
        <v>5.0</v>
      </c>
      <c r="U12" s="4">
        <v>5.0</v>
      </c>
      <c r="X12" s="4">
        <v>5.0</v>
      </c>
      <c r="AA12" s="4">
        <v>5.0</v>
      </c>
      <c r="AD12" s="4">
        <v>5.0</v>
      </c>
    </row>
    <row r="13">
      <c r="B13" s="4" t="s">
        <v>5</v>
      </c>
      <c r="C13" s="4">
        <v>0.0</v>
      </c>
      <c r="F13" s="4">
        <v>0.0</v>
      </c>
      <c r="I13" s="4">
        <v>0.0</v>
      </c>
      <c r="L13" s="4">
        <v>1.0</v>
      </c>
      <c r="O13" s="4">
        <v>1.0</v>
      </c>
      <c r="R13" s="4">
        <v>0.0</v>
      </c>
      <c r="U13" s="4">
        <v>25.0</v>
      </c>
      <c r="X13" s="4">
        <v>3.0</v>
      </c>
      <c r="AA13" s="4">
        <v>5.0</v>
      </c>
      <c r="AD13" s="4">
        <v>0.0</v>
      </c>
    </row>
    <row r="15">
      <c r="A15" s="6" t="s">
        <v>7</v>
      </c>
    </row>
    <row r="16">
      <c r="A16" s="7" t="s">
        <v>8</v>
      </c>
      <c r="B16" s="7" t="s">
        <v>9</v>
      </c>
      <c r="C16" s="8">
        <f t="shared" ref="C16:C20" si="1">C4+C9</f>
        <v>718</v>
      </c>
      <c r="F16" s="8">
        <f t="shared" ref="F16:F20" si="2">F4+F9</f>
        <v>721</v>
      </c>
      <c r="I16" s="8">
        <f t="shared" ref="I16:I20" si="3">I4+I9</f>
        <v>764</v>
      </c>
      <c r="L16" s="8">
        <f t="shared" ref="L16:L20" si="4">L4+L9</f>
        <v>925</v>
      </c>
      <c r="O16" s="8">
        <f t="shared" ref="O16:O20" si="5">O4+O9</f>
        <v>936</v>
      </c>
      <c r="R16" s="8">
        <f t="shared" ref="R16:R20" si="6">R4+R9</f>
        <v>931</v>
      </c>
      <c r="U16" s="8">
        <f t="shared" ref="U16:U20" si="7">U4+U9</f>
        <v>933</v>
      </c>
      <c r="X16" s="8">
        <f t="shared" ref="X16:X20" si="8">X4+X9</f>
        <v>951</v>
      </c>
      <c r="AA16" s="8">
        <f t="shared" ref="AA16:AA20" si="9">sum(AA4+AA9)</f>
        <v>926</v>
      </c>
      <c r="AD16" s="8">
        <f t="shared" ref="AD16:AD20" si="10">sum(AD4+AD9)</f>
        <v>928</v>
      </c>
    </row>
    <row r="17">
      <c r="A17" s="8"/>
      <c r="B17" s="9" t="s">
        <v>2</v>
      </c>
      <c r="C17" s="8">
        <f t="shared" si="1"/>
        <v>694</v>
      </c>
      <c r="F17" s="8">
        <f t="shared" si="2"/>
        <v>690</v>
      </c>
      <c r="I17" s="8">
        <f t="shared" si="3"/>
        <v>756</v>
      </c>
      <c r="L17" s="8">
        <f t="shared" si="4"/>
        <v>912</v>
      </c>
      <c r="O17" s="8">
        <f t="shared" si="5"/>
        <v>920</v>
      </c>
      <c r="R17" s="8">
        <f t="shared" si="6"/>
        <v>913</v>
      </c>
      <c r="U17" s="8">
        <f t="shared" si="7"/>
        <v>890</v>
      </c>
      <c r="X17" s="8">
        <f t="shared" si="8"/>
        <v>932</v>
      </c>
      <c r="AA17" s="8">
        <f t="shared" si="9"/>
        <v>903</v>
      </c>
      <c r="AD17" s="8">
        <f t="shared" si="10"/>
        <v>916</v>
      </c>
    </row>
    <row r="18">
      <c r="A18" s="8"/>
      <c r="B18" s="10" t="s">
        <v>3</v>
      </c>
      <c r="C18" s="8">
        <f t="shared" si="1"/>
        <v>7</v>
      </c>
      <c r="F18" s="8">
        <f t="shared" si="2"/>
        <v>9</v>
      </c>
      <c r="I18" s="8">
        <f t="shared" si="3"/>
        <v>2</v>
      </c>
      <c r="L18" s="8">
        <f t="shared" si="4"/>
        <v>1</v>
      </c>
      <c r="O18" s="8">
        <f t="shared" si="5"/>
        <v>4</v>
      </c>
      <c r="R18" s="8">
        <f t="shared" si="6"/>
        <v>7</v>
      </c>
      <c r="U18" s="8">
        <f t="shared" si="7"/>
        <v>7</v>
      </c>
      <c r="X18" s="8">
        <f t="shared" si="8"/>
        <v>5</v>
      </c>
      <c r="AA18" s="8">
        <f t="shared" si="9"/>
        <v>7</v>
      </c>
      <c r="AD18" s="8">
        <f t="shared" si="10"/>
        <v>1</v>
      </c>
    </row>
    <row r="19">
      <c r="A19" s="8"/>
      <c r="B19" s="7" t="s">
        <v>4</v>
      </c>
      <c r="C19" s="8">
        <f t="shared" si="1"/>
        <v>17</v>
      </c>
      <c r="F19" s="8">
        <f t="shared" si="2"/>
        <v>9</v>
      </c>
      <c r="I19" s="8">
        <f t="shared" si="3"/>
        <v>6</v>
      </c>
      <c r="L19" s="8">
        <f t="shared" si="4"/>
        <v>5</v>
      </c>
      <c r="O19" s="8">
        <f t="shared" si="5"/>
        <v>11</v>
      </c>
      <c r="R19" s="8">
        <f t="shared" si="6"/>
        <v>11</v>
      </c>
      <c r="U19" s="8">
        <f t="shared" si="7"/>
        <v>11</v>
      </c>
      <c r="X19" s="8">
        <f t="shared" si="8"/>
        <v>11</v>
      </c>
      <c r="AA19" s="8">
        <f t="shared" si="9"/>
        <v>11</v>
      </c>
      <c r="AD19" s="8">
        <f t="shared" si="10"/>
        <v>11</v>
      </c>
    </row>
    <row r="20">
      <c r="A20" s="8"/>
      <c r="B20" s="7" t="s">
        <v>10</v>
      </c>
      <c r="C20" s="8">
        <f t="shared" si="1"/>
        <v>0</v>
      </c>
      <c r="F20" s="8">
        <f t="shared" si="2"/>
        <v>13</v>
      </c>
      <c r="I20" s="8">
        <f t="shared" si="3"/>
        <v>0</v>
      </c>
      <c r="L20" s="8">
        <f t="shared" si="4"/>
        <v>7</v>
      </c>
      <c r="O20" s="8">
        <f t="shared" si="5"/>
        <v>1</v>
      </c>
      <c r="R20" s="8">
        <f t="shared" si="6"/>
        <v>0</v>
      </c>
      <c r="U20" s="8">
        <f t="shared" si="7"/>
        <v>25</v>
      </c>
      <c r="X20" s="8">
        <f t="shared" si="8"/>
        <v>3</v>
      </c>
      <c r="AA20" s="8">
        <f t="shared" si="9"/>
        <v>5</v>
      </c>
      <c r="AD20" s="8">
        <f t="shared" si="10"/>
        <v>0</v>
      </c>
    </row>
    <row r="21">
      <c r="A21" s="4" t="s">
        <v>11</v>
      </c>
      <c r="C21" s="4">
        <v>1901.0</v>
      </c>
      <c r="F21" s="4">
        <v>1930.0</v>
      </c>
      <c r="I21" s="4">
        <v>1935.0</v>
      </c>
      <c r="L21" s="4">
        <v>1952.0</v>
      </c>
      <c r="O21" s="4">
        <v>1962.0</v>
      </c>
      <c r="R21" s="4">
        <v>1972.0</v>
      </c>
      <c r="U21" s="4">
        <v>1974.0</v>
      </c>
      <c r="X21" s="4">
        <v>1991.0</v>
      </c>
      <c r="AA21" s="4">
        <v>1982.0</v>
      </c>
      <c r="AD21" s="4">
        <v>1982.0</v>
      </c>
    </row>
    <row r="22">
      <c r="A22" s="4" t="s">
        <v>12</v>
      </c>
      <c r="C22" s="4">
        <v>961.0</v>
      </c>
      <c r="F22" s="4">
        <v>961.0</v>
      </c>
      <c r="I22" s="4">
        <v>961.0</v>
      </c>
      <c r="L22" s="4">
        <v>963.0</v>
      </c>
      <c r="O22" s="4">
        <v>962.0</v>
      </c>
      <c r="R22" s="4">
        <v>963.0</v>
      </c>
      <c r="U22" s="4">
        <v>961.0</v>
      </c>
      <c r="X22" s="4">
        <v>961.0</v>
      </c>
      <c r="AA22" s="4">
        <v>961.0</v>
      </c>
      <c r="AD22" s="4">
        <v>961.0</v>
      </c>
    </row>
    <row r="24">
      <c r="A24" s="11" t="s">
        <v>13</v>
      </c>
      <c r="B24" s="4" t="s">
        <v>9</v>
      </c>
      <c r="C24" s="4">
        <v>52.0</v>
      </c>
      <c r="F24" s="4">
        <v>57.0</v>
      </c>
      <c r="I24" s="4">
        <v>75.0</v>
      </c>
      <c r="L24" s="4">
        <v>89.0</v>
      </c>
      <c r="O24" s="4">
        <v>55.0</v>
      </c>
      <c r="R24" s="4">
        <v>126.0</v>
      </c>
      <c r="U24" s="4">
        <v>126.0</v>
      </c>
      <c r="X24" s="4">
        <v>54.0</v>
      </c>
      <c r="AA24" s="4">
        <v>216.0</v>
      </c>
      <c r="AD24" s="4">
        <v>103.0</v>
      </c>
    </row>
    <row r="25">
      <c r="B25" s="12" t="s">
        <v>14</v>
      </c>
      <c r="C25" s="4">
        <v>40.0</v>
      </c>
      <c r="F25" s="4">
        <v>53.0</v>
      </c>
      <c r="I25" s="4">
        <v>69.0</v>
      </c>
      <c r="L25" s="4">
        <v>77.0</v>
      </c>
      <c r="O25" s="4">
        <v>54.0</v>
      </c>
      <c r="R25" s="4">
        <v>123.0</v>
      </c>
      <c r="U25" s="4">
        <v>123.0</v>
      </c>
      <c r="X25" s="4">
        <v>54.0</v>
      </c>
      <c r="AA25" s="4">
        <v>174.0</v>
      </c>
      <c r="AD25" s="4">
        <v>73.0</v>
      </c>
    </row>
    <row r="26">
      <c r="B26" s="13" t="s">
        <v>15</v>
      </c>
      <c r="C26" s="4">
        <v>2.0</v>
      </c>
      <c r="F26" s="4">
        <v>1.0</v>
      </c>
      <c r="I26" s="4">
        <v>0.0</v>
      </c>
      <c r="L26" s="4">
        <v>0.0</v>
      </c>
      <c r="O26" s="4">
        <v>0.0</v>
      </c>
      <c r="R26" s="4">
        <v>2.0</v>
      </c>
      <c r="U26" s="4">
        <v>0.0</v>
      </c>
      <c r="X26" s="4">
        <v>0.0</v>
      </c>
      <c r="AA26" s="4">
        <v>11.0</v>
      </c>
      <c r="AD26" s="4">
        <v>2.0</v>
      </c>
    </row>
    <row r="27">
      <c r="B27" s="4" t="s">
        <v>16</v>
      </c>
      <c r="C27" s="4">
        <v>10.0</v>
      </c>
      <c r="F27" s="4">
        <v>3.0</v>
      </c>
      <c r="I27" s="4">
        <v>6.0</v>
      </c>
      <c r="L27" s="4">
        <v>4.0</v>
      </c>
      <c r="O27" s="4">
        <v>1.0</v>
      </c>
      <c r="R27" s="4">
        <v>1.0</v>
      </c>
      <c r="U27" s="4">
        <v>3.0</v>
      </c>
      <c r="X27" s="4">
        <v>1.0</v>
      </c>
      <c r="AA27" s="4">
        <v>31.0</v>
      </c>
      <c r="AD27" s="4">
        <v>28.0</v>
      </c>
    </row>
    <row r="29">
      <c r="A29" s="14" t="s">
        <v>17</v>
      </c>
      <c r="B29" s="8"/>
      <c r="C29" s="15">
        <f>C16+C21+C22+C24</f>
        <v>3632</v>
      </c>
      <c r="D29" s="15"/>
      <c r="E29" s="8"/>
      <c r="F29" s="15">
        <f>F16+F21+F22+F25</f>
        <v>3665</v>
      </c>
      <c r="G29" s="15"/>
      <c r="H29" s="15"/>
      <c r="I29" s="15">
        <f>I16+I21+I22+I24</f>
        <v>3735</v>
      </c>
      <c r="J29" s="15"/>
      <c r="K29" s="15"/>
      <c r="L29" s="15">
        <f>L16+L21+L22+L24</f>
        <v>3929</v>
      </c>
      <c r="M29" s="15"/>
      <c r="N29" s="15"/>
      <c r="O29" s="15">
        <f>O16+O21+O22+O24</f>
        <v>3915</v>
      </c>
      <c r="P29" s="16"/>
      <c r="R29" s="15">
        <f>R16+R21+R22+R24</f>
        <v>3992</v>
      </c>
      <c r="S29" s="16"/>
      <c r="U29" s="15">
        <f>U16+U21+U22+U24</f>
        <v>3994</v>
      </c>
      <c r="V29" s="16"/>
      <c r="X29" s="15">
        <f>X16+X21+X22+X24</f>
        <v>3957</v>
      </c>
      <c r="Y29" s="16"/>
      <c r="AA29" s="15">
        <f>AA16+AA21+AA22+AA24</f>
        <v>4085</v>
      </c>
      <c r="AB29" s="16"/>
      <c r="AC29" s="16"/>
      <c r="AD29" s="15">
        <f>AD16+AD21+AD22+AD24</f>
        <v>3974</v>
      </c>
      <c r="AE29" s="16"/>
      <c r="AF29" s="16"/>
      <c r="AG29" s="16"/>
      <c r="AH29" s="16"/>
      <c r="AI29" s="16"/>
      <c r="AJ29" s="16"/>
    </row>
    <row r="31">
      <c r="A31" s="17" t="s">
        <v>18</v>
      </c>
      <c r="B31" s="8"/>
      <c r="C31" s="18">
        <f>C21+C22+C24+C17</f>
        <v>3608</v>
      </c>
      <c r="D31" s="19">
        <f>(C31/C29)</f>
        <v>0.9933920705</v>
      </c>
      <c r="E31" s="8"/>
      <c r="F31" s="18">
        <f>F21+F22+F24+F17</f>
        <v>3638</v>
      </c>
      <c r="G31" s="19">
        <f>(F31/F29)</f>
        <v>0.992633015</v>
      </c>
      <c r="H31" s="19"/>
      <c r="I31" s="18">
        <f>I21+I22+I24+I17</f>
        <v>3727</v>
      </c>
      <c r="J31" s="19">
        <f>(I31/I29)</f>
        <v>0.9978580991</v>
      </c>
      <c r="K31" s="19"/>
      <c r="L31" s="18">
        <f>L21+L22+L24+L17</f>
        <v>3916</v>
      </c>
      <c r="M31" s="19">
        <f>(L31/L29)</f>
        <v>0.99669127</v>
      </c>
      <c r="N31" s="18"/>
      <c r="O31" s="18">
        <f>O21+O22+O25+O17</f>
        <v>3898</v>
      </c>
      <c r="P31" s="19">
        <f>(O31/O29)</f>
        <v>0.9956577267</v>
      </c>
      <c r="Q31" s="20"/>
      <c r="R31" s="18">
        <f>R21+R22+R25+R17</f>
        <v>3971</v>
      </c>
      <c r="S31" s="19">
        <f>(R31/R29)</f>
        <v>0.994739479</v>
      </c>
      <c r="T31" s="20"/>
      <c r="U31" s="18">
        <f>U21+U22+U25+U17</f>
        <v>3948</v>
      </c>
      <c r="V31" s="19">
        <f>(U31/U29)</f>
        <v>0.9884827241</v>
      </c>
      <c r="W31" s="20"/>
      <c r="X31" s="18">
        <f>X21+X22+X25+X17</f>
        <v>3938</v>
      </c>
      <c r="Y31" s="19">
        <f>(X31/X29)</f>
        <v>0.9951983826</v>
      </c>
      <c r="Z31" s="20"/>
      <c r="AA31" s="18">
        <f>AA21+AA22+AA25+AA17</f>
        <v>4020</v>
      </c>
      <c r="AB31" s="19">
        <f>(AA31/AA29)</f>
        <v>0.9840881273</v>
      </c>
      <c r="AC31" s="19"/>
      <c r="AD31" s="18">
        <f>AD21+AD22+AD25+AD17</f>
        <v>3932</v>
      </c>
      <c r="AE31" s="19">
        <f>(AD31/AD29)</f>
        <v>0.9894313035</v>
      </c>
      <c r="AF31" s="19"/>
      <c r="AG31" s="19"/>
      <c r="AH31" s="19"/>
      <c r="AI31" s="19"/>
      <c r="AJ31" s="19"/>
    </row>
    <row r="32">
      <c r="A32" s="21" t="s">
        <v>15</v>
      </c>
      <c r="B32" s="8"/>
      <c r="C32" s="20">
        <f>C18+C26</f>
        <v>9</v>
      </c>
      <c r="D32" s="22">
        <f>C32/C29</f>
        <v>0.002477973568</v>
      </c>
      <c r="E32" s="8"/>
      <c r="F32" s="20">
        <f>F18+F26</f>
        <v>10</v>
      </c>
      <c r="G32" s="22">
        <f>F32/F29</f>
        <v>0.00272851296</v>
      </c>
      <c r="H32" s="22"/>
      <c r="I32" s="20">
        <f>I18+I26</f>
        <v>2</v>
      </c>
      <c r="J32" s="22">
        <f>I32/I29</f>
        <v>0.0005354752343</v>
      </c>
      <c r="K32" s="22"/>
      <c r="L32" s="20">
        <f>L18+L26</f>
        <v>1</v>
      </c>
      <c r="M32" s="22">
        <f>L32/L29</f>
        <v>0.000254517689</v>
      </c>
      <c r="N32" s="20"/>
      <c r="O32" s="20">
        <f>O18+O26</f>
        <v>4</v>
      </c>
      <c r="P32" s="22">
        <f>O32/O29</f>
        <v>0.001021711367</v>
      </c>
      <c r="Q32" s="20"/>
      <c r="R32" s="20">
        <f>R18+R26</f>
        <v>9</v>
      </c>
      <c r="S32" s="22">
        <f>R32/R29</f>
        <v>0.002254509018</v>
      </c>
      <c r="T32" s="20"/>
      <c r="U32" s="20">
        <f>U18+U26</f>
        <v>7</v>
      </c>
      <c r="V32" s="22">
        <f>U32/U29</f>
        <v>0.001752628943</v>
      </c>
      <c r="W32" s="20"/>
      <c r="X32" s="20">
        <f>X18+X26</f>
        <v>5</v>
      </c>
      <c r="Y32" s="22">
        <f>X32/X29</f>
        <v>0.001263583523</v>
      </c>
      <c r="Z32" s="20"/>
      <c r="AA32" s="20">
        <f>AA18+AA26</f>
        <v>18</v>
      </c>
      <c r="AB32" s="22">
        <f>AA32/AA29</f>
        <v>0.004406364749</v>
      </c>
      <c r="AC32" s="22"/>
      <c r="AD32" s="20">
        <f>AD18+AD26</f>
        <v>3</v>
      </c>
      <c r="AE32" s="22">
        <f>AD32/AD29</f>
        <v>0.0007549068948</v>
      </c>
      <c r="AF32" s="22"/>
      <c r="AG32" s="22"/>
      <c r="AH32" s="22"/>
      <c r="AI32" s="22"/>
      <c r="AJ32" s="22"/>
    </row>
    <row r="33">
      <c r="A33" s="23" t="s">
        <v>19</v>
      </c>
      <c r="B33" s="8"/>
      <c r="C33" s="23">
        <v>10.0</v>
      </c>
      <c r="D33" s="24">
        <f>C33/C31</f>
        <v>0.002771618625</v>
      </c>
      <c r="E33" s="8"/>
      <c r="F33" s="23">
        <v>10.0</v>
      </c>
      <c r="G33" s="24">
        <f>F33/F31</f>
        <v>0.002748763057</v>
      </c>
      <c r="H33" s="24"/>
      <c r="I33" s="23">
        <v>10.0</v>
      </c>
      <c r="J33" s="24">
        <f>I33/I31</f>
        <v>0.002683123155</v>
      </c>
      <c r="K33" s="24"/>
      <c r="L33" s="25">
        <f>L27+L20+L19</f>
        <v>16</v>
      </c>
      <c r="M33" s="24">
        <f>L33/L31</f>
        <v>0.004085801839</v>
      </c>
      <c r="N33" s="25"/>
      <c r="O33" s="25">
        <f>O27+O20+O19</f>
        <v>13</v>
      </c>
      <c r="P33" s="24">
        <f>O33/O31</f>
        <v>0.003335043612</v>
      </c>
      <c r="Q33" s="20"/>
      <c r="R33" s="25">
        <f>R27+R20+R19</f>
        <v>12</v>
      </c>
      <c r="S33" s="24">
        <f>R33/R31</f>
        <v>0.003021908839</v>
      </c>
      <c r="T33" s="20"/>
      <c r="U33" s="25">
        <f>U27+U20+U19</f>
        <v>39</v>
      </c>
      <c r="V33" s="24">
        <f>U33/U31</f>
        <v>0.009878419453</v>
      </c>
      <c r="W33" s="20"/>
      <c r="X33" s="25">
        <f>X27+X20+X19</f>
        <v>15</v>
      </c>
      <c r="Y33" s="24">
        <f>X33/X31</f>
        <v>0.003809040122</v>
      </c>
      <c r="Z33" s="20"/>
      <c r="AA33" s="25">
        <f>AA27+AA20+AA19</f>
        <v>47</v>
      </c>
      <c r="AB33" s="24">
        <f>AA33/AA31</f>
        <v>0.01169154229</v>
      </c>
      <c r="AC33" s="24"/>
      <c r="AD33" s="25">
        <f>AD27+AD20+AD19</f>
        <v>39</v>
      </c>
      <c r="AE33" s="24">
        <f>AD33/AD31</f>
        <v>0.00991861648</v>
      </c>
      <c r="AF33" s="24"/>
      <c r="AG33" s="24"/>
      <c r="AH33" s="24"/>
      <c r="AI33" s="24"/>
      <c r="AJ33" s="24"/>
    </row>
    <row r="36">
      <c r="I36" s="26"/>
      <c r="J36" s="26"/>
      <c r="K36" s="26"/>
      <c r="L36" s="26"/>
      <c r="M36" s="26"/>
    </row>
    <row r="37">
      <c r="I37" s="26"/>
      <c r="J37" s="26"/>
      <c r="K37" s="26"/>
      <c r="L37" s="26"/>
      <c r="M37" s="26"/>
    </row>
    <row r="38">
      <c r="I38" s="26"/>
      <c r="J38" s="26"/>
      <c r="K38" s="26"/>
      <c r="L38" s="26"/>
      <c r="M38" s="2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8.88"/>
    <col customWidth="1" min="3" max="3" width="8.25"/>
    <col customWidth="1" min="4" max="5" width="1.38"/>
    <col customWidth="1" min="6" max="6" width="8.88"/>
    <col customWidth="1" min="7" max="7" width="8.25"/>
    <col customWidth="1" min="8" max="9" width="1.38"/>
    <col customWidth="1" min="10" max="10" width="8.88"/>
    <col customWidth="1" min="11" max="11" width="8.25"/>
    <col customWidth="1" min="12" max="13" width="1.38"/>
    <col customWidth="1" min="14" max="14" width="8.88"/>
    <col customWidth="1" min="15" max="15" width="8.25"/>
    <col customWidth="1" min="16" max="17" width="1.38"/>
    <col customWidth="1" min="18" max="18" width="8.88"/>
    <col customWidth="1" min="19" max="19" width="8.25"/>
    <col customWidth="1" min="20" max="21" width="1.38"/>
    <col customWidth="1" min="22" max="22" width="8.88"/>
    <col customWidth="1" min="23" max="23" width="8.25"/>
    <col customWidth="1" min="24" max="25" width="1.38"/>
    <col customWidth="1" min="26" max="26" width="8.88"/>
    <col customWidth="1" min="27" max="27" width="8.25"/>
    <col customWidth="1" min="28" max="29" width="1.38"/>
    <col customWidth="1" min="30" max="30" width="8.88"/>
    <col customWidth="1" min="31" max="31" width="8.25"/>
    <col customWidth="1" min="32" max="33" width="1.38"/>
    <col customWidth="1" min="34" max="34" width="8.88"/>
    <col customWidth="1" min="35" max="35" width="8.25"/>
    <col customWidth="1" min="36" max="37" width="1.38"/>
    <col customWidth="1" min="38" max="38" width="8.88"/>
    <col customWidth="1" min="39" max="39" width="8.25"/>
  </cols>
  <sheetData>
    <row r="1">
      <c r="A1" s="27"/>
      <c r="B1" s="27"/>
      <c r="C1" s="28">
        <v>3.31</v>
      </c>
      <c r="D1" s="29"/>
      <c r="E1" s="30"/>
      <c r="F1" s="27"/>
      <c r="G1" s="28">
        <v>3.32</v>
      </c>
      <c r="H1" s="29"/>
      <c r="I1" s="30"/>
      <c r="J1" s="27"/>
      <c r="K1" s="28">
        <v>3.33</v>
      </c>
      <c r="L1" s="29"/>
      <c r="M1" s="30"/>
      <c r="N1" s="27"/>
      <c r="O1" s="28">
        <v>3.34</v>
      </c>
      <c r="P1" s="29"/>
      <c r="Q1" s="30"/>
      <c r="R1" s="27"/>
      <c r="S1" s="28">
        <v>3.35</v>
      </c>
      <c r="T1" s="29"/>
      <c r="U1" s="30"/>
      <c r="V1" s="27"/>
      <c r="W1" s="28">
        <v>3.36</v>
      </c>
      <c r="X1" s="29"/>
      <c r="Y1" s="30"/>
      <c r="Z1" s="27"/>
      <c r="AA1" s="28">
        <v>3.37</v>
      </c>
      <c r="AB1" s="29"/>
      <c r="AC1" s="30"/>
      <c r="AD1" s="27"/>
      <c r="AE1" s="28">
        <v>3.38</v>
      </c>
      <c r="AF1" s="29"/>
      <c r="AG1" s="30"/>
      <c r="AH1" s="27"/>
      <c r="AI1" s="28">
        <v>3.39</v>
      </c>
      <c r="AJ1" s="29"/>
      <c r="AK1" s="30"/>
      <c r="AL1" s="27"/>
      <c r="AM1" s="31">
        <v>3.4</v>
      </c>
    </row>
    <row r="2">
      <c r="A2" s="32"/>
      <c r="B2" s="32"/>
      <c r="C2" s="32"/>
      <c r="D2" s="33"/>
      <c r="E2" s="34"/>
      <c r="F2" s="32"/>
      <c r="G2" s="32"/>
      <c r="H2" s="33"/>
      <c r="I2" s="34"/>
      <c r="J2" s="32"/>
      <c r="K2" s="32"/>
      <c r="L2" s="33"/>
      <c r="M2" s="34"/>
      <c r="N2" s="32"/>
      <c r="O2" s="32"/>
      <c r="P2" s="33"/>
      <c r="Q2" s="34"/>
      <c r="R2" s="32"/>
      <c r="S2" s="32"/>
      <c r="T2" s="33"/>
      <c r="U2" s="34"/>
      <c r="V2" s="32"/>
      <c r="W2" s="32"/>
      <c r="X2" s="33"/>
      <c r="Y2" s="34"/>
      <c r="Z2" s="32"/>
      <c r="AA2" s="32"/>
      <c r="AB2" s="33"/>
      <c r="AC2" s="34"/>
      <c r="AD2" s="32"/>
      <c r="AE2" s="32"/>
      <c r="AF2" s="33"/>
      <c r="AG2" s="34"/>
      <c r="AH2" s="32"/>
      <c r="AI2" s="32"/>
      <c r="AJ2" s="33"/>
      <c r="AK2" s="34"/>
      <c r="AL2" s="32"/>
      <c r="AM2" s="32"/>
    </row>
    <row r="3">
      <c r="A3" s="35" t="s">
        <v>0</v>
      </c>
      <c r="B3" s="36" t="s">
        <v>20</v>
      </c>
      <c r="C3" s="35">
        <v>504.0</v>
      </c>
      <c r="D3" s="29"/>
      <c r="E3" s="37"/>
      <c r="F3" s="36" t="s">
        <v>20</v>
      </c>
      <c r="G3" s="35">
        <v>504.0</v>
      </c>
      <c r="H3" s="29"/>
      <c r="I3" s="37"/>
      <c r="J3" s="36" t="s">
        <v>20</v>
      </c>
      <c r="K3" s="35">
        <v>504.0</v>
      </c>
      <c r="L3" s="29"/>
      <c r="M3" s="37"/>
      <c r="N3" s="36" t="s">
        <v>20</v>
      </c>
      <c r="O3" s="35"/>
      <c r="P3" s="29"/>
      <c r="Q3" s="37"/>
      <c r="R3" s="36" t="s">
        <v>20</v>
      </c>
      <c r="S3" s="35">
        <v>477.0</v>
      </c>
      <c r="T3" s="29"/>
      <c r="U3" s="37"/>
      <c r="V3" s="36" t="s">
        <v>20</v>
      </c>
      <c r="W3" s="35"/>
      <c r="X3" s="29"/>
      <c r="Y3" s="37"/>
      <c r="Z3" s="36" t="s">
        <v>20</v>
      </c>
      <c r="AA3" s="35"/>
      <c r="AB3" s="29"/>
      <c r="AC3" s="37"/>
      <c r="AD3" s="36" t="s">
        <v>20</v>
      </c>
      <c r="AE3" s="35"/>
      <c r="AF3" s="29"/>
      <c r="AG3" s="37"/>
      <c r="AH3" s="36" t="s">
        <v>20</v>
      </c>
      <c r="AI3" s="35"/>
      <c r="AJ3" s="29"/>
      <c r="AK3" s="37"/>
      <c r="AL3" s="36" t="s">
        <v>20</v>
      </c>
      <c r="AM3" s="35"/>
    </row>
    <row r="4">
      <c r="A4" s="27"/>
      <c r="B4" s="38" t="s">
        <v>2</v>
      </c>
      <c r="C4" s="35">
        <v>484.0</v>
      </c>
      <c r="D4" s="29"/>
      <c r="E4" s="37"/>
      <c r="F4" s="38" t="s">
        <v>2</v>
      </c>
      <c r="G4" s="35">
        <v>489.0</v>
      </c>
      <c r="H4" s="29"/>
      <c r="I4" s="37"/>
      <c r="J4" s="38" t="s">
        <v>2</v>
      </c>
      <c r="K4" s="35">
        <v>469.0</v>
      </c>
      <c r="L4" s="29"/>
      <c r="M4" s="37"/>
      <c r="N4" s="38" t="s">
        <v>2</v>
      </c>
      <c r="O4" s="35"/>
      <c r="P4" s="29"/>
      <c r="Q4" s="37"/>
      <c r="R4" s="38" t="s">
        <v>2</v>
      </c>
      <c r="S4" s="35">
        <v>476.0</v>
      </c>
      <c r="T4" s="29"/>
      <c r="U4" s="37"/>
      <c r="V4" s="38" t="s">
        <v>2</v>
      </c>
      <c r="W4" s="35"/>
      <c r="X4" s="29"/>
      <c r="Y4" s="37"/>
      <c r="Z4" s="38" t="s">
        <v>2</v>
      </c>
      <c r="AA4" s="35"/>
      <c r="AB4" s="29"/>
      <c r="AC4" s="37"/>
      <c r="AD4" s="38" t="s">
        <v>2</v>
      </c>
      <c r="AE4" s="35"/>
      <c r="AF4" s="29"/>
      <c r="AG4" s="37"/>
      <c r="AH4" s="38" t="s">
        <v>2</v>
      </c>
      <c r="AI4" s="35"/>
      <c r="AJ4" s="29"/>
      <c r="AK4" s="37"/>
      <c r="AL4" s="38" t="s">
        <v>2</v>
      </c>
      <c r="AM4" s="35"/>
    </row>
    <row r="5">
      <c r="A5" s="27"/>
      <c r="B5" s="39" t="s">
        <v>3</v>
      </c>
      <c r="C5" s="35">
        <v>3.0</v>
      </c>
      <c r="D5" s="29"/>
      <c r="E5" s="37"/>
      <c r="F5" s="39" t="s">
        <v>3</v>
      </c>
      <c r="G5" s="35">
        <v>8.0</v>
      </c>
      <c r="H5" s="29"/>
      <c r="I5" s="37"/>
      <c r="J5" s="39" t="s">
        <v>3</v>
      </c>
      <c r="K5" s="35">
        <v>13.0</v>
      </c>
      <c r="L5" s="29"/>
      <c r="M5" s="37"/>
      <c r="N5" s="39" t="s">
        <v>3</v>
      </c>
      <c r="O5" s="35"/>
      <c r="P5" s="29"/>
      <c r="Q5" s="37"/>
      <c r="R5" s="39" t="s">
        <v>3</v>
      </c>
      <c r="S5" s="35">
        <v>1.0</v>
      </c>
      <c r="T5" s="29"/>
      <c r="U5" s="37"/>
      <c r="V5" s="39" t="s">
        <v>3</v>
      </c>
      <c r="W5" s="35"/>
      <c r="X5" s="29"/>
      <c r="Y5" s="37"/>
      <c r="Z5" s="39" t="s">
        <v>3</v>
      </c>
      <c r="AA5" s="35"/>
      <c r="AB5" s="29"/>
      <c r="AC5" s="37"/>
      <c r="AD5" s="39" t="s">
        <v>3</v>
      </c>
      <c r="AE5" s="35"/>
      <c r="AF5" s="29"/>
      <c r="AG5" s="37"/>
      <c r="AH5" s="39" t="s">
        <v>3</v>
      </c>
      <c r="AI5" s="35"/>
      <c r="AJ5" s="29"/>
      <c r="AK5" s="37"/>
      <c r="AL5" s="39" t="s">
        <v>3</v>
      </c>
      <c r="AM5" s="35"/>
    </row>
    <row r="6">
      <c r="A6" s="27"/>
      <c r="B6" s="40" t="s">
        <v>4</v>
      </c>
      <c r="C6" s="35">
        <v>6.0</v>
      </c>
      <c r="D6" s="29"/>
      <c r="E6" s="37"/>
      <c r="F6" s="40" t="s">
        <v>4</v>
      </c>
      <c r="G6" s="35">
        <v>6.0</v>
      </c>
      <c r="H6" s="29"/>
      <c r="I6" s="37"/>
      <c r="J6" s="40" t="s">
        <v>4</v>
      </c>
      <c r="K6" s="35">
        <v>6.0</v>
      </c>
      <c r="L6" s="29"/>
      <c r="M6" s="37"/>
      <c r="N6" s="40" t="s">
        <v>4</v>
      </c>
      <c r="O6" s="35"/>
      <c r="P6" s="29"/>
      <c r="Q6" s="37"/>
      <c r="R6" s="40" t="s">
        <v>4</v>
      </c>
      <c r="S6" s="35">
        <v>6.0</v>
      </c>
      <c r="T6" s="29"/>
      <c r="U6" s="37"/>
      <c r="V6" s="40" t="s">
        <v>4</v>
      </c>
      <c r="W6" s="35"/>
      <c r="X6" s="29"/>
      <c r="Y6" s="37"/>
      <c r="Z6" s="40" t="s">
        <v>4</v>
      </c>
      <c r="AA6" s="35"/>
      <c r="AB6" s="29"/>
      <c r="AC6" s="37"/>
      <c r="AD6" s="40" t="s">
        <v>4</v>
      </c>
      <c r="AE6" s="35"/>
      <c r="AF6" s="29"/>
      <c r="AG6" s="37"/>
      <c r="AH6" s="40" t="s">
        <v>4</v>
      </c>
      <c r="AI6" s="35"/>
      <c r="AJ6" s="29"/>
      <c r="AK6" s="37"/>
      <c r="AL6" s="40" t="s">
        <v>4</v>
      </c>
      <c r="AM6" s="35"/>
    </row>
    <row r="7">
      <c r="A7" s="27"/>
      <c r="B7" s="40" t="s">
        <v>5</v>
      </c>
      <c r="C7" s="35">
        <v>11.0</v>
      </c>
      <c r="D7" s="29"/>
      <c r="E7" s="37"/>
      <c r="F7" s="40" t="s">
        <v>5</v>
      </c>
      <c r="G7" s="35">
        <v>1.0</v>
      </c>
      <c r="H7" s="29"/>
      <c r="I7" s="37"/>
      <c r="J7" s="40" t="s">
        <v>5</v>
      </c>
      <c r="K7" s="35">
        <v>16.0</v>
      </c>
      <c r="L7" s="29"/>
      <c r="M7" s="37"/>
      <c r="N7" s="40" t="s">
        <v>5</v>
      </c>
      <c r="O7" s="35"/>
      <c r="P7" s="29"/>
      <c r="Q7" s="37"/>
      <c r="R7" s="40" t="s">
        <v>5</v>
      </c>
      <c r="S7" s="35">
        <v>0.0</v>
      </c>
      <c r="T7" s="29"/>
      <c r="U7" s="37"/>
      <c r="V7" s="40" t="s">
        <v>5</v>
      </c>
      <c r="W7" s="35"/>
      <c r="X7" s="29"/>
      <c r="Y7" s="37"/>
      <c r="Z7" s="40" t="s">
        <v>5</v>
      </c>
      <c r="AA7" s="35"/>
      <c r="AB7" s="29"/>
      <c r="AC7" s="37"/>
      <c r="AD7" s="40" t="s">
        <v>5</v>
      </c>
      <c r="AE7" s="35"/>
      <c r="AF7" s="29"/>
      <c r="AG7" s="37"/>
      <c r="AH7" s="40" t="s">
        <v>5</v>
      </c>
      <c r="AI7" s="35"/>
      <c r="AJ7" s="29"/>
      <c r="AK7" s="37"/>
      <c r="AL7" s="40" t="s">
        <v>5</v>
      </c>
      <c r="AM7" s="35"/>
    </row>
    <row r="8" ht="7.5" customHeight="1">
      <c r="A8" s="35"/>
      <c r="B8" s="41"/>
      <c r="C8" s="27"/>
      <c r="D8" s="29"/>
      <c r="E8" s="37"/>
      <c r="F8" s="41"/>
      <c r="G8" s="27"/>
      <c r="H8" s="29"/>
      <c r="I8" s="37"/>
      <c r="J8" s="41"/>
      <c r="K8" s="27"/>
      <c r="L8" s="29"/>
      <c r="M8" s="37"/>
      <c r="N8" s="41"/>
      <c r="O8" s="27"/>
      <c r="P8" s="29"/>
      <c r="Q8" s="37"/>
      <c r="R8" s="41"/>
      <c r="S8" s="27"/>
      <c r="T8" s="29"/>
      <c r="U8" s="37"/>
      <c r="V8" s="41"/>
      <c r="W8" s="27"/>
      <c r="X8" s="29"/>
      <c r="Y8" s="37"/>
      <c r="Z8" s="41"/>
      <c r="AA8" s="27"/>
      <c r="AB8" s="29"/>
      <c r="AC8" s="37"/>
      <c r="AD8" s="41"/>
      <c r="AE8" s="27"/>
      <c r="AF8" s="29"/>
      <c r="AG8" s="37"/>
      <c r="AH8" s="41"/>
      <c r="AI8" s="27"/>
      <c r="AJ8" s="29"/>
      <c r="AK8" s="37"/>
      <c r="AL8" s="41"/>
      <c r="AM8" s="27"/>
    </row>
    <row r="9">
      <c r="A9" s="35" t="s">
        <v>6</v>
      </c>
      <c r="B9" s="41" t="s">
        <v>20</v>
      </c>
      <c r="C9" s="35">
        <v>424.0</v>
      </c>
      <c r="D9" s="29"/>
      <c r="E9" s="37"/>
      <c r="F9" s="41" t="s">
        <v>20</v>
      </c>
      <c r="G9" s="35">
        <v>424.0</v>
      </c>
      <c r="H9" s="29"/>
      <c r="I9" s="37"/>
      <c r="J9" s="41" t="s">
        <v>20</v>
      </c>
      <c r="K9" s="35">
        <v>424.0</v>
      </c>
      <c r="L9" s="29"/>
      <c r="M9" s="37"/>
      <c r="N9" s="41" t="s">
        <v>20</v>
      </c>
      <c r="O9" s="35"/>
      <c r="P9" s="29"/>
      <c r="Q9" s="37"/>
      <c r="R9" s="41" t="s">
        <v>20</v>
      </c>
      <c r="S9" s="35">
        <v>410.0</v>
      </c>
      <c r="T9" s="29"/>
      <c r="U9" s="37"/>
      <c r="V9" s="41" t="s">
        <v>20</v>
      </c>
      <c r="W9" s="35"/>
      <c r="X9" s="29"/>
      <c r="Y9" s="37"/>
      <c r="Z9" s="41" t="s">
        <v>20</v>
      </c>
      <c r="AA9" s="35"/>
      <c r="AB9" s="29"/>
      <c r="AC9" s="37"/>
      <c r="AD9" s="41" t="s">
        <v>20</v>
      </c>
      <c r="AE9" s="35"/>
      <c r="AF9" s="29"/>
      <c r="AG9" s="37"/>
      <c r="AH9" s="41" t="s">
        <v>20</v>
      </c>
      <c r="AI9" s="35"/>
      <c r="AJ9" s="29"/>
      <c r="AK9" s="37"/>
      <c r="AL9" s="41" t="s">
        <v>20</v>
      </c>
      <c r="AM9" s="35"/>
    </row>
    <row r="10">
      <c r="A10" s="27"/>
      <c r="B10" s="42" t="s">
        <v>2</v>
      </c>
      <c r="C10" s="35">
        <v>393.0</v>
      </c>
      <c r="D10" s="29"/>
      <c r="E10" s="37"/>
      <c r="F10" s="42" t="s">
        <v>2</v>
      </c>
      <c r="G10" s="35">
        <v>407.0</v>
      </c>
      <c r="H10" s="29"/>
      <c r="I10" s="37"/>
      <c r="J10" s="42" t="s">
        <v>2</v>
      </c>
      <c r="K10" s="35">
        <v>388.0</v>
      </c>
      <c r="L10" s="29"/>
      <c r="M10" s="37"/>
      <c r="N10" s="42" t="s">
        <v>2</v>
      </c>
      <c r="O10" s="35"/>
      <c r="P10" s="29"/>
      <c r="Q10" s="37"/>
      <c r="R10" s="42" t="s">
        <v>2</v>
      </c>
      <c r="S10" s="35">
        <v>399.0</v>
      </c>
      <c r="T10" s="29"/>
      <c r="U10" s="37"/>
      <c r="V10" s="42" t="s">
        <v>2</v>
      </c>
      <c r="W10" s="35"/>
      <c r="X10" s="29"/>
      <c r="Y10" s="37"/>
      <c r="Z10" s="42" t="s">
        <v>2</v>
      </c>
      <c r="AA10" s="35"/>
      <c r="AB10" s="29"/>
      <c r="AC10" s="37"/>
      <c r="AD10" s="42" t="s">
        <v>2</v>
      </c>
      <c r="AE10" s="35"/>
      <c r="AF10" s="29"/>
      <c r="AG10" s="37"/>
      <c r="AH10" s="42" t="s">
        <v>2</v>
      </c>
      <c r="AI10" s="35"/>
      <c r="AJ10" s="29"/>
      <c r="AK10" s="37"/>
      <c r="AL10" s="42" t="s">
        <v>2</v>
      </c>
      <c r="AM10" s="35"/>
    </row>
    <row r="11">
      <c r="A11" s="27"/>
      <c r="B11" s="43" t="s">
        <v>3</v>
      </c>
      <c r="C11" s="35">
        <v>4.0</v>
      </c>
      <c r="D11" s="29"/>
      <c r="E11" s="37"/>
      <c r="F11" s="43" t="s">
        <v>3</v>
      </c>
      <c r="G11" s="35">
        <v>11.0</v>
      </c>
      <c r="H11" s="29"/>
      <c r="I11" s="37"/>
      <c r="J11" s="43" t="s">
        <v>3</v>
      </c>
      <c r="K11" s="35">
        <v>13.0</v>
      </c>
      <c r="L11" s="29"/>
      <c r="M11" s="37"/>
      <c r="N11" s="43" t="s">
        <v>3</v>
      </c>
      <c r="O11" s="35"/>
      <c r="P11" s="29"/>
      <c r="Q11" s="37"/>
      <c r="R11" s="43" t="s">
        <v>3</v>
      </c>
      <c r="S11" s="35">
        <v>3.0</v>
      </c>
      <c r="T11" s="29"/>
      <c r="U11" s="37"/>
      <c r="V11" s="43" t="s">
        <v>3</v>
      </c>
      <c r="W11" s="35"/>
      <c r="X11" s="29"/>
      <c r="Y11" s="37"/>
      <c r="Z11" s="43" t="s">
        <v>3</v>
      </c>
      <c r="AA11" s="35"/>
      <c r="AB11" s="29"/>
      <c r="AC11" s="37"/>
      <c r="AD11" s="43" t="s">
        <v>3</v>
      </c>
      <c r="AE11" s="35"/>
      <c r="AF11" s="29"/>
      <c r="AG11" s="37"/>
      <c r="AH11" s="43" t="s">
        <v>3</v>
      </c>
      <c r="AI11" s="35"/>
      <c r="AJ11" s="29"/>
      <c r="AK11" s="37"/>
      <c r="AL11" s="43" t="s">
        <v>3</v>
      </c>
      <c r="AM11" s="35"/>
    </row>
    <row r="12">
      <c r="A12" s="27"/>
      <c r="B12" s="40" t="s">
        <v>4</v>
      </c>
      <c r="C12" s="35">
        <v>5.0</v>
      </c>
      <c r="D12" s="29"/>
      <c r="E12" s="37"/>
      <c r="F12" s="40" t="s">
        <v>4</v>
      </c>
      <c r="G12" s="35">
        <v>5.0</v>
      </c>
      <c r="H12" s="29"/>
      <c r="I12" s="37"/>
      <c r="J12" s="40" t="s">
        <v>4</v>
      </c>
      <c r="K12" s="35">
        <v>5.0</v>
      </c>
      <c r="L12" s="29"/>
      <c r="M12" s="37"/>
      <c r="N12" s="40" t="s">
        <v>4</v>
      </c>
      <c r="O12" s="35"/>
      <c r="P12" s="29"/>
      <c r="Q12" s="37"/>
      <c r="R12" s="40" t="s">
        <v>4</v>
      </c>
      <c r="S12" s="35">
        <v>5.0</v>
      </c>
      <c r="T12" s="29"/>
      <c r="U12" s="37"/>
      <c r="V12" s="40" t="s">
        <v>4</v>
      </c>
      <c r="W12" s="35"/>
      <c r="X12" s="29"/>
      <c r="Y12" s="37"/>
      <c r="Z12" s="40" t="s">
        <v>4</v>
      </c>
      <c r="AA12" s="35"/>
      <c r="AB12" s="29"/>
      <c r="AC12" s="37"/>
      <c r="AD12" s="40" t="s">
        <v>4</v>
      </c>
      <c r="AE12" s="35"/>
      <c r="AF12" s="29"/>
      <c r="AG12" s="37"/>
      <c r="AH12" s="40" t="s">
        <v>4</v>
      </c>
      <c r="AI12" s="35"/>
      <c r="AJ12" s="29"/>
      <c r="AK12" s="37"/>
      <c r="AL12" s="40" t="s">
        <v>4</v>
      </c>
      <c r="AM12" s="35"/>
    </row>
    <row r="13">
      <c r="A13" s="27"/>
      <c r="B13" s="40" t="s">
        <v>5</v>
      </c>
      <c r="C13" s="35">
        <v>22.0</v>
      </c>
      <c r="D13" s="29"/>
      <c r="E13" s="37"/>
      <c r="F13" s="40" t="s">
        <v>5</v>
      </c>
      <c r="G13" s="35">
        <v>1.0</v>
      </c>
      <c r="H13" s="29"/>
      <c r="I13" s="37"/>
      <c r="J13" s="40" t="s">
        <v>5</v>
      </c>
      <c r="K13" s="35">
        <v>18.0</v>
      </c>
      <c r="L13" s="29"/>
      <c r="M13" s="37"/>
      <c r="N13" s="40" t="s">
        <v>5</v>
      </c>
      <c r="O13" s="35"/>
      <c r="P13" s="29"/>
      <c r="Q13" s="37"/>
      <c r="R13" s="40" t="s">
        <v>5</v>
      </c>
      <c r="S13" s="35">
        <v>3.0</v>
      </c>
      <c r="T13" s="29"/>
      <c r="U13" s="37"/>
      <c r="V13" s="40" t="s">
        <v>5</v>
      </c>
      <c r="W13" s="35"/>
      <c r="X13" s="29"/>
      <c r="Y13" s="37"/>
      <c r="Z13" s="40" t="s">
        <v>5</v>
      </c>
      <c r="AA13" s="35"/>
      <c r="AB13" s="29"/>
      <c r="AC13" s="37"/>
      <c r="AD13" s="40" t="s">
        <v>5</v>
      </c>
      <c r="AE13" s="35"/>
      <c r="AF13" s="29"/>
      <c r="AG13" s="37"/>
      <c r="AH13" s="40" t="s">
        <v>5</v>
      </c>
      <c r="AI13" s="35"/>
      <c r="AJ13" s="29"/>
      <c r="AK13" s="37"/>
      <c r="AL13" s="40" t="s">
        <v>5</v>
      </c>
      <c r="AM13" s="35"/>
    </row>
    <row r="14" ht="7.5" customHeight="1">
      <c r="A14" s="27"/>
      <c r="B14" s="44"/>
      <c r="C14" s="27"/>
      <c r="D14" s="29"/>
      <c r="E14" s="30"/>
      <c r="F14" s="44"/>
      <c r="G14" s="27"/>
      <c r="H14" s="29"/>
      <c r="I14" s="30"/>
      <c r="J14" s="44"/>
      <c r="K14" s="27"/>
      <c r="L14" s="29"/>
      <c r="M14" s="30"/>
      <c r="N14" s="44"/>
      <c r="O14" s="27"/>
      <c r="P14" s="29"/>
      <c r="Q14" s="30"/>
      <c r="R14" s="44"/>
      <c r="S14" s="27"/>
      <c r="T14" s="29"/>
      <c r="U14" s="30"/>
      <c r="V14" s="44"/>
      <c r="W14" s="27"/>
      <c r="X14" s="29"/>
      <c r="Y14" s="30"/>
      <c r="Z14" s="44"/>
      <c r="AA14" s="27"/>
      <c r="AB14" s="29"/>
      <c r="AC14" s="30"/>
      <c r="AD14" s="44"/>
      <c r="AE14" s="27"/>
      <c r="AF14" s="29"/>
      <c r="AG14" s="30"/>
      <c r="AH14" s="44"/>
      <c r="AI14" s="27"/>
      <c r="AJ14" s="29"/>
      <c r="AK14" s="30"/>
      <c r="AL14" s="44"/>
      <c r="AM14" s="27"/>
    </row>
    <row r="15">
      <c r="A15" s="45" t="s">
        <v>7</v>
      </c>
      <c r="B15" s="44"/>
      <c r="C15" s="27"/>
      <c r="D15" s="29"/>
      <c r="E15" s="30"/>
      <c r="F15" s="44"/>
      <c r="G15" s="27"/>
      <c r="H15" s="29"/>
      <c r="I15" s="30"/>
      <c r="J15" s="44"/>
      <c r="K15" s="27"/>
      <c r="L15" s="29"/>
      <c r="M15" s="30"/>
      <c r="N15" s="44"/>
      <c r="O15" s="27"/>
      <c r="P15" s="29"/>
      <c r="Q15" s="30"/>
      <c r="R15" s="44"/>
      <c r="S15" s="27"/>
      <c r="T15" s="29"/>
      <c r="U15" s="30"/>
      <c r="V15" s="44"/>
      <c r="W15" s="27"/>
      <c r="X15" s="29"/>
      <c r="Y15" s="30"/>
      <c r="Z15" s="44"/>
      <c r="AA15" s="27"/>
      <c r="AB15" s="29"/>
      <c r="AC15" s="30"/>
      <c r="AD15" s="44"/>
      <c r="AE15" s="27"/>
      <c r="AF15" s="29"/>
      <c r="AG15" s="30"/>
      <c r="AH15" s="44"/>
      <c r="AI15" s="27"/>
      <c r="AJ15" s="29"/>
      <c r="AK15" s="30"/>
      <c r="AL15" s="44"/>
      <c r="AM15" s="27"/>
    </row>
    <row r="16">
      <c r="A16" s="46" t="s">
        <v>21</v>
      </c>
      <c r="B16" s="47" t="s">
        <v>22</v>
      </c>
      <c r="C16" s="48">
        <f t="shared" ref="C16:C20" si="1">C3+C9</f>
        <v>928</v>
      </c>
      <c r="D16" s="29"/>
      <c r="E16" s="37"/>
      <c r="F16" s="47" t="s">
        <v>22</v>
      </c>
      <c r="G16" s="48">
        <f t="shared" ref="G16:G20" si="2">G3+G9</f>
        <v>928</v>
      </c>
      <c r="H16" s="29"/>
      <c r="I16" s="37"/>
      <c r="J16" s="47" t="s">
        <v>22</v>
      </c>
      <c r="K16" s="48">
        <f t="shared" ref="K16:K20" si="3">K3+K9</f>
        <v>928</v>
      </c>
      <c r="L16" s="29"/>
      <c r="M16" s="37"/>
      <c r="N16" s="47" t="s">
        <v>22</v>
      </c>
      <c r="O16" s="48">
        <f t="shared" ref="O16:O20" si="4">O3+O9</f>
        <v>0</v>
      </c>
      <c r="P16" s="29"/>
      <c r="Q16" s="37"/>
      <c r="R16" s="47" t="s">
        <v>22</v>
      </c>
      <c r="S16" s="48">
        <f t="shared" ref="S16:S20" si="5">S3+S9</f>
        <v>887</v>
      </c>
      <c r="T16" s="29"/>
      <c r="U16" s="37"/>
      <c r="V16" s="47" t="s">
        <v>22</v>
      </c>
      <c r="W16" s="48">
        <f t="shared" ref="W16:W20" si="6">W3+W9</f>
        <v>0</v>
      </c>
      <c r="X16" s="29"/>
      <c r="Y16" s="37"/>
      <c r="Z16" s="47" t="s">
        <v>22</v>
      </c>
      <c r="AA16" s="48">
        <f t="shared" ref="AA16:AA20" si="7">AA3+AA9</f>
        <v>0</v>
      </c>
      <c r="AB16" s="29"/>
      <c r="AC16" s="37"/>
      <c r="AD16" s="47" t="s">
        <v>22</v>
      </c>
      <c r="AE16" s="48">
        <f t="shared" ref="AE16:AE20" si="8">AE3+AE9</f>
        <v>0</v>
      </c>
      <c r="AF16" s="29"/>
      <c r="AG16" s="37"/>
      <c r="AH16" s="47" t="s">
        <v>22</v>
      </c>
      <c r="AI16" s="48">
        <f t="shared" ref="AI16:AI20" si="9">AI3+AI9</f>
        <v>0</v>
      </c>
      <c r="AJ16" s="29"/>
      <c r="AK16" s="37"/>
      <c r="AL16" s="47" t="s">
        <v>22</v>
      </c>
      <c r="AM16" s="48">
        <f t="shared" ref="AM16:AM20" si="10">AM3+AM9</f>
        <v>0</v>
      </c>
    </row>
    <row r="17">
      <c r="A17" s="48"/>
      <c r="B17" s="49" t="s">
        <v>2</v>
      </c>
      <c r="C17" s="48">
        <f t="shared" si="1"/>
        <v>877</v>
      </c>
      <c r="D17" s="29"/>
      <c r="E17" s="37"/>
      <c r="F17" s="49" t="s">
        <v>2</v>
      </c>
      <c r="G17" s="48">
        <f t="shared" si="2"/>
        <v>896</v>
      </c>
      <c r="H17" s="29"/>
      <c r="I17" s="37"/>
      <c r="J17" s="49" t="s">
        <v>2</v>
      </c>
      <c r="K17" s="48">
        <f t="shared" si="3"/>
        <v>857</v>
      </c>
      <c r="L17" s="29"/>
      <c r="M17" s="37"/>
      <c r="N17" s="49" t="s">
        <v>2</v>
      </c>
      <c r="O17" s="48">
        <f t="shared" si="4"/>
        <v>0</v>
      </c>
      <c r="P17" s="29"/>
      <c r="Q17" s="37"/>
      <c r="R17" s="49" t="s">
        <v>2</v>
      </c>
      <c r="S17" s="48">
        <f t="shared" si="5"/>
        <v>875</v>
      </c>
      <c r="T17" s="29"/>
      <c r="U17" s="37"/>
      <c r="V17" s="49" t="s">
        <v>2</v>
      </c>
      <c r="W17" s="48">
        <f t="shared" si="6"/>
        <v>0</v>
      </c>
      <c r="X17" s="29"/>
      <c r="Y17" s="37"/>
      <c r="Z17" s="49" t="s">
        <v>2</v>
      </c>
      <c r="AA17" s="48">
        <f t="shared" si="7"/>
        <v>0</v>
      </c>
      <c r="AB17" s="29"/>
      <c r="AC17" s="37"/>
      <c r="AD17" s="49" t="s">
        <v>2</v>
      </c>
      <c r="AE17" s="48">
        <f t="shared" si="8"/>
        <v>0</v>
      </c>
      <c r="AF17" s="29"/>
      <c r="AG17" s="37"/>
      <c r="AH17" s="49" t="s">
        <v>2</v>
      </c>
      <c r="AI17" s="48">
        <f t="shared" si="9"/>
        <v>0</v>
      </c>
      <c r="AJ17" s="29"/>
      <c r="AK17" s="37"/>
      <c r="AL17" s="49" t="s">
        <v>2</v>
      </c>
      <c r="AM17" s="48">
        <f t="shared" si="10"/>
        <v>0</v>
      </c>
    </row>
    <row r="18">
      <c r="A18" s="48"/>
      <c r="B18" s="50" t="s">
        <v>3</v>
      </c>
      <c r="C18" s="48">
        <f t="shared" si="1"/>
        <v>7</v>
      </c>
      <c r="D18" s="29"/>
      <c r="E18" s="37"/>
      <c r="F18" s="50" t="s">
        <v>3</v>
      </c>
      <c r="G18" s="48">
        <f t="shared" si="2"/>
        <v>19</v>
      </c>
      <c r="H18" s="29"/>
      <c r="I18" s="37"/>
      <c r="J18" s="50" t="s">
        <v>3</v>
      </c>
      <c r="K18" s="48">
        <f t="shared" si="3"/>
        <v>26</v>
      </c>
      <c r="L18" s="29"/>
      <c r="M18" s="37"/>
      <c r="N18" s="50" t="s">
        <v>3</v>
      </c>
      <c r="O18" s="48">
        <f t="shared" si="4"/>
        <v>0</v>
      </c>
      <c r="P18" s="29"/>
      <c r="Q18" s="37"/>
      <c r="R18" s="50" t="s">
        <v>3</v>
      </c>
      <c r="S18" s="48">
        <f t="shared" si="5"/>
        <v>4</v>
      </c>
      <c r="T18" s="29"/>
      <c r="U18" s="37"/>
      <c r="V18" s="50" t="s">
        <v>3</v>
      </c>
      <c r="W18" s="48">
        <f t="shared" si="6"/>
        <v>0</v>
      </c>
      <c r="X18" s="29"/>
      <c r="Y18" s="37"/>
      <c r="Z18" s="50" t="s">
        <v>3</v>
      </c>
      <c r="AA18" s="48">
        <f t="shared" si="7"/>
        <v>0</v>
      </c>
      <c r="AB18" s="29"/>
      <c r="AC18" s="37"/>
      <c r="AD18" s="50" t="s">
        <v>3</v>
      </c>
      <c r="AE18" s="48">
        <f t="shared" si="8"/>
        <v>0</v>
      </c>
      <c r="AF18" s="29"/>
      <c r="AG18" s="37"/>
      <c r="AH18" s="50" t="s">
        <v>3</v>
      </c>
      <c r="AI18" s="48">
        <f t="shared" si="9"/>
        <v>0</v>
      </c>
      <c r="AJ18" s="29"/>
      <c r="AK18" s="37"/>
      <c r="AL18" s="50" t="s">
        <v>3</v>
      </c>
      <c r="AM18" s="48">
        <f t="shared" si="10"/>
        <v>0</v>
      </c>
    </row>
    <row r="19">
      <c r="A19" s="48"/>
      <c r="B19" s="51" t="s">
        <v>4</v>
      </c>
      <c r="C19" s="48">
        <f t="shared" si="1"/>
        <v>11</v>
      </c>
      <c r="D19" s="29"/>
      <c r="E19" s="37"/>
      <c r="F19" s="51" t="s">
        <v>4</v>
      </c>
      <c r="G19" s="48">
        <f t="shared" si="2"/>
        <v>11</v>
      </c>
      <c r="H19" s="29"/>
      <c r="I19" s="37"/>
      <c r="J19" s="51" t="s">
        <v>4</v>
      </c>
      <c r="K19" s="48">
        <f t="shared" si="3"/>
        <v>11</v>
      </c>
      <c r="L19" s="29"/>
      <c r="M19" s="37"/>
      <c r="N19" s="51" t="s">
        <v>4</v>
      </c>
      <c r="O19" s="48">
        <f t="shared" si="4"/>
        <v>0</v>
      </c>
      <c r="P19" s="29"/>
      <c r="Q19" s="37"/>
      <c r="R19" s="51" t="s">
        <v>4</v>
      </c>
      <c r="S19" s="48">
        <f t="shared" si="5"/>
        <v>11</v>
      </c>
      <c r="T19" s="29"/>
      <c r="U19" s="37"/>
      <c r="V19" s="51" t="s">
        <v>4</v>
      </c>
      <c r="W19" s="48">
        <f t="shared" si="6"/>
        <v>0</v>
      </c>
      <c r="X19" s="29"/>
      <c r="Y19" s="37"/>
      <c r="Z19" s="51" t="s">
        <v>4</v>
      </c>
      <c r="AA19" s="48">
        <f t="shared" si="7"/>
        <v>0</v>
      </c>
      <c r="AB19" s="29"/>
      <c r="AC19" s="37"/>
      <c r="AD19" s="51" t="s">
        <v>4</v>
      </c>
      <c r="AE19" s="48">
        <f t="shared" si="8"/>
        <v>0</v>
      </c>
      <c r="AF19" s="29"/>
      <c r="AG19" s="37"/>
      <c r="AH19" s="51" t="s">
        <v>4</v>
      </c>
      <c r="AI19" s="48">
        <f t="shared" si="9"/>
        <v>0</v>
      </c>
      <c r="AJ19" s="29"/>
      <c r="AK19" s="37"/>
      <c r="AL19" s="51" t="s">
        <v>4</v>
      </c>
      <c r="AM19" s="48">
        <f t="shared" si="10"/>
        <v>0</v>
      </c>
    </row>
    <row r="20">
      <c r="A20" s="48"/>
      <c r="B20" s="51" t="s">
        <v>10</v>
      </c>
      <c r="C20" s="48">
        <f t="shared" si="1"/>
        <v>33</v>
      </c>
      <c r="D20" s="29"/>
      <c r="E20" s="37"/>
      <c r="F20" s="51" t="s">
        <v>10</v>
      </c>
      <c r="G20" s="48">
        <f t="shared" si="2"/>
        <v>2</v>
      </c>
      <c r="H20" s="29"/>
      <c r="I20" s="37"/>
      <c r="J20" s="51" t="s">
        <v>10</v>
      </c>
      <c r="K20" s="48">
        <f t="shared" si="3"/>
        <v>34</v>
      </c>
      <c r="L20" s="29"/>
      <c r="M20" s="37"/>
      <c r="N20" s="51" t="s">
        <v>10</v>
      </c>
      <c r="O20" s="48">
        <f t="shared" si="4"/>
        <v>0</v>
      </c>
      <c r="P20" s="29"/>
      <c r="Q20" s="37"/>
      <c r="R20" s="51" t="s">
        <v>10</v>
      </c>
      <c r="S20" s="48">
        <f t="shared" si="5"/>
        <v>3</v>
      </c>
      <c r="T20" s="29"/>
      <c r="U20" s="37"/>
      <c r="V20" s="51" t="s">
        <v>10</v>
      </c>
      <c r="W20" s="48">
        <f t="shared" si="6"/>
        <v>0</v>
      </c>
      <c r="X20" s="29"/>
      <c r="Y20" s="37"/>
      <c r="Z20" s="51" t="s">
        <v>10</v>
      </c>
      <c r="AA20" s="48">
        <f t="shared" si="7"/>
        <v>0</v>
      </c>
      <c r="AB20" s="29"/>
      <c r="AC20" s="37"/>
      <c r="AD20" s="51" t="s">
        <v>10</v>
      </c>
      <c r="AE20" s="48">
        <f t="shared" si="8"/>
        <v>0</v>
      </c>
      <c r="AF20" s="29"/>
      <c r="AG20" s="37"/>
      <c r="AH20" s="51" t="s">
        <v>10</v>
      </c>
      <c r="AI20" s="48">
        <f t="shared" si="9"/>
        <v>0</v>
      </c>
      <c r="AJ20" s="29"/>
      <c r="AK20" s="37"/>
      <c r="AL20" s="51" t="s">
        <v>10</v>
      </c>
      <c r="AM20" s="48">
        <f t="shared" si="10"/>
        <v>0</v>
      </c>
    </row>
    <row r="21" ht="7.5" customHeight="1">
      <c r="A21" s="35"/>
      <c r="B21" s="44"/>
      <c r="C21" s="27"/>
      <c r="D21" s="29"/>
      <c r="E21" s="30"/>
      <c r="F21" s="44"/>
      <c r="G21" s="27"/>
      <c r="H21" s="29"/>
      <c r="I21" s="30"/>
      <c r="J21" s="44"/>
      <c r="K21" s="27"/>
      <c r="L21" s="29"/>
      <c r="M21" s="30"/>
      <c r="N21" s="44"/>
      <c r="O21" s="27"/>
      <c r="P21" s="29"/>
      <c r="Q21" s="30"/>
      <c r="R21" s="44"/>
      <c r="S21" s="27"/>
      <c r="T21" s="29"/>
      <c r="U21" s="30"/>
      <c r="V21" s="44"/>
      <c r="W21" s="27"/>
      <c r="X21" s="29"/>
      <c r="Y21" s="30"/>
      <c r="Z21" s="44"/>
      <c r="AA21" s="27"/>
      <c r="AB21" s="29"/>
      <c r="AC21" s="30"/>
      <c r="AD21" s="44"/>
      <c r="AE21" s="27"/>
      <c r="AF21" s="29"/>
      <c r="AG21" s="30"/>
      <c r="AH21" s="44"/>
      <c r="AI21" s="27"/>
      <c r="AJ21" s="29"/>
      <c r="AK21" s="30"/>
      <c r="AL21" s="44"/>
      <c r="AM21" s="27"/>
    </row>
    <row r="22">
      <c r="A22" s="35" t="s">
        <v>11</v>
      </c>
      <c r="B22" s="27"/>
      <c r="C22" s="48">
        <v>1982.0</v>
      </c>
      <c r="D22" s="29"/>
      <c r="E22" s="30"/>
      <c r="F22" s="27"/>
      <c r="G22" s="46">
        <v>1977.0</v>
      </c>
      <c r="H22" s="29"/>
      <c r="I22" s="30"/>
      <c r="J22" s="27"/>
      <c r="K22" s="46">
        <v>2018.0</v>
      </c>
      <c r="L22" s="29"/>
      <c r="M22" s="30"/>
      <c r="N22" s="27"/>
      <c r="O22" s="48"/>
      <c r="P22" s="29"/>
      <c r="Q22" s="30"/>
      <c r="R22" s="27"/>
      <c r="S22" s="46"/>
      <c r="T22" s="29"/>
      <c r="U22" s="30"/>
      <c r="V22" s="27"/>
      <c r="W22" s="48"/>
      <c r="X22" s="29"/>
      <c r="Y22" s="30"/>
      <c r="Z22" s="27"/>
      <c r="AA22" s="48"/>
      <c r="AB22" s="29"/>
      <c r="AC22" s="30"/>
      <c r="AD22" s="27"/>
      <c r="AE22" s="48"/>
      <c r="AF22" s="29"/>
      <c r="AG22" s="30"/>
      <c r="AH22" s="27"/>
      <c r="AI22" s="48"/>
      <c r="AJ22" s="29"/>
      <c r="AK22" s="30"/>
      <c r="AL22" s="27"/>
      <c r="AM22" s="48"/>
    </row>
    <row r="23">
      <c r="A23" s="35" t="s">
        <v>12</v>
      </c>
      <c r="B23" s="27"/>
      <c r="C23" s="48">
        <v>961.0</v>
      </c>
      <c r="D23" s="29"/>
      <c r="E23" s="30"/>
      <c r="F23" s="27"/>
      <c r="G23" s="46">
        <v>956.0</v>
      </c>
      <c r="H23" s="29"/>
      <c r="I23" s="30"/>
      <c r="J23" s="27"/>
      <c r="K23" s="46">
        <v>953.0</v>
      </c>
      <c r="L23" s="29"/>
      <c r="M23" s="30"/>
      <c r="N23" s="27"/>
      <c r="O23" s="48"/>
      <c r="P23" s="29"/>
      <c r="Q23" s="30"/>
      <c r="R23" s="27"/>
      <c r="S23" s="46"/>
      <c r="T23" s="29"/>
      <c r="U23" s="30"/>
      <c r="V23" s="27"/>
      <c r="W23" s="48"/>
      <c r="X23" s="29"/>
      <c r="Y23" s="30"/>
      <c r="Z23" s="27"/>
      <c r="AA23" s="48"/>
      <c r="AB23" s="29"/>
      <c r="AC23" s="30"/>
      <c r="AD23" s="27"/>
      <c r="AE23" s="48"/>
      <c r="AF23" s="29"/>
      <c r="AG23" s="30"/>
      <c r="AH23" s="27"/>
      <c r="AI23" s="48"/>
      <c r="AJ23" s="29"/>
      <c r="AK23" s="30"/>
      <c r="AL23" s="27"/>
      <c r="AM23" s="48"/>
    </row>
    <row r="24" ht="7.5" customHeight="1">
      <c r="A24" s="27"/>
      <c r="B24" s="44"/>
      <c r="C24" s="27"/>
      <c r="D24" s="29"/>
      <c r="E24" s="30"/>
      <c r="F24" s="44"/>
      <c r="G24" s="27"/>
      <c r="H24" s="29"/>
      <c r="I24" s="30"/>
      <c r="J24" s="44"/>
      <c r="K24" s="27"/>
      <c r="L24" s="29"/>
      <c r="M24" s="30"/>
      <c r="N24" s="44"/>
      <c r="O24" s="27"/>
      <c r="P24" s="29"/>
      <c r="Q24" s="30"/>
      <c r="R24" s="44"/>
      <c r="S24" s="27"/>
      <c r="T24" s="29"/>
      <c r="U24" s="30"/>
      <c r="V24" s="44"/>
      <c r="W24" s="27"/>
      <c r="X24" s="29"/>
      <c r="Y24" s="30"/>
      <c r="Z24" s="44"/>
      <c r="AA24" s="27"/>
      <c r="AB24" s="29"/>
      <c r="AC24" s="30"/>
      <c r="AD24" s="44"/>
      <c r="AE24" s="27"/>
      <c r="AF24" s="29"/>
      <c r="AG24" s="30"/>
      <c r="AH24" s="44"/>
      <c r="AI24" s="27"/>
      <c r="AJ24" s="29"/>
      <c r="AK24" s="30"/>
      <c r="AL24" s="44"/>
      <c r="AM24" s="27"/>
    </row>
    <row r="25">
      <c r="A25" s="52" t="s">
        <v>23</v>
      </c>
      <c r="B25" s="53" t="s">
        <v>9</v>
      </c>
      <c r="C25" s="48">
        <v>119.0</v>
      </c>
      <c r="D25" s="29"/>
      <c r="E25" s="30"/>
      <c r="F25" s="53" t="s">
        <v>9</v>
      </c>
      <c r="G25" s="46">
        <v>30.0</v>
      </c>
      <c r="H25" s="29"/>
      <c r="I25" s="30"/>
      <c r="J25" s="53" t="s">
        <v>9</v>
      </c>
      <c r="K25" s="46">
        <v>30.0</v>
      </c>
      <c r="L25" s="29"/>
      <c r="M25" s="30"/>
      <c r="N25" s="53" t="s">
        <v>9</v>
      </c>
      <c r="O25" s="48"/>
      <c r="P25" s="29"/>
      <c r="Q25" s="30"/>
      <c r="R25" s="53" t="s">
        <v>9</v>
      </c>
      <c r="S25" s="46">
        <v>132.0</v>
      </c>
      <c r="T25" s="29"/>
      <c r="U25" s="30"/>
      <c r="V25" s="53" t="s">
        <v>9</v>
      </c>
      <c r="W25" s="48"/>
      <c r="X25" s="29"/>
      <c r="Y25" s="30"/>
      <c r="Z25" s="53" t="s">
        <v>9</v>
      </c>
      <c r="AA25" s="48"/>
      <c r="AB25" s="29"/>
      <c r="AC25" s="30"/>
      <c r="AD25" s="53" t="s">
        <v>9</v>
      </c>
      <c r="AE25" s="48"/>
      <c r="AF25" s="29"/>
      <c r="AG25" s="30"/>
      <c r="AH25" s="53" t="s">
        <v>9</v>
      </c>
      <c r="AI25" s="48"/>
      <c r="AJ25" s="29"/>
      <c r="AK25" s="30"/>
      <c r="AL25" s="53" t="s">
        <v>9</v>
      </c>
      <c r="AM25" s="48"/>
    </row>
    <row r="26">
      <c r="A26" s="27"/>
      <c r="B26" s="54" t="s">
        <v>14</v>
      </c>
      <c r="C26" s="48">
        <v>110.0</v>
      </c>
      <c r="D26" s="29"/>
      <c r="E26" s="37"/>
      <c r="F26" s="54" t="s">
        <v>14</v>
      </c>
      <c r="G26" s="46">
        <v>28.0</v>
      </c>
      <c r="H26" s="29"/>
      <c r="I26" s="37"/>
      <c r="J26" s="54" t="s">
        <v>14</v>
      </c>
      <c r="K26" s="46">
        <v>25.0</v>
      </c>
      <c r="L26" s="29"/>
      <c r="M26" s="37"/>
      <c r="N26" s="54" t="s">
        <v>14</v>
      </c>
      <c r="O26" s="48"/>
      <c r="P26" s="29"/>
      <c r="Q26" s="37"/>
      <c r="R26" s="54" t="s">
        <v>14</v>
      </c>
      <c r="S26" s="46">
        <v>121.0</v>
      </c>
      <c r="T26" s="29"/>
      <c r="U26" s="37"/>
      <c r="V26" s="54" t="s">
        <v>14</v>
      </c>
      <c r="W26" s="48"/>
      <c r="X26" s="29"/>
      <c r="Y26" s="37"/>
      <c r="Z26" s="54" t="s">
        <v>14</v>
      </c>
      <c r="AA26" s="48"/>
      <c r="AB26" s="29"/>
      <c r="AC26" s="37"/>
      <c r="AD26" s="54" t="s">
        <v>14</v>
      </c>
      <c r="AE26" s="48"/>
      <c r="AF26" s="29"/>
      <c r="AG26" s="37"/>
      <c r="AH26" s="54" t="s">
        <v>14</v>
      </c>
      <c r="AI26" s="48"/>
      <c r="AJ26" s="29"/>
      <c r="AK26" s="37"/>
      <c r="AL26" s="54" t="s">
        <v>14</v>
      </c>
      <c r="AM26" s="48"/>
    </row>
    <row r="27">
      <c r="A27" s="27"/>
      <c r="B27" s="55" t="s">
        <v>15</v>
      </c>
      <c r="C27" s="48">
        <v>2.0</v>
      </c>
      <c r="D27" s="29"/>
      <c r="E27" s="37"/>
      <c r="F27" s="55" t="s">
        <v>15</v>
      </c>
      <c r="G27" s="46">
        <v>2.0</v>
      </c>
      <c r="H27" s="29"/>
      <c r="I27" s="37"/>
      <c r="J27" s="55" t="s">
        <v>15</v>
      </c>
      <c r="K27" s="46">
        <v>1.0</v>
      </c>
      <c r="L27" s="29"/>
      <c r="M27" s="37"/>
      <c r="N27" s="55" t="s">
        <v>15</v>
      </c>
      <c r="O27" s="48"/>
      <c r="P27" s="29"/>
      <c r="Q27" s="37"/>
      <c r="R27" s="55" t="s">
        <v>15</v>
      </c>
      <c r="S27" s="46">
        <v>2.0</v>
      </c>
      <c r="T27" s="29"/>
      <c r="U27" s="37"/>
      <c r="V27" s="55" t="s">
        <v>15</v>
      </c>
      <c r="W27" s="48"/>
      <c r="X27" s="29"/>
      <c r="Y27" s="37"/>
      <c r="Z27" s="55" t="s">
        <v>15</v>
      </c>
      <c r="AA27" s="48"/>
      <c r="AB27" s="29"/>
      <c r="AC27" s="37"/>
      <c r="AD27" s="55" t="s">
        <v>15</v>
      </c>
      <c r="AE27" s="48"/>
      <c r="AF27" s="29"/>
      <c r="AG27" s="37"/>
      <c r="AH27" s="55" t="s">
        <v>15</v>
      </c>
      <c r="AI27" s="48"/>
      <c r="AJ27" s="29"/>
      <c r="AK27" s="37"/>
      <c r="AL27" s="55" t="s">
        <v>15</v>
      </c>
      <c r="AM27" s="48"/>
    </row>
    <row r="28">
      <c r="A28" s="27"/>
      <c r="B28" s="56" t="s">
        <v>16</v>
      </c>
      <c r="C28" s="48">
        <v>7.0</v>
      </c>
      <c r="D28" s="29"/>
      <c r="E28" s="37"/>
      <c r="F28" s="56" t="s">
        <v>16</v>
      </c>
      <c r="G28" s="46">
        <v>0.0</v>
      </c>
      <c r="H28" s="29"/>
      <c r="I28" s="37"/>
      <c r="J28" s="56" t="s">
        <v>16</v>
      </c>
      <c r="K28" s="46">
        <v>4.0</v>
      </c>
      <c r="L28" s="29"/>
      <c r="M28" s="37"/>
      <c r="N28" s="56" t="s">
        <v>16</v>
      </c>
      <c r="O28" s="48"/>
      <c r="P28" s="29"/>
      <c r="Q28" s="37"/>
      <c r="R28" s="56" t="s">
        <v>16</v>
      </c>
      <c r="S28" s="46">
        <v>2.0</v>
      </c>
      <c r="T28" s="29"/>
      <c r="U28" s="37"/>
      <c r="V28" s="56" t="s">
        <v>16</v>
      </c>
      <c r="W28" s="48"/>
      <c r="X28" s="29"/>
      <c r="Y28" s="37"/>
      <c r="Z28" s="56" t="s">
        <v>16</v>
      </c>
      <c r="AA28" s="48"/>
      <c r="AB28" s="29"/>
      <c r="AC28" s="37"/>
      <c r="AD28" s="56" t="s">
        <v>16</v>
      </c>
      <c r="AE28" s="48"/>
      <c r="AF28" s="29"/>
      <c r="AG28" s="37"/>
      <c r="AH28" s="56" t="s">
        <v>16</v>
      </c>
      <c r="AI28" s="48"/>
      <c r="AJ28" s="29"/>
      <c r="AK28" s="37"/>
      <c r="AL28" s="56" t="s">
        <v>16</v>
      </c>
      <c r="AM28" s="48"/>
    </row>
    <row r="29" ht="7.5" customHeight="1">
      <c r="A29" s="27"/>
      <c r="B29" s="44"/>
      <c r="C29" s="27"/>
      <c r="D29" s="29"/>
      <c r="E29" s="30"/>
      <c r="F29" s="44"/>
      <c r="G29" s="27"/>
      <c r="H29" s="29"/>
      <c r="I29" s="30"/>
      <c r="J29" s="44"/>
      <c r="K29" s="27"/>
      <c r="L29" s="29"/>
      <c r="M29" s="30"/>
      <c r="N29" s="44"/>
      <c r="O29" s="27"/>
      <c r="P29" s="29"/>
      <c r="Q29" s="30"/>
      <c r="R29" s="44"/>
      <c r="S29" s="27"/>
      <c r="T29" s="29"/>
      <c r="U29" s="30"/>
      <c r="V29" s="44"/>
      <c r="W29" s="27"/>
      <c r="X29" s="29"/>
      <c r="Y29" s="30"/>
      <c r="Z29" s="44"/>
      <c r="AA29" s="27"/>
      <c r="AB29" s="29"/>
      <c r="AC29" s="30"/>
      <c r="AD29" s="44"/>
      <c r="AE29" s="27"/>
      <c r="AF29" s="29"/>
      <c r="AG29" s="30"/>
      <c r="AH29" s="44"/>
      <c r="AI29" s="27"/>
      <c r="AJ29" s="29"/>
      <c r="AK29" s="30"/>
      <c r="AL29" s="44"/>
      <c r="AM29" s="27"/>
    </row>
    <row r="30">
      <c r="A30" s="57" t="s">
        <v>17</v>
      </c>
      <c r="B30" s="53"/>
      <c r="C30" s="58">
        <f>C16+C22+C23+C25</f>
        <v>3990</v>
      </c>
      <c r="D30" s="29"/>
      <c r="E30" s="30"/>
      <c r="F30" s="53"/>
      <c r="G30" s="58">
        <f>G16+G22+G23+G25</f>
        <v>3891</v>
      </c>
      <c r="H30" s="29"/>
      <c r="I30" s="30"/>
      <c r="J30" s="53"/>
      <c r="K30" s="58">
        <f>K16+K22+K23+K25</f>
        <v>3929</v>
      </c>
      <c r="L30" s="29"/>
      <c r="M30" s="30"/>
      <c r="N30" s="53"/>
      <c r="O30" s="58">
        <f>O16+O22+O23+O25</f>
        <v>0</v>
      </c>
      <c r="P30" s="29"/>
      <c r="Q30" s="30"/>
      <c r="R30" s="53"/>
      <c r="S30" s="58">
        <f>S16+S22+S23+S25</f>
        <v>1019</v>
      </c>
      <c r="T30" s="29"/>
      <c r="U30" s="30"/>
      <c r="V30" s="53"/>
      <c r="W30" s="58">
        <f>W16+W22+W23+W25</f>
        <v>0</v>
      </c>
      <c r="X30" s="29"/>
      <c r="Y30" s="30"/>
      <c r="Z30" s="53"/>
      <c r="AA30" s="58">
        <f>AA16+AA22+AA23+AA25</f>
        <v>0</v>
      </c>
      <c r="AB30" s="29"/>
      <c r="AC30" s="30"/>
      <c r="AD30" s="53"/>
      <c r="AE30" s="58">
        <f>AE16+AE22+AE23+AE25</f>
        <v>0</v>
      </c>
      <c r="AF30" s="29"/>
      <c r="AG30" s="30"/>
      <c r="AH30" s="53"/>
      <c r="AI30" s="58">
        <f>AI16+AI22+AI23+AI25</f>
        <v>0</v>
      </c>
      <c r="AJ30" s="29"/>
      <c r="AK30" s="30"/>
      <c r="AL30" s="53"/>
      <c r="AM30" s="58">
        <f>AM16+AM22+AM23+AM25</f>
        <v>0</v>
      </c>
    </row>
    <row r="31" ht="7.5" customHeight="1">
      <c r="A31" s="48"/>
      <c r="B31" s="53"/>
      <c r="C31" s="48"/>
      <c r="D31" s="29"/>
      <c r="E31" s="30"/>
      <c r="F31" s="53"/>
      <c r="G31" s="48"/>
      <c r="H31" s="29"/>
      <c r="I31" s="30"/>
      <c r="J31" s="53"/>
      <c r="K31" s="48"/>
      <c r="L31" s="29"/>
      <c r="M31" s="30"/>
      <c r="N31" s="53"/>
      <c r="O31" s="48"/>
      <c r="P31" s="29"/>
      <c r="Q31" s="30"/>
      <c r="R31" s="53"/>
      <c r="S31" s="48"/>
      <c r="T31" s="29"/>
      <c r="U31" s="30"/>
      <c r="V31" s="53"/>
      <c r="W31" s="48"/>
      <c r="X31" s="29"/>
      <c r="Y31" s="30"/>
      <c r="Z31" s="53"/>
      <c r="AA31" s="48"/>
      <c r="AB31" s="29"/>
      <c r="AC31" s="30"/>
      <c r="AD31" s="53"/>
      <c r="AE31" s="48"/>
      <c r="AF31" s="29"/>
      <c r="AG31" s="30"/>
      <c r="AH31" s="53"/>
      <c r="AI31" s="48"/>
      <c r="AJ31" s="29"/>
      <c r="AK31" s="30"/>
      <c r="AL31" s="53"/>
      <c r="AM31" s="48"/>
    </row>
    <row r="32">
      <c r="A32" s="59" t="s">
        <v>18</v>
      </c>
      <c r="B32" s="60">
        <f>C32/C30</f>
        <v>0.984962406</v>
      </c>
      <c r="C32" s="61">
        <f>C22+C23+C26+C17</f>
        <v>3930</v>
      </c>
      <c r="D32" s="29"/>
      <c r="E32" s="62"/>
      <c r="F32" s="60">
        <f>G32/G30</f>
        <v>0.9912618864</v>
      </c>
      <c r="G32" s="61">
        <f>G22+G23+G26+G17</f>
        <v>3857</v>
      </c>
      <c r="H32" s="29"/>
      <c r="I32" s="62"/>
      <c r="J32" s="60">
        <f>K32/K30</f>
        <v>0.9806566556</v>
      </c>
      <c r="K32" s="61">
        <f>K22+K23+K26+K17</f>
        <v>3853</v>
      </c>
      <c r="L32" s="29"/>
      <c r="M32" s="62"/>
      <c r="N32" s="60" t="str">
        <f>O32/O30</f>
        <v>#DIV/0!</v>
      </c>
      <c r="O32" s="61">
        <f>O22+O23+O26+O17</f>
        <v>0</v>
      </c>
      <c r="P32" s="29"/>
      <c r="Q32" s="62"/>
      <c r="R32" s="60">
        <f>S32/S30</f>
        <v>0.9774288518</v>
      </c>
      <c r="S32" s="61">
        <f>S22+S23+S26+S17</f>
        <v>996</v>
      </c>
      <c r="T32" s="29"/>
      <c r="U32" s="62"/>
      <c r="V32" s="60" t="str">
        <f>W32/W30</f>
        <v>#DIV/0!</v>
      </c>
      <c r="W32" s="61">
        <f>W22+W23+W26+W17</f>
        <v>0</v>
      </c>
      <c r="X32" s="29"/>
      <c r="Y32" s="62"/>
      <c r="Z32" s="60" t="str">
        <f>AA32/AA30</f>
        <v>#DIV/0!</v>
      </c>
      <c r="AA32" s="61">
        <f>AA22+AA23+AA26+AA17</f>
        <v>0</v>
      </c>
      <c r="AB32" s="29"/>
      <c r="AC32" s="62"/>
      <c r="AD32" s="60" t="str">
        <f>AE32/AE30</f>
        <v>#DIV/0!</v>
      </c>
      <c r="AE32" s="61">
        <f>AE22+AE23+AE26+AE17</f>
        <v>0</v>
      </c>
      <c r="AF32" s="29"/>
      <c r="AG32" s="62"/>
      <c r="AH32" s="60" t="str">
        <f>AI32/AI30</f>
        <v>#DIV/0!</v>
      </c>
      <c r="AI32" s="61">
        <f>AI22+AI23+AI26+AI17</f>
        <v>0</v>
      </c>
      <c r="AJ32" s="29"/>
      <c r="AK32" s="62"/>
      <c r="AL32" s="60" t="str">
        <f>AM32/AM30</f>
        <v>#DIV/0!</v>
      </c>
      <c r="AM32" s="61">
        <f>AM22+AM23+AM26+AM17</f>
        <v>0</v>
      </c>
    </row>
    <row r="33">
      <c r="A33" s="63" t="s">
        <v>15</v>
      </c>
      <c r="B33" s="64">
        <f>C33/C30</f>
        <v>0.002255639098</v>
      </c>
      <c r="C33" s="65">
        <f>C18+C27</f>
        <v>9</v>
      </c>
      <c r="D33" s="29"/>
      <c r="E33" s="62"/>
      <c r="F33" s="64">
        <f>G33/G30</f>
        <v>0.005397070162</v>
      </c>
      <c r="G33" s="65">
        <f>G18+G27</f>
        <v>21</v>
      </c>
      <c r="H33" s="29"/>
      <c r="I33" s="62"/>
      <c r="J33" s="64">
        <f>K33/K30</f>
        <v>0.006871977602</v>
      </c>
      <c r="K33" s="65">
        <f>K18+K27</f>
        <v>27</v>
      </c>
      <c r="L33" s="29"/>
      <c r="M33" s="62"/>
      <c r="N33" s="64" t="str">
        <f>O33/O30</f>
        <v>#DIV/0!</v>
      </c>
      <c r="O33" s="65">
        <f>O18+O27</f>
        <v>0</v>
      </c>
      <c r="P33" s="29"/>
      <c r="Q33" s="62"/>
      <c r="R33" s="64">
        <f>S33/S30</f>
        <v>0.005888125613</v>
      </c>
      <c r="S33" s="65">
        <f>S18+S27</f>
        <v>6</v>
      </c>
      <c r="T33" s="29"/>
      <c r="U33" s="62"/>
      <c r="V33" s="64" t="str">
        <f>W33/W30</f>
        <v>#DIV/0!</v>
      </c>
      <c r="W33" s="65">
        <f>W18+W27</f>
        <v>0</v>
      </c>
      <c r="X33" s="29"/>
      <c r="Y33" s="62"/>
      <c r="Z33" s="64" t="str">
        <f>AA33/AA30</f>
        <v>#DIV/0!</v>
      </c>
      <c r="AA33" s="65">
        <f>AA18+AA27</f>
        <v>0</v>
      </c>
      <c r="AB33" s="29"/>
      <c r="AC33" s="62"/>
      <c r="AD33" s="64" t="str">
        <f>AE33/AE30</f>
        <v>#DIV/0!</v>
      </c>
      <c r="AE33" s="65">
        <f>AE18+AE27</f>
        <v>0</v>
      </c>
      <c r="AF33" s="29"/>
      <c r="AG33" s="62"/>
      <c r="AH33" s="64" t="str">
        <f>AI33/AI30</f>
        <v>#DIV/0!</v>
      </c>
      <c r="AI33" s="65">
        <f>AI18+AI27</f>
        <v>0</v>
      </c>
      <c r="AJ33" s="29"/>
      <c r="AK33" s="62"/>
      <c r="AL33" s="64" t="str">
        <f>AM33/AM30</f>
        <v>#DIV/0!</v>
      </c>
      <c r="AM33" s="65">
        <f>AM18+AM27</f>
        <v>0</v>
      </c>
    </row>
    <row r="34">
      <c r="A34" s="66" t="s">
        <v>19</v>
      </c>
      <c r="B34" s="67">
        <f>C34/C30</f>
        <v>0.01278195489</v>
      </c>
      <c r="C34" s="66">
        <f>C28+C19+C20</f>
        <v>51</v>
      </c>
      <c r="D34" s="29"/>
      <c r="E34" s="62"/>
      <c r="F34" s="67">
        <f>G34/G30</f>
        <v>0.003341043434</v>
      </c>
      <c r="G34" s="66">
        <f>G28+G19+G20</f>
        <v>13</v>
      </c>
      <c r="H34" s="29"/>
      <c r="I34" s="62"/>
      <c r="J34" s="67">
        <f>K34/K30</f>
        <v>0.01247136676</v>
      </c>
      <c r="K34" s="66">
        <f>K28+K19+K20</f>
        <v>49</v>
      </c>
      <c r="L34" s="29"/>
      <c r="M34" s="62"/>
      <c r="N34" s="67" t="str">
        <f>O34/O30</f>
        <v>#DIV/0!</v>
      </c>
      <c r="O34" s="66">
        <f>O28+O19+O20</f>
        <v>0</v>
      </c>
      <c r="P34" s="29"/>
      <c r="Q34" s="62"/>
      <c r="R34" s="67">
        <f>S34/S30</f>
        <v>0.0157016683</v>
      </c>
      <c r="S34" s="66">
        <f>S28+S19+S20</f>
        <v>16</v>
      </c>
      <c r="T34" s="29"/>
      <c r="U34" s="62"/>
      <c r="V34" s="67" t="str">
        <f>W34/W30</f>
        <v>#DIV/0!</v>
      </c>
      <c r="W34" s="66">
        <f>W28+W19+W20</f>
        <v>0</v>
      </c>
      <c r="X34" s="29"/>
      <c r="Y34" s="62"/>
      <c r="Z34" s="67" t="str">
        <f>AA34/AA30</f>
        <v>#DIV/0!</v>
      </c>
      <c r="AA34" s="66">
        <f>AA28+AA19+AA20</f>
        <v>0</v>
      </c>
      <c r="AB34" s="29"/>
      <c r="AC34" s="62"/>
      <c r="AD34" s="67" t="str">
        <f>AE34/AE30</f>
        <v>#DIV/0!</v>
      </c>
      <c r="AE34" s="66">
        <f>AE28+AE19+AE20</f>
        <v>0</v>
      </c>
      <c r="AF34" s="29"/>
      <c r="AG34" s="62"/>
      <c r="AH34" s="67" t="str">
        <f>AI34/AI30</f>
        <v>#DIV/0!</v>
      </c>
      <c r="AI34" s="66">
        <f>AI28+AI19+AI20</f>
        <v>0</v>
      </c>
      <c r="AJ34" s="29"/>
      <c r="AK34" s="62"/>
      <c r="AL34" s="67" t="str">
        <f>AM34/AM30</f>
        <v>#DIV/0!</v>
      </c>
      <c r="AM34" s="66">
        <f>AM28+AM19+AM20</f>
        <v>0</v>
      </c>
    </row>
    <row r="3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</row>
    <row r="36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</row>
    <row r="37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</row>
    <row r="38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</row>
    <row r="39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</row>
    <row r="40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</row>
    <row r="4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</row>
    <row r="42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</row>
    <row r="4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</row>
    <row r="44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</row>
    <row r="4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</row>
    <row r="46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</row>
    <row r="47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</row>
    <row r="48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</row>
    <row r="49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</row>
    <row r="50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</row>
    <row r="5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</row>
    <row r="52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</row>
    <row r="5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</row>
    <row r="54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</row>
    <row r="5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</row>
    <row r="56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</row>
    <row r="57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</row>
    <row r="58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</row>
    <row r="59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</row>
    <row r="60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</row>
    <row r="6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</row>
    <row r="62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</row>
    <row r="6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</row>
    <row r="64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</row>
    <row r="6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</row>
    <row r="66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</row>
    <row r="67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</row>
    <row r="68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</row>
    <row r="69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</row>
    <row r="70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</row>
    <row r="7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</row>
    <row r="72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</row>
    <row r="7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</row>
    <row r="74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</row>
    <row r="7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</row>
    <row r="76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</row>
    <row r="77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</row>
    <row r="78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</row>
    <row r="79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</row>
    <row r="80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</row>
    <row r="8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</row>
    <row r="82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</row>
    <row r="8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</row>
    <row r="84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</row>
    <row r="8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</row>
    <row r="86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</row>
    <row r="87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</row>
    <row r="88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</row>
    <row r="89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</row>
    <row r="90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</row>
    <row r="9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</row>
    <row r="9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</row>
    <row r="9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</row>
    <row r="94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</row>
    <row r="9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</row>
    <row r="96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</row>
    <row r="97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</row>
    <row r="98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</row>
    <row r="99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</row>
    <row r="100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</row>
    <row r="10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</row>
    <row r="102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</row>
    <row r="103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</row>
    <row r="104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</row>
    <row r="10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</row>
    <row r="106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</row>
    <row r="107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</row>
    <row r="108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</row>
    <row r="109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</row>
    <row r="110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</row>
    <row r="11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</row>
    <row r="112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</row>
    <row r="113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</row>
    <row r="114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</row>
    <row r="11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</row>
    <row r="116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</row>
    <row r="117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</row>
    <row r="118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</row>
    <row r="119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</row>
    <row r="120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</row>
    <row r="12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</row>
    <row r="122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</row>
    <row r="123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</row>
    <row r="124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</row>
    <row r="12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</row>
    <row r="126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</row>
    <row r="127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</row>
    <row r="128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</row>
    <row r="129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</row>
    <row r="130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</row>
    <row r="13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</row>
    <row r="132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</row>
    <row r="133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</row>
    <row r="134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</row>
    <row r="13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</row>
    <row r="136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</row>
    <row r="137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</row>
    <row r="138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</row>
    <row r="139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</row>
    <row r="140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</row>
    <row r="14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</row>
    <row r="142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</row>
    <row r="143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</row>
    <row r="144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</row>
    <row r="14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</row>
    <row r="146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</row>
    <row r="147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</row>
    <row r="148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</row>
    <row r="149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</row>
    <row r="150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</row>
    <row r="15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</row>
    <row r="152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</row>
    <row r="153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</row>
    <row r="154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</row>
    <row r="15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</row>
    <row r="156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</row>
    <row r="157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</row>
    <row r="158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</row>
    <row r="159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</row>
    <row r="160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</row>
    <row r="16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</row>
    <row r="162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</row>
    <row r="163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</row>
    <row r="164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</row>
    <row r="16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</row>
    <row r="166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</row>
    <row r="167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</row>
    <row r="168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</row>
    <row r="169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</row>
    <row r="170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</row>
    <row r="17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</row>
    <row r="172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</row>
    <row r="173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</row>
    <row r="174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</row>
    <row r="17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</row>
    <row r="176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</row>
    <row r="177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</row>
    <row r="178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</row>
    <row r="179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</row>
    <row r="180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</row>
    <row r="18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</row>
    <row r="182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</row>
    <row r="183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</row>
    <row r="184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</row>
    <row r="18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</row>
    <row r="186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</row>
    <row r="187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</row>
    <row r="188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</row>
    <row r="189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</row>
    <row r="190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</row>
    <row r="19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</row>
    <row r="192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</row>
    <row r="193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</row>
    <row r="194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</row>
    <row r="19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</row>
    <row r="196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</row>
    <row r="197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</row>
    <row r="198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</row>
    <row r="199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</row>
    <row r="200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</row>
    <row r="20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</row>
    <row r="202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</row>
    <row r="203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</row>
    <row r="204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</row>
    <row r="20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</row>
    <row r="206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</row>
    <row r="207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</row>
    <row r="208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</row>
    <row r="209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</row>
    <row r="210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</row>
    <row r="21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</row>
    <row r="212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</row>
    <row r="213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</row>
    <row r="214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</row>
    <row r="21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</row>
    <row r="216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</row>
    <row r="217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</row>
    <row r="218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</row>
    <row r="219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</row>
    <row r="220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</row>
    <row r="22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</row>
    <row r="222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</row>
    <row r="223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</row>
    <row r="224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</row>
    <row r="22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</row>
    <row r="226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</row>
    <row r="227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</row>
    <row r="228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</row>
    <row r="229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</row>
    <row r="230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</row>
    <row r="23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</row>
    <row r="232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</row>
    <row r="233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</row>
    <row r="234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</row>
    <row r="235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</row>
    <row r="236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</row>
    <row r="237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</row>
    <row r="238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</row>
    <row r="239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</row>
    <row r="240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</row>
    <row r="24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</row>
    <row r="242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</row>
    <row r="243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</row>
    <row r="244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</row>
    <row r="245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</row>
    <row r="246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</row>
    <row r="247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</row>
    <row r="248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</row>
    <row r="249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</row>
    <row r="250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</row>
    <row r="25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</row>
    <row r="252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</row>
    <row r="253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</row>
    <row r="254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</row>
    <row r="255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</row>
    <row r="256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</row>
    <row r="257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</row>
    <row r="258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</row>
    <row r="259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</row>
    <row r="260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</row>
    <row r="26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</row>
    <row r="262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</row>
    <row r="263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</row>
    <row r="264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</row>
    <row r="265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</row>
    <row r="266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</row>
    <row r="267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</row>
    <row r="268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</row>
    <row r="269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</row>
    <row r="270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</row>
    <row r="27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</row>
    <row r="272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</row>
    <row r="273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</row>
    <row r="274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</row>
    <row r="275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</row>
    <row r="276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</row>
    <row r="277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</row>
    <row r="278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</row>
    <row r="279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</row>
    <row r="280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</row>
    <row r="28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</row>
    <row r="282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</row>
    <row r="283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</row>
    <row r="284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</row>
    <row r="285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</row>
    <row r="286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</row>
    <row r="287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</row>
    <row r="288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</row>
    <row r="289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</row>
    <row r="290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</row>
    <row r="29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</row>
    <row r="292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</row>
    <row r="293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</row>
    <row r="294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</row>
    <row r="295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</row>
    <row r="296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</row>
    <row r="297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</row>
    <row r="298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</row>
    <row r="299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</row>
    <row r="300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</row>
    <row r="30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</row>
    <row r="302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</row>
    <row r="303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</row>
    <row r="304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</row>
    <row r="305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</row>
    <row r="306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</row>
    <row r="307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</row>
    <row r="308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</row>
    <row r="309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</row>
    <row r="310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</row>
    <row r="31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</row>
    <row r="312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</row>
    <row r="313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</row>
    <row r="314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</row>
    <row r="315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</row>
    <row r="316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</row>
    <row r="317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</row>
    <row r="318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</row>
    <row r="319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</row>
    <row r="320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</row>
    <row r="32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</row>
    <row r="322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</row>
    <row r="323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</row>
    <row r="324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</row>
    <row r="325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</row>
    <row r="326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</row>
    <row r="327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</row>
    <row r="328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</row>
    <row r="329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</row>
    <row r="330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</row>
    <row r="33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</row>
    <row r="332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</row>
    <row r="333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</row>
    <row r="334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</row>
    <row r="335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</row>
    <row r="336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</row>
    <row r="337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</row>
    <row r="338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</row>
    <row r="339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</row>
    <row r="340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</row>
    <row r="34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</row>
    <row r="342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</row>
    <row r="343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</row>
    <row r="344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</row>
    <row r="345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</row>
    <row r="346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</row>
    <row r="347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</row>
    <row r="348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</row>
    <row r="349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</row>
    <row r="350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</row>
    <row r="35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</row>
    <row r="352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</row>
    <row r="353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</row>
    <row r="354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</row>
    <row r="355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</row>
    <row r="356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</row>
    <row r="357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</row>
    <row r="358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</row>
    <row r="359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</row>
    <row r="360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</row>
    <row r="36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</row>
    <row r="362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</row>
    <row r="363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</row>
    <row r="364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</row>
    <row r="365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</row>
    <row r="366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</row>
    <row r="367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</row>
    <row r="368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</row>
    <row r="369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</row>
    <row r="370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</row>
    <row r="37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</row>
    <row r="372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</row>
    <row r="373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</row>
    <row r="374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</row>
    <row r="375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</row>
    <row r="376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</row>
    <row r="377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</row>
    <row r="378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</row>
    <row r="379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</row>
    <row r="380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</row>
    <row r="38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</row>
    <row r="382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</row>
    <row r="383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</row>
    <row r="384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</row>
    <row r="385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</row>
    <row r="386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</row>
    <row r="387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</row>
    <row r="388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</row>
    <row r="389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</row>
    <row r="390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</row>
    <row r="39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</row>
    <row r="392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</row>
    <row r="393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</row>
    <row r="394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</row>
    <row r="395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</row>
    <row r="396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</row>
    <row r="397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</row>
    <row r="398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</row>
    <row r="399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</row>
    <row r="400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</row>
    <row r="40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</row>
    <row r="402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</row>
    <row r="403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</row>
    <row r="404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</row>
    <row r="405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</row>
    <row r="406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</row>
    <row r="407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</row>
    <row r="408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</row>
    <row r="409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</row>
    <row r="410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</row>
    <row r="41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</row>
    <row r="412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</row>
    <row r="413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</row>
    <row r="414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</row>
    <row r="415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</row>
    <row r="416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</row>
    <row r="417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</row>
    <row r="418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</row>
    <row r="419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</row>
    <row r="420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</row>
    <row r="42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</row>
    <row r="422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</row>
    <row r="423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</row>
    <row r="424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</row>
    <row r="425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</row>
    <row r="426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</row>
    <row r="427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</row>
    <row r="428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</row>
    <row r="429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</row>
    <row r="430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</row>
    <row r="43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</row>
    <row r="432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</row>
    <row r="433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</row>
    <row r="434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</row>
    <row r="435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</row>
    <row r="436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</row>
    <row r="437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</row>
    <row r="438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</row>
    <row r="439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</row>
    <row r="440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</row>
    <row r="44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</row>
    <row r="442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</row>
    <row r="443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</row>
    <row r="444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</row>
    <row r="445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</row>
    <row r="446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</row>
    <row r="447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</row>
    <row r="448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</row>
    <row r="449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</row>
    <row r="450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</row>
    <row r="45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</row>
    <row r="452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</row>
    <row r="453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</row>
    <row r="454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</row>
    <row r="455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</row>
    <row r="456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</row>
    <row r="457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</row>
    <row r="458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</row>
    <row r="459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</row>
    <row r="460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</row>
    <row r="46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</row>
    <row r="462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</row>
    <row r="463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</row>
    <row r="464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</row>
    <row r="465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</row>
    <row r="466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</row>
    <row r="467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</row>
    <row r="468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</row>
    <row r="469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</row>
    <row r="470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</row>
    <row r="47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</row>
    <row r="472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/>
    </row>
    <row r="473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</row>
    <row r="474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</row>
    <row r="475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</row>
    <row r="476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</row>
    <row r="477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</row>
    <row r="478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</row>
    <row r="479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</row>
    <row r="480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</row>
    <row r="48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</row>
    <row r="482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</row>
    <row r="483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</row>
    <row r="484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  <c r="AM484" s="27"/>
    </row>
    <row r="485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  <c r="AM485" s="27"/>
    </row>
    <row r="486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</row>
    <row r="487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  <c r="AM487" s="27"/>
    </row>
    <row r="488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  <c r="AM488" s="27"/>
    </row>
    <row r="489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  <c r="AM489" s="27"/>
    </row>
    <row r="490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  <c r="AM490" s="27"/>
    </row>
    <row r="49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  <c r="AM491" s="27"/>
    </row>
    <row r="492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  <c r="AM492" s="27"/>
    </row>
    <row r="493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  <c r="AM493" s="27"/>
    </row>
    <row r="494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  <c r="AM494" s="27"/>
    </row>
    <row r="495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  <c r="AM495" s="27"/>
    </row>
    <row r="496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  <c r="AM496" s="27"/>
    </row>
    <row r="497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  <c r="AM497" s="27"/>
    </row>
    <row r="498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  <c r="AM498" s="27"/>
    </row>
    <row r="499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  <c r="AM499" s="27"/>
    </row>
    <row r="500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  <c r="AM500" s="27"/>
    </row>
    <row r="50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  <c r="AM501" s="27"/>
    </row>
    <row r="502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  <c r="AM502" s="27"/>
    </row>
    <row r="503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</row>
    <row r="504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27"/>
    </row>
    <row r="505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</row>
    <row r="506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</row>
    <row r="507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  <c r="AM507" s="27"/>
    </row>
    <row r="508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  <c r="AM508" s="27"/>
    </row>
    <row r="509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  <c r="AM509" s="27"/>
    </row>
    <row r="510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  <c r="AM510" s="27"/>
    </row>
    <row r="51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/>
    </row>
    <row r="512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  <c r="AM512" s="27"/>
    </row>
    <row r="513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  <c r="AM513" s="27"/>
    </row>
    <row r="514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  <c r="AM514" s="27"/>
    </row>
    <row r="515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  <c r="AM515" s="27"/>
    </row>
    <row r="516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  <c r="AM516" s="27"/>
    </row>
    <row r="517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/>
    </row>
    <row r="518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  <c r="AM518" s="27"/>
    </row>
    <row r="519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  <c r="AM519" s="27"/>
    </row>
    <row r="520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/>
    </row>
    <row r="52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  <c r="AM521" s="27"/>
    </row>
    <row r="522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  <c r="AM522" s="27"/>
    </row>
    <row r="523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  <c r="AM523" s="27"/>
    </row>
    <row r="524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  <c r="AM524" s="27"/>
    </row>
    <row r="525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  <c r="AM525" s="27"/>
    </row>
    <row r="526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  <c r="AM526" s="27"/>
    </row>
    <row r="527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  <c r="AM527" s="27"/>
    </row>
    <row r="528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  <c r="AM528" s="27"/>
    </row>
    <row r="529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  <c r="AM529" s="27"/>
    </row>
    <row r="530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</row>
    <row r="53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</row>
    <row r="532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</row>
    <row r="533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</row>
    <row r="534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</row>
    <row r="535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  <c r="AM535" s="27"/>
    </row>
    <row r="536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  <c r="AM536" s="27"/>
    </row>
    <row r="537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  <c r="AM537" s="27"/>
    </row>
    <row r="538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  <c r="AM538" s="27"/>
    </row>
    <row r="539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  <c r="AM539" s="27"/>
    </row>
    <row r="540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  <c r="AM540" s="27"/>
    </row>
    <row r="54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  <c r="AM541" s="27"/>
    </row>
    <row r="542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  <c r="AM542" s="27"/>
    </row>
    <row r="543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/>
    </row>
    <row r="544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27"/>
    </row>
    <row r="545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</row>
    <row r="546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/>
    </row>
    <row r="547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  <c r="AM547" s="27"/>
    </row>
    <row r="548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  <c r="AM548" s="27"/>
    </row>
    <row r="549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</row>
    <row r="550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  <c r="AM550" s="27"/>
    </row>
    <row r="55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/>
    </row>
    <row r="552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  <c r="AM552" s="27"/>
    </row>
    <row r="553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  <c r="AM553" s="27"/>
    </row>
    <row r="554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  <c r="AM554" s="27"/>
    </row>
    <row r="555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/>
    </row>
    <row r="556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  <c r="AM556" s="27"/>
    </row>
    <row r="557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  <c r="AM557" s="27"/>
    </row>
    <row r="558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</row>
    <row r="559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</row>
    <row r="560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  <c r="AM560" s="27"/>
    </row>
    <row r="56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  <c r="AM561" s="27"/>
    </row>
    <row r="562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  <c r="AM562" s="27"/>
    </row>
    <row r="563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</row>
    <row r="564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</row>
    <row r="565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  <c r="AM565" s="27"/>
    </row>
    <row r="566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</row>
    <row r="567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  <c r="AM567" s="27"/>
    </row>
    <row r="568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27"/>
    </row>
    <row r="569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</row>
    <row r="570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/>
    </row>
    <row r="57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  <c r="AM571" s="27"/>
    </row>
    <row r="572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  <c r="AM572" s="27"/>
    </row>
    <row r="573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  <c r="AM573" s="27"/>
    </row>
    <row r="574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</row>
    <row r="575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  <c r="AM575" s="27"/>
    </row>
    <row r="576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  <c r="AM576" s="27"/>
    </row>
    <row r="577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  <c r="AM577" s="27"/>
    </row>
    <row r="578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  <c r="AM578" s="27"/>
    </row>
    <row r="579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  <c r="AM579" s="27"/>
    </row>
    <row r="580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  <c r="AM580" s="27"/>
    </row>
    <row r="58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  <c r="AM581" s="27"/>
    </row>
    <row r="582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</row>
    <row r="583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/>
    </row>
    <row r="584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  <c r="AM584" s="27"/>
    </row>
    <row r="585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  <c r="AM585" s="27"/>
    </row>
    <row r="586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/>
    </row>
    <row r="587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M587" s="27"/>
    </row>
    <row r="588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M588" s="27"/>
    </row>
    <row r="589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</row>
    <row r="590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M590" s="27"/>
    </row>
    <row r="59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/>
    </row>
    <row r="592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</row>
    <row r="593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/>
    </row>
    <row r="594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</row>
    <row r="595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M595" s="27"/>
    </row>
    <row r="596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/>
    </row>
    <row r="597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M597" s="27"/>
    </row>
    <row r="598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M598" s="27"/>
    </row>
    <row r="599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</row>
    <row r="600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</row>
    <row r="60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M601" s="27"/>
    </row>
    <row r="602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M602" s="27"/>
    </row>
    <row r="603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M603" s="27"/>
    </row>
    <row r="604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M604" s="27"/>
    </row>
    <row r="605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M605" s="27"/>
    </row>
    <row r="606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M606" s="27"/>
    </row>
    <row r="607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  <c r="AM607" s="27"/>
    </row>
    <row r="608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  <c r="AM608" s="27"/>
    </row>
    <row r="609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  <c r="AM609" s="27"/>
    </row>
    <row r="610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M610" s="27"/>
    </row>
    <row r="61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  <c r="AM611" s="27"/>
    </row>
    <row r="612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  <c r="AM612" s="27"/>
    </row>
    <row r="613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  <c r="AM613" s="27"/>
    </row>
    <row r="614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M614" s="27"/>
    </row>
    <row r="615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  <c r="AM615" s="27"/>
    </row>
    <row r="616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  <c r="AM616" s="27"/>
    </row>
    <row r="617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M617" s="27"/>
    </row>
    <row r="618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M618" s="27"/>
    </row>
    <row r="619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</row>
    <row r="620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  <c r="AM620" s="27"/>
    </row>
    <row r="62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M621" s="27"/>
    </row>
    <row r="622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M622" s="27"/>
    </row>
    <row r="623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/>
    </row>
    <row r="624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27"/>
    </row>
    <row r="625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M625" s="27"/>
    </row>
    <row r="626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/>
    </row>
    <row r="627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M627" s="27"/>
    </row>
    <row r="628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M628" s="27"/>
    </row>
    <row r="629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</row>
    <row r="630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</row>
    <row r="63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/>
    </row>
    <row r="632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  <c r="AM632" s="27"/>
    </row>
    <row r="633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  <c r="AM633" s="27"/>
    </row>
    <row r="634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/>
    </row>
    <row r="635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  <c r="AM635" s="27"/>
    </row>
    <row r="636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  <c r="AM636" s="27"/>
    </row>
    <row r="637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  <c r="AM637" s="27"/>
    </row>
    <row r="638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  <c r="AM638" s="27"/>
    </row>
    <row r="639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  <c r="AM639" s="27"/>
    </row>
    <row r="640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  <c r="AM640" s="27"/>
    </row>
    <row r="64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  <c r="AM641" s="27"/>
    </row>
    <row r="642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  <c r="AM642" s="27"/>
    </row>
    <row r="643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  <c r="AM643" s="27"/>
    </row>
    <row r="644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  <c r="AM644" s="27"/>
    </row>
    <row r="645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  <c r="AM645" s="27"/>
    </row>
    <row r="646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  <c r="AM646" s="27"/>
    </row>
    <row r="647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M647" s="27"/>
    </row>
    <row r="648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M648" s="27"/>
    </row>
    <row r="649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M649" s="27"/>
    </row>
    <row r="650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  <c r="AM650" s="27"/>
    </row>
    <row r="65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  <c r="AM651" s="27"/>
    </row>
    <row r="652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M652" s="27"/>
    </row>
    <row r="653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M653" s="27"/>
    </row>
    <row r="654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</row>
    <row r="655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  <c r="AM655" s="27"/>
    </row>
    <row r="656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</row>
    <row r="657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  <c r="AM657" s="27"/>
    </row>
    <row r="658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  <c r="AM658" s="27"/>
    </row>
    <row r="659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  <c r="AM659" s="27"/>
    </row>
    <row r="660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  <c r="AM660" s="27"/>
    </row>
    <row r="66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  <c r="AM661" s="27"/>
    </row>
    <row r="662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  <c r="AM662" s="27"/>
    </row>
    <row r="663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/>
    </row>
    <row r="664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  <c r="AL664" s="27"/>
      <c r="AM664" s="27"/>
    </row>
    <row r="665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  <c r="AL665" s="27"/>
      <c r="AM665" s="27"/>
    </row>
    <row r="666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  <c r="AM666" s="27"/>
    </row>
    <row r="667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  <c r="AM667" s="27"/>
    </row>
    <row r="668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  <c r="AM668" s="27"/>
    </row>
    <row r="669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/>
    </row>
    <row r="670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  <c r="AM670" s="27"/>
    </row>
    <row r="67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/>
    </row>
    <row r="672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/>
    </row>
    <row r="673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  <c r="AL673" s="27"/>
      <c r="AM673" s="27"/>
    </row>
    <row r="674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  <c r="AM674" s="27"/>
    </row>
    <row r="675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  <c r="AM675" s="27"/>
    </row>
    <row r="676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  <c r="AM676" s="27"/>
    </row>
    <row r="677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  <c r="AM677" s="27"/>
    </row>
    <row r="678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  <c r="AL678" s="27"/>
      <c r="AM678" s="27"/>
    </row>
    <row r="679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  <c r="AM679" s="27"/>
    </row>
    <row r="680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  <c r="AL680" s="27"/>
      <c r="AM680" s="27"/>
    </row>
    <row r="68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  <c r="AM681" s="27"/>
    </row>
    <row r="682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  <c r="AL682" s="27"/>
      <c r="AM682" s="27"/>
    </row>
    <row r="683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  <c r="AM683" s="27"/>
    </row>
    <row r="684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  <c r="AM684" s="27"/>
    </row>
    <row r="685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M685" s="27"/>
    </row>
    <row r="686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  <c r="AM686" s="27"/>
    </row>
    <row r="687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  <c r="AM687" s="27"/>
    </row>
    <row r="688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  <c r="AM688" s="27"/>
    </row>
    <row r="689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  <c r="AM689" s="27"/>
    </row>
    <row r="690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  <c r="AM690" s="27"/>
    </row>
    <row r="69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  <c r="AM691" s="27"/>
    </row>
    <row r="692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  <c r="AM692" s="27"/>
    </row>
    <row r="693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  <c r="AM693" s="27"/>
    </row>
    <row r="694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  <c r="AM694" s="27"/>
    </row>
    <row r="695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  <c r="AM695" s="27"/>
    </row>
    <row r="696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  <c r="AM696" s="27"/>
    </row>
    <row r="697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  <c r="AM697" s="27"/>
    </row>
    <row r="698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  <c r="AM698" s="27"/>
    </row>
    <row r="699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  <c r="AM699" s="27"/>
    </row>
    <row r="700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  <c r="AM700" s="27"/>
    </row>
    <row r="70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  <c r="AM701" s="27"/>
    </row>
    <row r="702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  <c r="AM702" s="27"/>
    </row>
    <row r="703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/>
    </row>
    <row r="704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  <c r="AM704" s="27"/>
    </row>
    <row r="705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  <c r="AM705" s="27"/>
    </row>
    <row r="706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  <c r="AM706" s="27"/>
    </row>
    <row r="707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/>
    </row>
    <row r="708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  <c r="AM708" s="27"/>
    </row>
    <row r="709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  <c r="AM709" s="27"/>
    </row>
    <row r="710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/>
    </row>
    <row r="71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/>
    </row>
    <row r="712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  <c r="AM712" s="27"/>
    </row>
    <row r="713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  <c r="AM713" s="27"/>
    </row>
    <row r="714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  <c r="AM714" s="27"/>
    </row>
    <row r="715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  <c r="AM715" s="27"/>
    </row>
    <row r="716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  <c r="AM716" s="27"/>
    </row>
    <row r="717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  <c r="AM717" s="27"/>
    </row>
    <row r="718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  <c r="AM718" s="27"/>
    </row>
    <row r="719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  <c r="AM719" s="27"/>
    </row>
    <row r="720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  <c r="AM720" s="27"/>
    </row>
    <row r="72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  <c r="AM721" s="27"/>
    </row>
    <row r="722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  <c r="AM722" s="27"/>
    </row>
    <row r="723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  <c r="AM723" s="27"/>
    </row>
    <row r="724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  <c r="AM724" s="27"/>
    </row>
    <row r="725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  <c r="AM725" s="27"/>
    </row>
    <row r="726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  <c r="AM726" s="27"/>
    </row>
    <row r="727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  <c r="AM727" s="27"/>
    </row>
    <row r="728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  <c r="AM728" s="27"/>
    </row>
    <row r="729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  <c r="AM729" s="27"/>
    </row>
    <row r="730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  <c r="AM730" s="27"/>
    </row>
    <row r="73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  <c r="AM731" s="27"/>
    </row>
    <row r="732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  <c r="AM732" s="27"/>
    </row>
    <row r="733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  <c r="AM733" s="27"/>
    </row>
    <row r="734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  <c r="AM734" s="27"/>
    </row>
    <row r="735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  <c r="AM735" s="27"/>
    </row>
    <row r="736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  <c r="AM736" s="27"/>
    </row>
    <row r="737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  <c r="AM737" s="27"/>
    </row>
    <row r="738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  <c r="AM738" s="27"/>
    </row>
    <row r="739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  <c r="AM739" s="27"/>
    </row>
    <row r="740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  <c r="AM740" s="27"/>
    </row>
    <row r="74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  <c r="AM741" s="27"/>
    </row>
    <row r="742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  <c r="AM742" s="27"/>
    </row>
    <row r="743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/>
    </row>
    <row r="744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  <c r="AL744" s="27"/>
      <c r="AM744" s="27"/>
    </row>
    <row r="745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/>
    </row>
    <row r="746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  <c r="AM746" s="27"/>
    </row>
    <row r="747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  <c r="AJ747" s="27"/>
      <c r="AK747" s="27"/>
      <c r="AL747" s="27"/>
      <c r="AM747" s="27"/>
    </row>
    <row r="748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/>
    </row>
    <row r="749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  <c r="AK749" s="27"/>
      <c r="AL749" s="27"/>
      <c r="AM749" s="27"/>
    </row>
    <row r="750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J750" s="27"/>
      <c r="AK750" s="27"/>
      <c r="AL750" s="27"/>
      <c r="AM750" s="27"/>
    </row>
    <row r="75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/>
    </row>
    <row r="752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  <c r="AJ752" s="27"/>
      <c r="AK752" s="27"/>
      <c r="AL752" s="27"/>
      <c r="AM752" s="27"/>
    </row>
    <row r="753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  <c r="AJ753" s="27"/>
      <c r="AK753" s="27"/>
      <c r="AL753" s="27"/>
      <c r="AM753" s="27"/>
    </row>
    <row r="754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  <c r="AJ754" s="27"/>
      <c r="AK754" s="27"/>
      <c r="AL754" s="27"/>
      <c r="AM754" s="27"/>
    </row>
    <row r="755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  <c r="AI755" s="27"/>
      <c r="AJ755" s="27"/>
      <c r="AK755" s="27"/>
      <c r="AL755" s="27"/>
      <c r="AM755" s="27"/>
    </row>
    <row r="756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  <c r="AJ756" s="27"/>
      <c r="AK756" s="27"/>
      <c r="AL756" s="27"/>
      <c r="AM756" s="27"/>
    </row>
    <row r="757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  <c r="AJ757" s="27"/>
      <c r="AK757" s="27"/>
      <c r="AL757" s="27"/>
      <c r="AM757" s="27"/>
    </row>
    <row r="758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  <c r="AI758" s="27"/>
      <c r="AJ758" s="27"/>
      <c r="AK758" s="27"/>
      <c r="AL758" s="27"/>
      <c r="AM758" s="27"/>
    </row>
    <row r="759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  <c r="AJ759" s="27"/>
      <c r="AK759" s="27"/>
      <c r="AL759" s="27"/>
      <c r="AM759" s="27"/>
    </row>
    <row r="760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  <c r="AJ760" s="27"/>
      <c r="AK760" s="27"/>
      <c r="AL760" s="27"/>
      <c r="AM760" s="27"/>
    </row>
    <row r="76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  <c r="AJ761" s="27"/>
      <c r="AK761" s="27"/>
      <c r="AL761" s="27"/>
      <c r="AM761" s="27"/>
    </row>
    <row r="762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  <c r="AJ762" s="27"/>
      <c r="AK762" s="27"/>
      <c r="AL762" s="27"/>
      <c r="AM762" s="27"/>
    </row>
    <row r="763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  <c r="AJ763" s="27"/>
      <c r="AK763" s="27"/>
      <c r="AL763" s="27"/>
      <c r="AM763" s="27"/>
    </row>
    <row r="764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  <c r="AL764" s="27"/>
      <c r="AM764" s="27"/>
    </row>
    <row r="765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  <c r="AJ765" s="27"/>
      <c r="AK765" s="27"/>
      <c r="AL765" s="27"/>
      <c r="AM765" s="27"/>
    </row>
    <row r="766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  <c r="AJ766" s="27"/>
      <c r="AK766" s="27"/>
      <c r="AL766" s="27"/>
      <c r="AM766" s="27"/>
    </row>
    <row r="767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  <c r="AJ767" s="27"/>
      <c r="AK767" s="27"/>
      <c r="AL767" s="27"/>
      <c r="AM767" s="27"/>
    </row>
    <row r="768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  <c r="AJ768" s="27"/>
      <c r="AK768" s="27"/>
      <c r="AL768" s="27"/>
      <c r="AM768" s="27"/>
    </row>
    <row r="769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  <c r="AJ769" s="27"/>
      <c r="AK769" s="27"/>
      <c r="AL769" s="27"/>
      <c r="AM769" s="27"/>
    </row>
    <row r="770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  <c r="AJ770" s="27"/>
      <c r="AK770" s="27"/>
      <c r="AL770" s="27"/>
      <c r="AM770" s="27"/>
    </row>
    <row r="77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  <c r="AJ771" s="27"/>
      <c r="AK771" s="27"/>
      <c r="AL771" s="27"/>
      <c r="AM771" s="27"/>
    </row>
    <row r="772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  <c r="AL772" s="27"/>
      <c r="AM772" s="27"/>
    </row>
    <row r="773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  <c r="AM773" s="27"/>
    </row>
    <row r="774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7"/>
      <c r="AM774" s="27"/>
    </row>
    <row r="775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7"/>
      <c r="AM775" s="27"/>
    </row>
    <row r="776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  <c r="AJ776" s="27"/>
      <c r="AK776" s="27"/>
      <c r="AL776" s="27"/>
      <c r="AM776" s="27"/>
    </row>
    <row r="777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  <c r="AJ777" s="27"/>
      <c r="AK777" s="27"/>
      <c r="AL777" s="27"/>
      <c r="AM777" s="27"/>
    </row>
    <row r="778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  <c r="AJ778" s="27"/>
      <c r="AK778" s="27"/>
      <c r="AL778" s="27"/>
      <c r="AM778" s="27"/>
    </row>
    <row r="779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  <c r="AI779" s="27"/>
      <c r="AJ779" s="27"/>
      <c r="AK779" s="27"/>
      <c r="AL779" s="27"/>
      <c r="AM779" s="27"/>
    </row>
    <row r="780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  <c r="AI780" s="27"/>
      <c r="AJ780" s="27"/>
      <c r="AK780" s="27"/>
      <c r="AL780" s="27"/>
      <c r="AM780" s="27"/>
    </row>
    <row r="78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  <c r="AI781" s="27"/>
      <c r="AJ781" s="27"/>
      <c r="AK781" s="27"/>
      <c r="AL781" s="27"/>
      <c r="AM781" s="27"/>
    </row>
    <row r="782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  <c r="AI782" s="27"/>
      <c r="AJ782" s="27"/>
      <c r="AK782" s="27"/>
      <c r="AL782" s="27"/>
      <c r="AM782" s="27"/>
    </row>
    <row r="783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/>
    </row>
    <row r="784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  <c r="AI784" s="27"/>
      <c r="AJ784" s="27"/>
      <c r="AK784" s="27"/>
      <c r="AL784" s="27"/>
      <c r="AM784" s="27"/>
    </row>
    <row r="785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  <c r="AI785" s="27"/>
      <c r="AJ785" s="27"/>
      <c r="AK785" s="27"/>
      <c r="AL785" s="27"/>
      <c r="AM785" s="27"/>
    </row>
    <row r="786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/>
    </row>
    <row r="787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  <c r="AI787" s="27"/>
      <c r="AJ787" s="27"/>
      <c r="AK787" s="27"/>
      <c r="AL787" s="27"/>
      <c r="AM787" s="27"/>
    </row>
    <row r="788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  <c r="AI788" s="27"/>
      <c r="AJ788" s="27"/>
      <c r="AK788" s="27"/>
      <c r="AL788" s="27"/>
      <c r="AM788" s="27"/>
    </row>
    <row r="789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  <c r="AI789" s="27"/>
      <c r="AJ789" s="27"/>
      <c r="AK789" s="27"/>
      <c r="AL789" s="27"/>
      <c r="AM789" s="27"/>
    </row>
    <row r="790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  <c r="AI790" s="27"/>
      <c r="AJ790" s="27"/>
      <c r="AK790" s="27"/>
      <c r="AL790" s="27"/>
      <c r="AM790" s="27"/>
    </row>
    <row r="79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  <c r="AM791" s="27"/>
    </row>
    <row r="792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  <c r="AI792" s="27"/>
      <c r="AJ792" s="27"/>
      <c r="AK792" s="27"/>
      <c r="AL792" s="27"/>
      <c r="AM792" s="27"/>
    </row>
    <row r="793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  <c r="AI793" s="27"/>
      <c r="AJ793" s="27"/>
      <c r="AK793" s="27"/>
      <c r="AL793" s="27"/>
      <c r="AM793" s="27"/>
    </row>
    <row r="794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  <c r="AJ794" s="27"/>
      <c r="AK794" s="27"/>
      <c r="AL794" s="27"/>
      <c r="AM794" s="27"/>
    </row>
    <row r="795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  <c r="AI795" s="27"/>
      <c r="AJ795" s="27"/>
      <c r="AK795" s="27"/>
      <c r="AL795" s="27"/>
      <c r="AM795" s="27"/>
    </row>
    <row r="796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  <c r="AI796" s="27"/>
      <c r="AJ796" s="27"/>
      <c r="AK796" s="27"/>
      <c r="AL796" s="27"/>
      <c r="AM796" s="27"/>
    </row>
    <row r="797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  <c r="AI797" s="27"/>
      <c r="AJ797" s="27"/>
      <c r="AK797" s="27"/>
      <c r="AL797" s="27"/>
      <c r="AM797" s="27"/>
    </row>
    <row r="798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  <c r="AI798" s="27"/>
      <c r="AJ798" s="27"/>
      <c r="AK798" s="27"/>
      <c r="AL798" s="27"/>
      <c r="AM798" s="27"/>
    </row>
    <row r="799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  <c r="AI799" s="27"/>
      <c r="AJ799" s="27"/>
      <c r="AK799" s="27"/>
      <c r="AL799" s="27"/>
      <c r="AM799" s="27"/>
    </row>
    <row r="800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  <c r="AI800" s="27"/>
      <c r="AJ800" s="27"/>
      <c r="AK800" s="27"/>
      <c r="AL800" s="27"/>
      <c r="AM800" s="27"/>
    </row>
    <row r="80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  <c r="AI801" s="27"/>
      <c r="AJ801" s="27"/>
      <c r="AK801" s="27"/>
      <c r="AL801" s="27"/>
      <c r="AM801" s="27"/>
    </row>
    <row r="802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  <c r="AI802" s="27"/>
      <c r="AJ802" s="27"/>
      <c r="AK802" s="27"/>
      <c r="AL802" s="27"/>
      <c r="AM802" s="27"/>
    </row>
    <row r="803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  <c r="AI803" s="27"/>
      <c r="AJ803" s="27"/>
      <c r="AK803" s="27"/>
      <c r="AL803" s="27"/>
      <c r="AM803" s="27"/>
    </row>
    <row r="804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  <c r="AI804" s="27"/>
      <c r="AJ804" s="27"/>
      <c r="AK804" s="27"/>
      <c r="AL804" s="27"/>
      <c r="AM804" s="27"/>
    </row>
    <row r="805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  <c r="AI805" s="27"/>
      <c r="AJ805" s="27"/>
      <c r="AK805" s="27"/>
      <c r="AL805" s="27"/>
      <c r="AM805" s="27"/>
    </row>
    <row r="806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  <c r="AJ806" s="27"/>
      <c r="AK806" s="27"/>
      <c r="AL806" s="27"/>
      <c r="AM806" s="27"/>
    </row>
    <row r="807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  <c r="AI807" s="27"/>
      <c r="AJ807" s="27"/>
      <c r="AK807" s="27"/>
      <c r="AL807" s="27"/>
      <c r="AM807" s="27"/>
    </row>
    <row r="808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  <c r="AI808" s="27"/>
      <c r="AJ808" s="27"/>
      <c r="AK808" s="27"/>
      <c r="AL808" s="27"/>
      <c r="AM808" s="27"/>
    </row>
    <row r="809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  <c r="AI809" s="27"/>
      <c r="AJ809" s="27"/>
      <c r="AK809" s="27"/>
      <c r="AL809" s="27"/>
      <c r="AM809" s="27"/>
    </row>
    <row r="810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  <c r="AI810" s="27"/>
      <c r="AJ810" s="27"/>
      <c r="AK810" s="27"/>
      <c r="AL810" s="27"/>
      <c r="AM810" s="27"/>
    </row>
    <row r="81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  <c r="AI811" s="27"/>
      <c r="AJ811" s="27"/>
      <c r="AK811" s="27"/>
      <c r="AL811" s="27"/>
      <c r="AM811" s="27"/>
    </row>
    <row r="812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  <c r="AI812" s="27"/>
      <c r="AJ812" s="27"/>
      <c r="AK812" s="27"/>
      <c r="AL812" s="27"/>
      <c r="AM812" s="27"/>
    </row>
    <row r="813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  <c r="AI813" s="27"/>
      <c r="AJ813" s="27"/>
      <c r="AK813" s="27"/>
      <c r="AL813" s="27"/>
      <c r="AM813" s="27"/>
    </row>
    <row r="814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  <c r="AI814" s="27"/>
      <c r="AJ814" s="27"/>
      <c r="AK814" s="27"/>
      <c r="AL814" s="27"/>
      <c r="AM814" s="27"/>
    </row>
    <row r="815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  <c r="AI815" s="27"/>
      <c r="AJ815" s="27"/>
      <c r="AK815" s="27"/>
      <c r="AL815" s="27"/>
      <c r="AM815" s="27"/>
    </row>
    <row r="816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  <c r="AI816" s="27"/>
      <c r="AJ816" s="27"/>
      <c r="AK816" s="27"/>
      <c r="AL816" s="27"/>
      <c r="AM816" s="27"/>
    </row>
    <row r="817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  <c r="AI817" s="27"/>
      <c r="AJ817" s="27"/>
      <c r="AK817" s="27"/>
      <c r="AL817" s="27"/>
      <c r="AM817" s="27"/>
    </row>
    <row r="818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  <c r="AI818" s="27"/>
      <c r="AJ818" s="27"/>
      <c r="AK818" s="27"/>
      <c r="AL818" s="27"/>
      <c r="AM818" s="27"/>
    </row>
    <row r="819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  <c r="AI819" s="27"/>
      <c r="AJ819" s="27"/>
      <c r="AK819" s="27"/>
      <c r="AL819" s="27"/>
      <c r="AM819" s="27"/>
    </row>
    <row r="820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  <c r="AI820" s="27"/>
      <c r="AJ820" s="27"/>
      <c r="AK820" s="27"/>
      <c r="AL820" s="27"/>
      <c r="AM820" s="27"/>
    </row>
    <row r="82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/>
    </row>
    <row r="822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  <c r="AI822" s="27"/>
      <c r="AJ822" s="27"/>
      <c r="AK822" s="27"/>
      <c r="AL822" s="27"/>
      <c r="AM822" s="27"/>
    </row>
    <row r="823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  <c r="AM823" s="27"/>
    </row>
    <row r="824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/>
    </row>
    <row r="825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  <c r="AJ825" s="27"/>
      <c r="AK825" s="27"/>
      <c r="AL825" s="27"/>
      <c r="AM825" s="27"/>
    </row>
    <row r="826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7"/>
      <c r="AM826" s="27"/>
    </row>
    <row r="827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  <c r="AJ827" s="27"/>
      <c r="AK827" s="27"/>
      <c r="AL827" s="27"/>
      <c r="AM827" s="27"/>
    </row>
    <row r="828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  <c r="AJ828" s="27"/>
      <c r="AK828" s="27"/>
      <c r="AL828" s="27"/>
      <c r="AM828" s="27"/>
    </row>
    <row r="829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  <c r="AJ829" s="27"/>
      <c r="AK829" s="27"/>
      <c r="AL829" s="27"/>
      <c r="AM829" s="27"/>
    </row>
    <row r="830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  <c r="AI830" s="27"/>
      <c r="AJ830" s="27"/>
      <c r="AK830" s="27"/>
      <c r="AL830" s="27"/>
      <c r="AM830" s="27"/>
    </row>
    <row r="83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  <c r="AI831" s="27"/>
      <c r="AJ831" s="27"/>
      <c r="AK831" s="27"/>
      <c r="AL831" s="27"/>
      <c r="AM831" s="27"/>
    </row>
    <row r="832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  <c r="AI832" s="27"/>
      <c r="AJ832" s="27"/>
      <c r="AK832" s="27"/>
      <c r="AL832" s="27"/>
      <c r="AM832" s="27"/>
    </row>
    <row r="833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  <c r="AI833" s="27"/>
      <c r="AJ833" s="27"/>
      <c r="AK833" s="27"/>
      <c r="AL833" s="27"/>
      <c r="AM833" s="27"/>
    </row>
    <row r="834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  <c r="AI834" s="27"/>
      <c r="AJ834" s="27"/>
      <c r="AK834" s="27"/>
      <c r="AL834" s="27"/>
      <c r="AM834" s="27"/>
    </row>
    <row r="835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  <c r="AI835" s="27"/>
      <c r="AJ835" s="27"/>
      <c r="AK835" s="27"/>
      <c r="AL835" s="27"/>
      <c r="AM835" s="27"/>
    </row>
    <row r="836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  <c r="AI836" s="27"/>
      <c r="AJ836" s="27"/>
      <c r="AK836" s="27"/>
      <c r="AL836" s="27"/>
      <c r="AM836" s="27"/>
    </row>
    <row r="837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  <c r="AI837" s="27"/>
      <c r="AJ837" s="27"/>
      <c r="AK837" s="27"/>
      <c r="AL837" s="27"/>
      <c r="AM837" s="27"/>
    </row>
    <row r="838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  <c r="AI838" s="27"/>
      <c r="AJ838" s="27"/>
      <c r="AK838" s="27"/>
      <c r="AL838" s="27"/>
      <c r="AM838" s="27"/>
    </row>
    <row r="839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  <c r="AI839" s="27"/>
      <c r="AJ839" s="27"/>
      <c r="AK839" s="27"/>
      <c r="AL839" s="27"/>
      <c r="AM839" s="27"/>
    </row>
    <row r="840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  <c r="AI840" s="27"/>
      <c r="AJ840" s="27"/>
      <c r="AK840" s="27"/>
      <c r="AL840" s="27"/>
      <c r="AM840" s="27"/>
    </row>
    <row r="84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  <c r="AI841" s="27"/>
      <c r="AJ841" s="27"/>
      <c r="AK841" s="27"/>
      <c r="AL841" s="27"/>
      <c r="AM841" s="27"/>
    </row>
    <row r="842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  <c r="AI842" s="27"/>
      <c r="AJ842" s="27"/>
      <c r="AK842" s="27"/>
      <c r="AL842" s="27"/>
      <c r="AM842" s="27"/>
    </row>
    <row r="843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  <c r="AI843" s="27"/>
      <c r="AJ843" s="27"/>
      <c r="AK843" s="27"/>
      <c r="AL843" s="27"/>
      <c r="AM843" s="27"/>
    </row>
    <row r="844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  <c r="AI844" s="27"/>
      <c r="AJ844" s="27"/>
      <c r="AK844" s="27"/>
      <c r="AL844" s="27"/>
      <c r="AM844" s="27"/>
    </row>
    <row r="845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  <c r="AI845" s="27"/>
      <c r="AJ845" s="27"/>
      <c r="AK845" s="27"/>
      <c r="AL845" s="27"/>
      <c r="AM845" s="27"/>
    </row>
    <row r="846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  <c r="AI846" s="27"/>
      <c r="AJ846" s="27"/>
      <c r="AK846" s="27"/>
      <c r="AL846" s="27"/>
      <c r="AM846" s="27"/>
    </row>
    <row r="847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  <c r="AI847" s="27"/>
      <c r="AJ847" s="27"/>
      <c r="AK847" s="27"/>
      <c r="AL847" s="27"/>
      <c r="AM847" s="27"/>
    </row>
    <row r="848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  <c r="AI848" s="27"/>
      <c r="AJ848" s="27"/>
      <c r="AK848" s="27"/>
      <c r="AL848" s="27"/>
      <c r="AM848" s="27"/>
    </row>
    <row r="849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  <c r="AI849" s="27"/>
      <c r="AJ849" s="27"/>
      <c r="AK849" s="27"/>
      <c r="AL849" s="27"/>
      <c r="AM849" s="27"/>
    </row>
    <row r="850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  <c r="AI850" s="27"/>
      <c r="AJ850" s="27"/>
      <c r="AK850" s="27"/>
      <c r="AL850" s="27"/>
      <c r="AM850" s="27"/>
    </row>
    <row r="85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  <c r="AI851" s="27"/>
      <c r="AJ851" s="27"/>
      <c r="AK851" s="27"/>
      <c r="AL851" s="27"/>
      <c r="AM851" s="27"/>
    </row>
    <row r="852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  <c r="AI852" s="27"/>
      <c r="AJ852" s="27"/>
      <c r="AK852" s="27"/>
      <c r="AL852" s="27"/>
      <c r="AM852" s="27"/>
    </row>
    <row r="853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  <c r="AI853" s="27"/>
      <c r="AJ853" s="27"/>
      <c r="AK853" s="27"/>
      <c r="AL853" s="27"/>
      <c r="AM853" s="27"/>
    </row>
    <row r="854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  <c r="AI854" s="27"/>
      <c r="AJ854" s="27"/>
      <c r="AK854" s="27"/>
      <c r="AL854" s="27"/>
      <c r="AM854" s="27"/>
    </row>
    <row r="855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  <c r="AI855" s="27"/>
      <c r="AJ855" s="27"/>
      <c r="AK855" s="27"/>
      <c r="AL855" s="27"/>
      <c r="AM855" s="27"/>
    </row>
    <row r="856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  <c r="AI856" s="27"/>
      <c r="AJ856" s="27"/>
      <c r="AK856" s="27"/>
      <c r="AL856" s="27"/>
      <c r="AM856" s="27"/>
    </row>
    <row r="857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  <c r="AI857" s="27"/>
      <c r="AJ857" s="27"/>
      <c r="AK857" s="27"/>
      <c r="AL857" s="27"/>
      <c r="AM857" s="27"/>
    </row>
    <row r="858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  <c r="AI858" s="27"/>
      <c r="AJ858" s="27"/>
      <c r="AK858" s="27"/>
      <c r="AL858" s="27"/>
      <c r="AM858" s="27"/>
    </row>
    <row r="859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/>
    </row>
    <row r="860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  <c r="AI860" s="27"/>
      <c r="AJ860" s="27"/>
      <c r="AK860" s="27"/>
      <c r="AL860" s="27"/>
      <c r="AM860" s="27"/>
    </row>
    <row r="86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  <c r="AI861" s="27"/>
      <c r="AJ861" s="27"/>
      <c r="AK861" s="27"/>
      <c r="AL861" s="27"/>
      <c r="AM861" s="27"/>
    </row>
    <row r="862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/>
    </row>
    <row r="863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  <c r="AM863" s="27"/>
    </row>
    <row r="864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  <c r="AI864" s="27"/>
      <c r="AJ864" s="27"/>
      <c r="AK864" s="27"/>
      <c r="AL864" s="27"/>
      <c r="AM864" s="27"/>
    </row>
    <row r="865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  <c r="AI865" s="27"/>
      <c r="AJ865" s="27"/>
      <c r="AK865" s="27"/>
      <c r="AL865" s="27"/>
      <c r="AM865" s="27"/>
    </row>
    <row r="866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  <c r="AI866" s="27"/>
      <c r="AJ866" s="27"/>
      <c r="AK866" s="27"/>
      <c r="AL866" s="27"/>
      <c r="AM866" s="27"/>
    </row>
    <row r="867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  <c r="AI867" s="27"/>
      <c r="AJ867" s="27"/>
      <c r="AK867" s="27"/>
      <c r="AL867" s="27"/>
      <c r="AM867" s="27"/>
    </row>
    <row r="868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  <c r="AI868" s="27"/>
      <c r="AJ868" s="27"/>
      <c r="AK868" s="27"/>
      <c r="AL868" s="27"/>
      <c r="AM868" s="27"/>
    </row>
    <row r="869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  <c r="AI869" s="27"/>
      <c r="AJ869" s="27"/>
      <c r="AK869" s="27"/>
      <c r="AL869" s="27"/>
      <c r="AM869" s="27"/>
    </row>
    <row r="870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  <c r="AI870" s="27"/>
      <c r="AJ870" s="27"/>
      <c r="AK870" s="27"/>
      <c r="AL870" s="27"/>
      <c r="AM870" s="27"/>
    </row>
    <row r="87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  <c r="AI871" s="27"/>
      <c r="AJ871" s="27"/>
      <c r="AK871" s="27"/>
      <c r="AL871" s="27"/>
      <c r="AM871" s="27"/>
    </row>
    <row r="872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27"/>
      <c r="AI872" s="27"/>
      <c r="AJ872" s="27"/>
      <c r="AK872" s="27"/>
      <c r="AL872" s="27"/>
      <c r="AM872" s="27"/>
    </row>
    <row r="873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27"/>
      <c r="AI873" s="27"/>
      <c r="AJ873" s="27"/>
      <c r="AK873" s="27"/>
      <c r="AL873" s="27"/>
      <c r="AM873" s="27"/>
    </row>
    <row r="874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27"/>
      <c r="AI874" s="27"/>
      <c r="AJ874" s="27"/>
      <c r="AK874" s="27"/>
      <c r="AL874" s="27"/>
      <c r="AM874" s="27"/>
    </row>
    <row r="875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27"/>
      <c r="AI875" s="27"/>
      <c r="AJ875" s="27"/>
      <c r="AK875" s="27"/>
      <c r="AL875" s="27"/>
      <c r="AM875" s="27"/>
    </row>
    <row r="876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27"/>
      <c r="AI876" s="27"/>
      <c r="AJ876" s="27"/>
      <c r="AK876" s="27"/>
      <c r="AL876" s="27"/>
      <c r="AM876" s="27"/>
    </row>
    <row r="877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  <c r="AI877" s="27"/>
      <c r="AJ877" s="27"/>
      <c r="AK877" s="27"/>
      <c r="AL877" s="27"/>
      <c r="AM877" s="27"/>
    </row>
    <row r="878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  <c r="AI878" s="27"/>
      <c r="AJ878" s="27"/>
      <c r="AK878" s="27"/>
      <c r="AL878" s="27"/>
      <c r="AM878" s="27"/>
    </row>
    <row r="879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  <c r="AI879" s="27"/>
      <c r="AJ879" s="27"/>
      <c r="AK879" s="27"/>
      <c r="AL879" s="27"/>
      <c r="AM879" s="27"/>
    </row>
    <row r="880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  <c r="AI880" s="27"/>
      <c r="AJ880" s="27"/>
      <c r="AK880" s="27"/>
      <c r="AL880" s="27"/>
      <c r="AM880" s="27"/>
    </row>
    <row r="88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  <c r="AI881" s="27"/>
      <c r="AJ881" s="27"/>
      <c r="AK881" s="27"/>
      <c r="AL881" s="27"/>
      <c r="AM881" s="27"/>
    </row>
    <row r="882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  <c r="AI882" s="27"/>
      <c r="AJ882" s="27"/>
      <c r="AK882" s="27"/>
      <c r="AL882" s="27"/>
      <c r="AM882" s="27"/>
    </row>
    <row r="883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  <c r="AJ883" s="27"/>
      <c r="AK883" s="27"/>
      <c r="AL883" s="27"/>
      <c r="AM883" s="27"/>
    </row>
    <row r="884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  <c r="AJ884" s="27"/>
      <c r="AK884" s="27"/>
      <c r="AL884" s="27"/>
      <c r="AM884" s="27"/>
    </row>
    <row r="885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  <c r="AJ885" s="27"/>
      <c r="AK885" s="27"/>
      <c r="AL885" s="27"/>
      <c r="AM885" s="27"/>
    </row>
    <row r="886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  <c r="AJ886" s="27"/>
      <c r="AK886" s="27"/>
      <c r="AL886" s="27"/>
      <c r="AM886" s="27"/>
    </row>
    <row r="887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  <c r="AJ887" s="27"/>
      <c r="AK887" s="27"/>
      <c r="AL887" s="27"/>
      <c r="AM887" s="27"/>
    </row>
    <row r="888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  <c r="AJ888" s="27"/>
      <c r="AK888" s="27"/>
      <c r="AL888" s="27"/>
      <c r="AM888" s="27"/>
    </row>
    <row r="889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  <c r="AJ889" s="27"/>
      <c r="AK889" s="27"/>
      <c r="AL889" s="27"/>
      <c r="AM889" s="27"/>
    </row>
    <row r="890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  <c r="AI890" s="27"/>
      <c r="AJ890" s="27"/>
      <c r="AK890" s="27"/>
      <c r="AL890" s="27"/>
      <c r="AM890" s="27"/>
    </row>
    <row r="89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  <c r="AI891" s="27"/>
      <c r="AJ891" s="27"/>
      <c r="AK891" s="27"/>
      <c r="AL891" s="27"/>
      <c r="AM891" s="27"/>
    </row>
    <row r="892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  <c r="AI892" s="27"/>
      <c r="AJ892" s="27"/>
      <c r="AK892" s="27"/>
      <c r="AL892" s="27"/>
      <c r="AM892" s="27"/>
    </row>
    <row r="893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  <c r="AI893" s="27"/>
      <c r="AJ893" s="27"/>
      <c r="AK893" s="27"/>
      <c r="AL893" s="27"/>
      <c r="AM893" s="27"/>
    </row>
    <row r="894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  <c r="AI894" s="27"/>
      <c r="AJ894" s="27"/>
      <c r="AK894" s="27"/>
      <c r="AL894" s="27"/>
      <c r="AM894" s="27"/>
    </row>
    <row r="895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  <c r="AI895" s="27"/>
      <c r="AJ895" s="27"/>
      <c r="AK895" s="27"/>
      <c r="AL895" s="27"/>
      <c r="AM895" s="27"/>
    </row>
    <row r="896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  <c r="AI896" s="27"/>
      <c r="AJ896" s="27"/>
      <c r="AK896" s="27"/>
      <c r="AL896" s="27"/>
      <c r="AM896" s="27"/>
    </row>
    <row r="897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/>
    </row>
    <row r="898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  <c r="AI898" s="27"/>
      <c r="AJ898" s="27"/>
      <c r="AK898" s="27"/>
      <c r="AL898" s="27"/>
      <c r="AM898" s="27"/>
    </row>
    <row r="899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27"/>
      <c r="AI899" s="27"/>
      <c r="AJ899" s="27"/>
      <c r="AK899" s="27"/>
      <c r="AL899" s="27"/>
      <c r="AM899" s="27"/>
    </row>
    <row r="900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/>
    </row>
    <row r="90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27"/>
      <c r="AI901" s="27"/>
      <c r="AJ901" s="27"/>
      <c r="AK901" s="27"/>
      <c r="AL901" s="27"/>
      <c r="AM901" s="27"/>
    </row>
    <row r="902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  <c r="AH902" s="27"/>
      <c r="AI902" s="27"/>
      <c r="AJ902" s="27"/>
      <c r="AK902" s="27"/>
      <c r="AL902" s="27"/>
      <c r="AM902" s="27"/>
    </row>
    <row r="903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  <c r="AI903" s="27"/>
      <c r="AJ903" s="27"/>
      <c r="AK903" s="27"/>
      <c r="AL903" s="27"/>
      <c r="AM903" s="27"/>
    </row>
    <row r="904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  <c r="AH904" s="27"/>
      <c r="AI904" s="27"/>
      <c r="AJ904" s="27"/>
      <c r="AK904" s="27"/>
      <c r="AL904" s="27"/>
      <c r="AM904" s="27"/>
    </row>
    <row r="905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7"/>
      <c r="AI905" s="27"/>
      <c r="AJ905" s="27"/>
      <c r="AK905" s="27"/>
      <c r="AL905" s="27"/>
      <c r="AM905" s="27"/>
    </row>
    <row r="906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  <c r="AI906" s="27"/>
      <c r="AJ906" s="27"/>
      <c r="AK906" s="27"/>
      <c r="AL906" s="27"/>
      <c r="AM906" s="27"/>
    </row>
    <row r="907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  <c r="AI907" s="27"/>
      <c r="AJ907" s="27"/>
      <c r="AK907" s="27"/>
      <c r="AL907" s="27"/>
      <c r="AM907" s="27"/>
    </row>
    <row r="908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  <c r="AH908" s="27"/>
      <c r="AI908" s="27"/>
      <c r="AJ908" s="27"/>
      <c r="AK908" s="27"/>
      <c r="AL908" s="27"/>
      <c r="AM908" s="27"/>
    </row>
    <row r="909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27"/>
      <c r="AI909" s="27"/>
      <c r="AJ909" s="27"/>
      <c r="AK909" s="27"/>
      <c r="AL909" s="27"/>
      <c r="AM909" s="27"/>
    </row>
    <row r="910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  <c r="AI910" s="27"/>
      <c r="AJ910" s="27"/>
      <c r="AK910" s="27"/>
      <c r="AL910" s="27"/>
      <c r="AM910" s="27"/>
    </row>
    <row r="91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  <c r="AI911" s="27"/>
      <c r="AJ911" s="27"/>
      <c r="AK911" s="27"/>
      <c r="AL911" s="27"/>
      <c r="AM911" s="27"/>
    </row>
    <row r="912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  <c r="AI912" s="27"/>
      <c r="AJ912" s="27"/>
      <c r="AK912" s="27"/>
      <c r="AL912" s="27"/>
      <c r="AM912" s="27"/>
    </row>
    <row r="913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  <c r="AI913" s="27"/>
      <c r="AJ913" s="27"/>
      <c r="AK913" s="27"/>
      <c r="AL913" s="27"/>
      <c r="AM913" s="27"/>
    </row>
    <row r="914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  <c r="AI914" s="27"/>
      <c r="AJ914" s="27"/>
      <c r="AK914" s="27"/>
      <c r="AL914" s="27"/>
      <c r="AM914" s="27"/>
    </row>
    <row r="915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  <c r="AI915" s="27"/>
      <c r="AJ915" s="27"/>
      <c r="AK915" s="27"/>
      <c r="AL915" s="27"/>
      <c r="AM915" s="27"/>
    </row>
    <row r="916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  <c r="AI916" s="27"/>
      <c r="AJ916" s="27"/>
      <c r="AK916" s="27"/>
      <c r="AL916" s="27"/>
      <c r="AM916" s="27"/>
    </row>
    <row r="917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  <c r="AI917" s="27"/>
      <c r="AJ917" s="27"/>
      <c r="AK917" s="27"/>
      <c r="AL917" s="27"/>
      <c r="AM917" s="27"/>
    </row>
    <row r="918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  <c r="AI918" s="27"/>
      <c r="AJ918" s="27"/>
      <c r="AK918" s="27"/>
      <c r="AL918" s="27"/>
      <c r="AM918" s="27"/>
    </row>
    <row r="919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  <c r="AJ919" s="27"/>
      <c r="AK919" s="27"/>
      <c r="AL919" s="27"/>
      <c r="AM919" s="27"/>
    </row>
    <row r="920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  <c r="AI920" s="27"/>
      <c r="AJ920" s="27"/>
      <c r="AK920" s="27"/>
      <c r="AL920" s="27"/>
      <c r="AM920" s="27"/>
    </row>
    <row r="92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  <c r="AI921" s="27"/>
      <c r="AJ921" s="27"/>
      <c r="AK921" s="27"/>
      <c r="AL921" s="27"/>
      <c r="AM921" s="27"/>
    </row>
    <row r="922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  <c r="AI922" s="27"/>
      <c r="AJ922" s="27"/>
      <c r="AK922" s="27"/>
      <c r="AL922" s="27"/>
      <c r="AM922" s="27"/>
    </row>
    <row r="923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  <c r="AI923" s="27"/>
      <c r="AJ923" s="27"/>
      <c r="AK923" s="27"/>
      <c r="AL923" s="27"/>
      <c r="AM923" s="27"/>
    </row>
    <row r="924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  <c r="AJ924" s="27"/>
      <c r="AK924" s="27"/>
      <c r="AL924" s="27"/>
      <c r="AM924" s="27"/>
    </row>
    <row r="925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  <c r="AJ925" s="27"/>
      <c r="AK925" s="27"/>
      <c r="AL925" s="27"/>
      <c r="AM925" s="27"/>
    </row>
    <row r="926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  <c r="AI926" s="27"/>
      <c r="AJ926" s="27"/>
      <c r="AK926" s="27"/>
      <c r="AL926" s="27"/>
      <c r="AM926" s="27"/>
    </row>
    <row r="927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  <c r="AI927" s="27"/>
      <c r="AJ927" s="27"/>
      <c r="AK927" s="27"/>
      <c r="AL927" s="27"/>
      <c r="AM927" s="27"/>
    </row>
    <row r="928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  <c r="AI928" s="27"/>
      <c r="AJ928" s="27"/>
      <c r="AK928" s="27"/>
      <c r="AL928" s="27"/>
      <c r="AM928" s="27"/>
    </row>
    <row r="929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  <c r="AJ929" s="27"/>
      <c r="AK929" s="27"/>
      <c r="AL929" s="27"/>
      <c r="AM929" s="27"/>
    </row>
    <row r="930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  <c r="AI930" s="27"/>
      <c r="AJ930" s="27"/>
      <c r="AK930" s="27"/>
      <c r="AL930" s="27"/>
      <c r="AM930" s="27"/>
    </row>
    <row r="93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  <c r="AI931" s="27"/>
      <c r="AJ931" s="27"/>
      <c r="AK931" s="27"/>
      <c r="AL931" s="27"/>
      <c r="AM931" s="27"/>
    </row>
    <row r="932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  <c r="AI932" s="27"/>
      <c r="AJ932" s="27"/>
      <c r="AK932" s="27"/>
      <c r="AL932" s="27"/>
      <c r="AM932" s="27"/>
    </row>
    <row r="933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  <c r="AI933" s="27"/>
      <c r="AJ933" s="27"/>
      <c r="AK933" s="27"/>
      <c r="AL933" s="27"/>
      <c r="AM933" s="27"/>
    </row>
    <row r="934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  <c r="AI934" s="27"/>
      <c r="AJ934" s="27"/>
      <c r="AK934" s="27"/>
      <c r="AL934" s="27"/>
      <c r="AM934" s="27"/>
    </row>
    <row r="935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/>
    </row>
    <row r="936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  <c r="AI936" s="27"/>
      <c r="AJ936" s="27"/>
      <c r="AK936" s="27"/>
      <c r="AL936" s="27"/>
      <c r="AM936" s="27"/>
    </row>
    <row r="937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27"/>
      <c r="AI937" s="27"/>
      <c r="AJ937" s="27"/>
      <c r="AK937" s="27"/>
      <c r="AL937" s="27"/>
      <c r="AM937" s="27"/>
    </row>
    <row r="938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/>
    </row>
    <row r="939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27"/>
      <c r="AI939" s="27"/>
      <c r="AJ939" s="27"/>
      <c r="AK939" s="27"/>
      <c r="AL939" s="27"/>
      <c r="AM939" s="27"/>
    </row>
    <row r="940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  <c r="AI940" s="27"/>
      <c r="AJ940" s="27"/>
      <c r="AK940" s="27"/>
      <c r="AL940" s="27"/>
      <c r="AM940" s="27"/>
    </row>
    <row r="94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27"/>
      <c r="AI941" s="27"/>
      <c r="AJ941" s="27"/>
      <c r="AK941" s="27"/>
      <c r="AL941" s="27"/>
      <c r="AM941" s="27"/>
    </row>
    <row r="942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27"/>
      <c r="AI942" s="27"/>
      <c r="AJ942" s="27"/>
      <c r="AK942" s="27"/>
      <c r="AL942" s="27"/>
      <c r="AM942" s="27"/>
    </row>
    <row r="943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27"/>
      <c r="AI943" s="27"/>
      <c r="AJ943" s="27"/>
      <c r="AK943" s="27"/>
      <c r="AL943" s="27"/>
      <c r="AM943" s="27"/>
    </row>
    <row r="944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  <c r="AJ944" s="27"/>
      <c r="AK944" s="27"/>
      <c r="AL944" s="27"/>
      <c r="AM944" s="27"/>
    </row>
    <row r="945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  <c r="AI945" s="27"/>
      <c r="AJ945" s="27"/>
      <c r="AK945" s="27"/>
      <c r="AL945" s="27"/>
      <c r="AM945" s="27"/>
    </row>
    <row r="946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  <c r="AI946" s="27"/>
      <c r="AJ946" s="27"/>
      <c r="AK946" s="27"/>
      <c r="AL946" s="27"/>
      <c r="AM946" s="27"/>
    </row>
    <row r="947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  <c r="AJ947" s="27"/>
      <c r="AK947" s="27"/>
      <c r="AL947" s="27"/>
      <c r="AM947" s="27"/>
    </row>
    <row r="948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  <c r="AI948" s="27"/>
      <c r="AJ948" s="27"/>
      <c r="AK948" s="27"/>
      <c r="AL948" s="27"/>
      <c r="AM948" s="27"/>
    </row>
    <row r="949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  <c r="AJ949" s="27"/>
      <c r="AK949" s="27"/>
      <c r="AL949" s="27"/>
      <c r="AM949" s="27"/>
    </row>
    <row r="950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  <c r="AJ950" s="27"/>
      <c r="AK950" s="27"/>
      <c r="AL950" s="27"/>
      <c r="AM950" s="27"/>
    </row>
    <row r="95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  <c r="AI951" s="27"/>
      <c r="AJ951" s="27"/>
      <c r="AK951" s="27"/>
      <c r="AL951" s="27"/>
      <c r="AM951" s="27"/>
    </row>
    <row r="952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  <c r="AI952" s="27"/>
      <c r="AJ952" s="27"/>
      <c r="AK952" s="27"/>
      <c r="AL952" s="27"/>
      <c r="AM952" s="27"/>
    </row>
    <row r="953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  <c r="AI953" s="27"/>
      <c r="AJ953" s="27"/>
      <c r="AK953" s="27"/>
      <c r="AL953" s="27"/>
      <c r="AM953" s="27"/>
    </row>
    <row r="954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  <c r="AI954" s="27"/>
      <c r="AJ954" s="27"/>
      <c r="AK954" s="27"/>
      <c r="AL954" s="27"/>
      <c r="AM954" s="27"/>
    </row>
    <row r="955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  <c r="AI955" s="27"/>
      <c r="AJ955" s="27"/>
      <c r="AK955" s="27"/>
      <c r="AL955" s="27"/>
      <c r="AM955" s="27"/>
    </row>
    <row r="956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  <c r="AI956" s="27"/>
      <c r="AJ956" s="27"/>
      <c r="AK956" s="27"/>
      <c r="AL956" s="27"/>
      <c r="AM956" s="27"/>
    </row>
    <row r="957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  <c r="AI957" s="27"/>
      <c r="AJ957" s="27"/>
      <c r="AK957" s="27"/>
      <c r="AL957" s="27"/>
      <c r="AM957" s="27"/>
    </row>
    <row r="958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  <c r="AI958" s="27"/>
      <c r="AJ958" s="27"/>
      <c r="AK958" s="27"/>
      <c r="AL958" s="27"/>
      <c r="AM958" s="27"/>
    </row>
    <row r="959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  <c r="AI959" s="27"/>
      <c r="AJ959" s="27"/>
      <c r="AK959" s="27"/>
      <c r="AL959" s="27"/>
      <c r="AM959" s="27"/>
    </row>
    <row r="960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27"/>
      <c r="AI960" s="27"/>
      <c r="AJ960" s="27"/>
      <c r="AK960" s="27"/>
      <c r="AL960" s="27"/>
      <c r="AM960" s="27"/>
    </row>
    <row r="96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  <c r="AH961" s="27"/>
      <c r="AI961" s="27"/>
      <c r="AJ961" s="27"/>
      <c r="AK961" s="27"/>
      <c r="AL961" s="27"/>
      <c r="AM961" s="27"/>
    </row>
    <row r="962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  <c r="AH962" s="27"/>
      <c r="AI962" s="27"/>
      <c r="AJ962" s="27"/>
      <c r="AK962" s="27"/>
      <c r="AL962" s="27"/>
      <c r="AM962" s="27"/>
    </row>
    <row r="963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  <c r="AH963" s="27"/>
      <c r="AI963" s="27"/>
      <c r="AJ963" s="27"/>
      <c r="AK963" s="27"/>
      <c r="AL963" s="27"/>
      <c r="AM963" s="27"/>
    </row>
    <row r="964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  <c r="AH964" s="27"/>
      <c r="AI964" s="27"/>
      <c r="AJ964" s="27"/>
      <c r="AK964" s="27"/>
      <c r="AL964" s="27"/>
      <c r="AM964" s="27"/>
    </row>
    <row r="965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  <c r="AH965" s="27"/>
      <c r="AI965" s="27"/>
      <c r="AJ965" s="27"/>
      <c r="AK965" s="27"/>
      <c r="AL965" s="27"/>
      <c r="AM965" s="27"/>
    </row>
    <row r="966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  <c r="AH966" s="27"/>
      <c r="AI966" s="27"/>
      <c r="AJ966" s="27"/>
      <c r="AK966" s="27"/>
      <c r="AL966" s="27"/>
      <c r="AM966" s="27"/>
    </row>
    <row r="967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  <c r="AH967" s="27"/>
      <c r="AI967" s="27"/>
      <c r="AJ967" s="27"/>
      <c r="AK967" s="27"/>
      <c r="AL967" s="27"/>
      <c r="AM967" s="27"/>
    </row>
    <row r="968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  <c r="AH968" s="27"/>
      <c r="AI968" s="27"/>
      <c r="AJ968" s="27"/>
      <c r="AK968" s="27"/>
      <c r="AL968" s="27"/>
      <c r="AM968" s="27"/>
    </row>
    <row r="969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  <c r="AH969" s="27"/>
      <c r="AI969" s="27"/>
      <c r="AJ969" s="27"/>
      <c r="AK969" s="27"/>
      <c r="AL969" s="27"/>
      <c r="AM969" s="27"/>
    </row>
    <row r="970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  <c r="AH970" s="27"/>
      <c r="AI970" s="27"/>
      <c r="AJ970" s="27"/>
      <c r="AK970" s="27"/>
      <c r="AL970" s="27"/>
      <c r="AM970" s="27"/>
    </row>
    <row r="97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  <c r="AG971" s="27"/>
      <c r="AH971" s="27"/>
      <c r="AI971" s="27"/>
      <c r="AJ971" s="27"/>
      <c r="AK971" s="27"/>
      <c r="AL971" s="27"/>
      <c r="AM971" s="27"/>
    </row>
    <row r="972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  <c r="AH972" s="27"/>
      <c r="AI972" s="27"/>
      <c r="AJ972" s="27"/>
      <c r="AK972" s="27"/>
      <c r="AL972" s="27"/>
      <c r="AM972" s="27"/>
    </row>
    <row r="973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/>
    </row>
    <row r="974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  <c r="AH974" s="27"/>
      <c r="AI974" s="27"/>
      <c r="AJ974" s="27"/>
      <c r="AK974" s="27"/>
      <c r="AL974" s="27"/>
      <c r="AM974" s="27"/>
    </row>
    <row r="975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  <c r="AH975" s="27"/>
      <c r="AI975" s="27"/>
      <c r="AJ975" s="27"/>
      <c r="AK975" s="27"/>
      <c r="AL975" s="27"/>
      <c r="AM975" s="27"/>
    </row>
    <row r="976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/>
    </row>
    <row r="977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  <c r="AH977" s="27"/>
      <c r="AI977" s="27"/>
      <c r="AJ977" s="27"/>
      <c r="AK977" s="27"/>
      <c r="AL977" s="27"/>
      <c r="AM977" s="27"/>
    </row>
    <row r="978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  <c r="AH978" s="27"/>
      <c r="AI978" s="27"/>
      <c r="AJ978" s="27"/>
      <c r="AK978" s="27"/>
      <c r="AL978" s="27"/>
      <c r="AM978" s="27"/>
    </row>
    <row r="979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  <c r="AH979" s="27"/>
      <c r="AI979" s="27"/>
      <c r="AJ979" s="27"/>
      <c r="AK979" s="27"/>
      <c r="AL979" s="27"/>
      <c r="AM979" s="27"/>
    </row>
    <row r="980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  <c r="AH980" s="27"/>
      <c r="AI980" s="27"/>
      <c r="AJ980" s="27"/>
      <c r="AK980" s="27"/>
      <c r="AL980" s="27"/>
      <c r="AM980" s="27"/>
    </row>
    <row r="98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  <c r="AH981" s="27"/>
      <c r="AI981" s="27"/>
      <c r="AJ981" s="27"/>
      <c r="AK981" s="27"/>
      <c r="AL981" s="27"/>
      <c r="AM981" s="27"/>
    </row>
    <row r="982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  <c r="AH982" s="27"/>
      <c r="AI982" s="27"/>
      <c r="AJ982" s="27"/>
      <c r="AK982" s="27"/>
      <c r="AL982" s="27"/>
      <c r="AM982" s="27"/>
    </row>
    <row r="983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  <c r="AH983" s="27"/>
      <c r="AI983" s="27"/>
      <c r="AJ983" s="27"/>
      <c r="AK983" s="27"/>
      <c r="AL983" s="27"/>
      <c r="AM983" s="27"/>
    </row>
    <row r="984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  <c r="AH984" s="27"/>
      <c r="AI984" s="27"/>
      <c r="AJ984" s="27"/>
      <c r="AK984" s="27"/>
      <c r="AL984" s="27"/>
      <c r="AM984" s="27"/>
    </row>
    <row r="985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  <c r="AH985" s="27"/>
      <c r="AI985" s="27"/>
      <c r="AJ985" s="27"/>
      <c r="AK985" s="27"/>
      <c r="AL985" s="27"/>
      <c r="AM985" s="27"/>
    </row>
    <row r="986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  <c r="AG986" s="27"/>
      <c r="AH986" s="27"/>
      <c r="AI986" s="27"/>
      <c r="AJ986" s="27"/>
      <c r="AK986" s="27"/>
      <c r="AL986" s="27"/>
      <c r="AM986" s="27"/>
    </row>
    <row r="987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  <c r="AG987" s="27"/>
      <c r="AH987" s="27"/>
      <c r="AI987" s="27"/>
      <c r="AJ987" s="27"/>
      <c r="AK987" s="27"/>
      <c r="AL987" s="27"/>
      <c r="AM987" s="27"/>
    </row>
    <row r="988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  <c r="AG988" s="27"/>
      <c r="AH988" s="27"/>
      <c r="AI988" s="27"/>
      <c r="AJ988" s="27"/>
      <c r="AK988" s="27"/>
      <c r="AL988" s="27"/>
      <c r="AM988" s="27"/>
    </row>
    <row r="989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  <c r="AG989" s="27"/>
      <c r="AH989" s="27"/>
      <c r="AI989" s="27"/>
      <c r="AJ989" s="27"/>
      <c r="AK989" s="27"/>
      <c r="AL989" s="27"/>
      <c r="AM989" s="27"/>
    </row>
    <row r="990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  <c r="AG990" s="27"/>
      <c r="AH990" s="27"/>
      <c r="AI990" s="27"/>
      <c r="AJ990" s="27"/>
      <c r="AK990" s="27"/>
      <c r="AL990" s="27"/>
      <c r="AM990" s="27"/>
    </row>
    <row r="99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  <c r="AH991" s="27"/>
      <c r="AI991" s="27"/>
      <c r="AJ991" s="27"/>
      <c r="AK991" s="27"/>
      <c r="AL991" s="27"/>
      <c r="AM991" s="27"/>
    </row>
    <row r="992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  <c r="AH992" s="27"/>
      <c r="AI992" s="27"/>
      <c r="AJ992" s="27"/>
      <c r="AK992" s="27"/>
      <c r="AL992" s="27"/>
      <c r="AM992" s="27"/>
    </row>
    <row r="993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  <c r="AD993" s="27"/>
      <c r="AE993" s="27"/>
      <c r="AF993" s="27"/>
      <c r="AG993" s="27"/>
      <c r="AH993" s="27"/>
      <c r="AI993" s="27"/>
      <c r="AJ993" s="27"/>
      <c r="AK993" s="27"/>
      <c r="AL993" s="27"/>
      <c r="AM993" s="27"/>
    </row>
    <row r="994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  <c r="AD994" s="27"/>
      <c r="AE994" s="27"/>
      <c r="AF994" s="27"/>
      <c r="AG994" s="27"/>
      <c r="AH994" s="27"/>
      <c r="AI994" s="27"/>
      <c r="AJ994" s="27"/>
      <c r="AK994" s="27"/>
      <c r="AL994" s="27"/>
      <c r="AM994" s="27"/>
    </row>
    <row r="995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  <c r="AD995" s="27"/>
      <c r="AE995" s="27"/>
      <c r="AF995" s="27"/>
      <c r="AG995" s="27"/>
      <c r="AH995" s="27"/>
      <c r="AI995" s="27"/>
      <c r="AJ995" s="27"/>
      <c r="AK995" s="27"/>
      <c r="AL995" s="27"/>
      <c r="AM995" s="27"/>
    </row>
    <row r="996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  <c r="AD996" s="27"/>
      <c r="AE996" s="27"/>
      <c r="AF996" s="27"/>
      <c r="AG996" s="27"/>
      <c r="AH996" s="27"/>
      <c r="AI996" s="27"/>
      <c r="AJ996" s="27"/>
      <c r="AK996" s="27"/>
      <c r="AL996" s="27"/>
      <c r="AM996" s="27"/>
    </row>
    <row r="997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  <c r="AD997" s="27"/>
      <c r="AE997" s="27"/>
      <c r="AF997" s="27"/>
      <c r="AG997" s="27"/>
      <c r="AH997" s="27"/>
      <c r="AI997" s="27"/>
      <c r="AJ997" s="27"/>
      <c r="AK997" s="27"/>
      <c r="AL997" s="27"/>
      <c r="AM997" s="27"/>
    </row>
    <row r="998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  <c r="AD998" s="27"/>
      <c r="AE998" s="27"/>
      <c r="AF998" s="27"/>
      <c r="AG998" s="27"/>
      <c r="AH998" s="27"/>
      <c r="AI998" s="27"/>
      <c r="AJ998" s="27"/>
      <c r="AK998" s="27"/>
      <c r="AL998" s="27"/>
      <c r="AM998" s="27"/>
    </row>
    <row r="999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  <c r="AC999" s="27"/>
      <c r="AD999" s="27"/>
      <c r="AE999" s="27"/>
      <c r="AF999" s="27"/>
      <c r="AG999" s="27"/>
      <c r="AH999" s="27"/>
      <c r="AI999" s="27"/>
      <c r="AJ999" s="27"/>
      <c r="AK999" s="27"/>
      <c r="AL999" s="27"/>
      <c r="AM999" s="27"/>
    </row>
    <row r="1000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  <c r="AC1000" s="27"/>
      <c r="AD1000" s="27"/>
      <c r="AE1000" s="27"/>
      <c r="AF1000" s="27"/>
      <c r="AG1000" s="27"/>
      <c r="AH1000" s="27"/>
      <c r="AI1000" s="27"/>
      <c r="AJ1000" s="27"/>
      <c r="AK1000" s="27"/>
      <c r="AL1000" s="27"/>
      <c r="AM1000" s="27"/>
    </row>
    <row r="1001">
      <c r="A1001" s="27"/>
      <c r="B1001" s="27"/>
      <c r="C1001" s="27"/>
      <c r="D1001" s="27"/>
      <c r="E1001" s="27"/>
      <c r="F1001" s="27"/>
      <c r="G1001" s="27"/>
      <c r="H1001" s="27"/>
      <c r="I1001" s="27"/>
      <c r="J1001" s="27"/>
      <c r="K1001" s="27"/>
      <c r="L1001" s="27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  <c r="AA1001" s="27"/>
      <c r="AB1001" s="27"/>
      <c r="AC1001" s="27"/>
      <c r="AD1001" s="27"/>
      <c r="AE1001" s="27"/>
      <c r="AF1001" s="27"/>
      <c r="AG1001" s="27"/>
      <c r="AH1001" s="27"/>
      <c r="AI1001" s="27"/>
      <c r="AJ1001" s="27"/>
      <c r="AK1001" s="27"/>
      <c r="AL1001" s="27"/>
      <c r="AM1001" s="2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4" t="s">
        <v>24</v>
      </c>
    </row>
    <row r="2">
      <c r="A2" s="4"/>
      <c r="B2" s="4">
        <v>3.22</v>
      </c>
      <c r="C2" s="4">
        <v>3.23</v>
      </c>
    </row>
    <row r="3">
      <c r="A3" s="4" t="s">
        <v>25</v>
      </c>
      <c r="B3" s="4">
        <v>6.0</v>
      </c>
      <c r="C3" s="4">
        <v>5.0</v>
      </c>
    </row>
    <row r="4">
      <c r="A4" s="4" t="s">
        <v>26</v>
      </c>
      <c r="B4" s="4">
        <v>1.0</v>
      </c>
      <c r="C4" s="4">
        <v>2.0</v>
      </c>
    </row>
    <row r="5">
      <c r="A5" s="4" t="s">
        <v>27</v>
      </c>
      <c r="B5" s="4">
        <v>0.0</v>
      </c>
      <c r="C5" s="4">
        <v>0.0</v>
      </c>
    </row>
    <row r="6">
      <c r="A6" s="4" t="s">
        <v>28</v>
      </c>
      <c r="B6" s="4">
        <v>1.0</v>
      </c>
      <c r="C6" s="4">
        <v>0.0</v>
      </c>
    </row>
    <row r="7">
      <c r="A7" s="4" t="s">
        <v>29</v>
      </c>
      <c r="B7" s="4">
        <v>4.0</v>
      </c>
      <c r="C7" s="4">
        <v>3.0</v>
      </c>
    </row>
    <row r="9">
      <c r="A9" s="4" t="s">
        <v>30</v>
      </c>
      <c r="B9" s="4">
        <v>7.0</v>
      </c>
      <c r="C9" s="4">
        <v>7.0</v>
      </c>
    </row>
    <row r="10">
      <c r="A10" s="4" t="s">
        <v>26</v>
      </c>
      <c r="B10" s="4">
        <v>0.0</v>
      </c>
      <c r="C10" s="4">
        <v>0.0</v>
      </c>
    </row>
    <row r="11">
      <c r="A11" s="4" t="s">
        <v>27</v>
      </c>
      <c r="B11" s="4">
        <v>1.0</v>
      </c>
      <c r="C11" s="4">
        <v>0.0</v>
      </c>
    </row>
    <row r="12">
      <c r="A12" s="4" t="s">
        <v>28</v>
      </c>
      <c r="B12" s="4">
        <v>3.0</v>
      </c>
      <c r="C12" s="4">
        <v>1.0</v>
      </c>
    </row>
    <row r="13">
      <c r="A13" s="4" t="s">
        <v>29</v>
      </c>
      <c r="B13" s="4">
        <v>4.0</v>
      </c>
      <c r="C13" s="4">
        <v>6.0</v>
      </c>
    </row>
    <row r="14">
      <c r="B14" s="68">
        <f t="shared" ref="B14:C14" si="1">SUM(B9:B13)</f>
        <v>15</v>
      </c>
      <c r="C14" s="68">
        <f t="shared" si="1"/>
        <v>14</v>
      </c>
    </row>
    <row r="16">
      <c r="A16" s="4" t="s">
        <v>31</v>
      </c>
    </row>
    <row r="17">
      <c r="A17" s="4" t="s">
        <v>26</v>
      </c>
      <c r="C17" s="4">
        <v>2.0</v>
      </c>
    </row>
    <row r="18">
      <c r="A18" s="4" t="s">
        <v>27</v>
      </c>
      <c r="C18" s="4">
        <v>1.0</v>
      </c>
    </row>
    <row r="19">
      <c r="A19" s="4" t="s">
        <v>28</v>
      </c>
      <c r="C19" s="4">
        <v>2.0</v>
      </c>
    </row>
    <row r="20">
      <c r="A20" s="4" t="s">
        <v>29</v>
      </c>
      <c r="C20" s="4">
        <v>1.0</v>
      </c>
    </row>
    <row r="21">
      <c r="A21" s="4" t="s">
        <v>20</v>
      </c>
      <c r="C21" s="16">
        <f>SUM(C17:C20)</f>
        <v>6</v>
      </c>
    </row>
  </sheetData>
  <drawing r:id="rId1"/>
</worksheet>
</file>