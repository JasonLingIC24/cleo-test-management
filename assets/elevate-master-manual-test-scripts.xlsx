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wsl.localhost\Debian\home\jason\debian-src\cleo-test-management\assets\"/>
    </mc:Choice>
  </mc:AlternateContent>
  <xr:revisionPtr revIDLastSave="0" documentId="13_ncr:1_{607AB9C7-A72C-4E0A-B5C1-79BA0A2C17F5}" xr6:coauthVersionLast="47" xr6:coauthVersionMax="47" xr10:uidLastSave="{00000000-0000-0000-0000-000000000000}"/>
  <bookViews>
    <workbookView xWindow="-120" yWindow="-120" windowWidth="29040" windowHeight="15720" firstSheet="7" activeTab="13" xr2:uid="{00000000-000D-0000-FFFF-FFFF00000000}"/>
  </bookViews>
  <sheets>
    <sheet name="Test Plan" sheetId="1" r:id="rId1"/>
    <sheet name="Stats" sheetId="2" r:id="rId2"/>
    <sheet name="General Checks" sheetId="3" r:id="rId3"/>
    <sheet name="Login and User Profile" sheetId="4" r:id="rId4"/>
    <sheet name="VWR Specifics" sheetId="5" r:id="rId5"/>
    <sheet name="VWR White Labeling" sheetId="6" r:id="rId6"/>
    <sheet name="Audit Log Viewer" sheetId="7" r:id="rId7"/>
    <sheet name="Prescribing" sheetId="8" r:id="rId8"/>
    <sheet name="CIS2" sheetId="9" r:id="rId9"/>
    <sheet name="ECDS" sheetId="10" r:id="rId10"/>
    <sheet name="CPIS" sheetId="11" r:id="rId11"/>
    <sheet name="ITK3" sheetId="12" r:id="rId12"/>
    <sheet name="GPC-SD" sheetId="13" r:id="rId13"/>
    <sheet name="BaRS" sheetId="14" r:id="rId14"/>
    <sheet name="APPENDIX A - prescription-order" sheetId="15" r:id="rId15"/>
    <sheet name="APPENDIX B - prescription-order" sheetId="16" r:id="rId16"/>
    <sheet name="Appendix C CPIS patients" sheetId="17" r:id="rId17"/>
    <sheet name="Appendix - GPConnect HTML Patie" sheetId="18" r:id="rId18"/>
    <sheet name="Appendix - Test patients" sheetId="19" r:id="rId19"/>
    <sheet name="GPC Send Document Test Scenario" sheetId="20" r:id="rId20"/>
    <sheet name="ITK3 Test Harness Trigger Scena" sheetId="21" r:id="rId21"/>
    <sheet name="ITK3 INT NHS Trigger Values " sheetId="22" r:id="rId22"/>
  </sheets>
  <definedNames>
    <definedName name="_xlnm._FilterDatabase" localSheetId="21" hidden="1">'ITK3 INT NHS Trigger Values '!$A$21:$N$21</definedName>
    <definedName name="IB12DOSE12Y">#REF!</definedName>
    <definedName name="IB12DOSE18Y">#REF!</definedName>
    <definedName name="TODA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 l="1"/>
  <c r="B691" i="19"/>
  <c r="C691" i="19" s="1"/>
  <c r="B690" i="19"/>
  <c r="C690" i="19" s="1"/>
  <c r="B689" i="19"/>
  <c r="C689" i="19" s="1"/>
  <c r="B688" i="19"/>
  <c r="C688" i="19" s="1"/>
  <c r="B687" i="19"/>
  <c r="C687" i="19" s="1"/>
  <c r="B686" i="19"/>
  <c r="C686" i="19" s="1"/>
  <c r="B685" i="19"/>
  <c r="C685" i="19" s="1"/>
  <c r="B684" i="19"/>
  <c r="C684" i="19" s="1"/>
  <c r="B683" i="19"/>
  <c r="C683" i="19" s="1"/>
  <c r="B682" i="19"/>
  <c r="C682" i="19" s="1"/>
  <c r="B681" i="19"/>
  <c r="C681" i="19" s="1"/>
  <c r="B680" i="19"/>
  <c r="C680" i="19" s="1"/>
  <c r="B679" i="19"/>
  <c r="C679" i="19" s="1"/>
  <c r="B678" i="19"/>
  <c r="C678" i="19" s="1"/>
  <c r="B677" i="19"/>
  <c r="C677" i="19" s="1"/>
  <c r="B676" i="19"/>
  <c r="C676" i="19" s="1"/>
  <c r="B675" i="19"/>
  <c r="C675" i="19" s="1"/>
  <c r="B674" i="19"/>
  <c r="C674" i="19" s="1"/>
  <c r="B673" i="19"/>
  <c r="C673" i="19" s="1"/>
  <c r="B672" i="19"/>
  <c r="C672" i="19" s="1"/>
  <c r="B671" i="19"/>
  <c r="C671" i="19" s="1"/>
  <c r="B670" i="19"/>
  <c r="C670" i="19" s="1"/>
  <c r="B669" i="19"/>
  <c r="C669" i="19" s="1"/>
  <c r="B668" i="19"/>
  <c r="C668" i="19" s="1"/>
  <c r="B667" i="19"/>
  <c r="C667" i="19" s="1"/>
  <c r="B666" i="19"/>
  <c r="C666" i="19" s="1"/>
  <c r="B665" i="19"/>
  <c r="C665" i="19" s="1"/>
  <c r="B664" i="19"/>
  <c r="C664" i="19" s="1"/>
  <c r="B663" i="19"/>
  <c r="C663" i="19" s="1"/>
  <c r="B662" i="19"/>
  <c r="C662" i="19" s="1"/>
  <c r="B661" i="19"/>
  <c r="C661" i="19" s="1"/>
  <c r="B660" i="19"/>
  <c r="C660" i="19" s="1"/>
  <c r="B659" i="19"/>
  <c r="C659" i="19" s="1"/>
  <c r="B658" i="19"/>
  <c r="C658" i="19" s="1"/>
  <c r="B657" i="19"/>
  <c r="C657" i="19" s="1"/>
  <c r="B656" i="19"/>
  <c r="C656" i="19" s="1"/>
  <c r="B655" i="19"/>
  <c r="C655" i="19" s="1"/>
  <c r="B654" i="19"/>
  <c r="C654" i="19" s="1"/>
  <c r="B653" i="19"/>
  <c r="C653" i="19" s="1"/>
  <c r="B652" i="19"/>
  <c r="C652" i="19" s="1"/>
  <c r="B651" i="19"/>
  <c r="C651" i="19" s="1"/>
  <c r="B650" i="19"/>
  <c r="C650" i="19" s="1"/>
  <c r="B649" i="19"/>
  <c r="C649" i="19" s="1"/>
  <c r="B648" i="19"/>
  <c r="C648" i="19" s="1"/>
  <c r="B647" i="19"/>
  <c r="C647" i="19" s="1"/>
  <c r="B646" i="19"/>
  <c r="C646" i="19" s="1"/>
  <c r="B645" i="19"/>
  <c r="C645" i="19" s="1"/>
  <c r="B644" i="19"/>
  <c r="C644" i="19" s="1"/>
  <c r="B643" i="19"/>
  <c r="C643" i="19" s="1"/>
  <c r="B642" i="19"/>
  <c r="C642" i="19" s="1"/>
  <c r="B641" i="19"/>
  <c r="C641" i="19" s="1"/>
  <c r="B640" i="19"/>
  <c r="C640" i="19" s="1"/>
  <c r="B639" i="19"/>
  <c r="C639" i="19" s="1"/>
  <c r="B638" i="19"/>
  <c r="C638" i="19" s="1"/>
  <c r="B637" i="19"/>
  <c r="C637" i="19" s="1"/>
  <c r="B636" i="19"/>
  <c r="C636" i="19" s="1"/>
  <c r="B635" i="19"/>
  <c r="C635" i="19" s="1"/>
  <c r="B634" i="19"/>
  <c r="C634" i="19" s="1"/>
  <c r="B633" i="19"/>
  <c r="C633" i="19" s="1"/>
  <c r="B632" i="19"/>
  <c r="C632" i="19" s="1"/>
  <c r="B631" i="19"/>
  <c r="C631" i="19" s="1"/>
  <c r="B630" i="19"/>
  <c r="C630" i="19" s="1"/>
  <c r="B629" i="19"/>
  <c r="C629" i="19" s="1"/>
  <c r="B628" i="19"/>
  <c r="C628" i="19" s="1"/>
  <c r="B627" i="19"/>
  <c r="C627" i="19" s="1"/>
  <c r="B626" i="19"/>
  <c r="C626" i="19" s="1"/>
  <c r="B625" i="19"/>
  <c r="C625" i="19" s="1"/>
  <c r="B624" i="19"/>
  <c r="C624" i="19" s="1"/>
  <c r="B623" i="19"/>
  <c r="C623" i="19" s="1"/>
  <c r="B622" i="19"/>
  <c r="C622" i="19" s="1"/>
  <c r="B621" i="19"/>
  <c r="C621" i="19" s="1"/>
  <c r="B620" i="19"/>
  <c r="C620" i="19" s="1"/>
  <c r="B619" i="19"/>
  <c r="C619" i="19" s="1"/>
  <c r="B618" i="19"/>
  <c r="C618" i="19" s="1"/>
  <c r="B617" i="19"/>
  <c r="C617" i="19" s="1"/>
  <c r="B616" i="19"/>
  <c r="C616" i="19" s="1"/>
  <c r="B615" i="19"/>
  <c r="C615" i="19" s="1"/>
  <c r="B614" i="19"/>
  <c r="C614" i="19" s="1"/>
  <c r="B613" i="19"/>
  <c r="C613" i="19" s="1"/>
  <c r="B612" i="19"/>
  <c r="C612" i="19" s="1"/>
  <c r="B611" i="19"/>
  <c r="C611" i="19" s="1"/>
  <c r="B610" i="19"/>
  <c r="C610" i="19" s="1"/>
  <c r="B609" i="19"/>
  <c r="C609" i="19" s="1"/>
  <c r="B608" i="19"/>
  <c r="C608" i="19" s="1"/>
  <c r="B607" i="19"/>
  <c r="C607" i="19" s="1"/>
  <c r="B606" i="19"/>
  <c r="C606" i="19" s="1"/>
  <c r="B605" i="19"/>
  <c r="C605" i="19" s="1"/>
  <c r="B604" i="19"/>
  <c r="C604" i="19" s="1"/>
  <c r="B603" i="19"/>
  <c r="C603" i="19" s="1"/>
  <c r="B602" i="19"/>
  <c r="C602" i="19" s="1"/>
  <c r="B601" i="19"/>
  <c r="C601" i="19" s="1"/>
  <c r="B600" i="19"/>
  <c r="C600" i="19" s="1"/>
  <c r="B599" i="19"/>
  <c r="C599" i="19" s="1"/>
  <c r="B598" i="19"/>
  <c r="C598" i="19" s="1"/>
  <c r="B597" i="19"/>
  <c r="C597" i="19" s="1"/>
  <c r="B596" i="19"/>
  <c r="C596" i="19" s="1"/>
  <c r="B595" i="19"/>
  <c r="C595" i="19" s="1"/>
  <c r="B594" i="19"/>
  <c r="C594" i="19" s="1"/>
  <c r="B593" i="19"/>
  <c r="C593" i="19" s="1"/>
  <c r="B592" i="19"/>
  <c r="C592" i="19" s="1"/>
  <c r="B591" i="19"/>
  <c r="C591" i="19" s="1"/>
  <c r="B590" i="19"/>
  <c r="C590" i="19" s="1"/>
  <c r="B589" i="19"/>
  <c r="C589" i="19" s="1"/>
  <c r="B588" i="19"/>
  <c r="C588" i="19" s="1"/>
  <c r="B587" i="19"/>
  <c r="C587" i="19" s="1"/>
  <c r="B586" i="19"/>
  <c r="C586" i="19" s="1"/>
  <c r="B585" i="19"/>
  <c r="C585" i="19" s="1"/>
  <c r="B584" i="19"/>
  <c r="C584" i="19" s="1"/>
  <c r="B583" i="19"/>
  <c r="C583" i="19" s="1"/>
  <c r="B582" i="19"/>
  <c r="C582" i="19" s="1"/>
  <c r="B581" i="19"/>
  <c r="C581" i="19" s="1"/>
  <c r="B580" i="19"/>
  <c r="C580" i="19" s="1"/>
  <c r="B579" i="19"/>
  <c r="C579" i="19" s="1"/>
  <c r="B578" i="19"/>
  <c r="C578" i="19" s="1"/>
  <c r="B577" i="19"/>
  <c r="C577" i="19" s="1"/>
  <c r="B576" i="19"/>
  <c r="C576" i="19" s="1"/>
  <c r="B575" i="19"/>
  <c r="C575" i="19" s="1"/>
  <c r="B574" i="19"/>
  <c r="C574" i="19" s="1"/>
  <c r="B573" i="19"/>
  <c r="C573" i="19" s="1"/>
  <c r="B572" i="19"/>
  <c r="C572" i="19" s="1"/>
  <c r="B571" i="19"/>
  <c r="C571" i="19" s="1"/>
  <c r="B570" i="19"/>
  <c r="C570" i="19" s="1"/>
  <c r="B569" i="19"/>
  <c r="C569" i="19" s="1"/>
  <c r="B568" i="19"/>
  <c r="C568" i="19" s="1"/>
  <c r="B567" i="19"/>
  <c r="C567" i="19" s="1"/>
  <c r="B566" i="19"/>
  <c r="C566" i="19" s="1"/>
  <c r="B565" i="19"/>
  <c r="C565" i="19" s="1"/>
  <c r="B564" i="19"/>
  <c r="C564" i="19" s="1"/>
  <c r="B563" i="19"/>
  <c r="C563" i="19" s="1"/>
  <c r="B562" i="19"/>
  <c r="C562" i="19" s="1"/>
  <c r="B561" i="19"/>
  <c r="C561" i="19" s="1"/>
  <c r="B560" i="19"/>
  <c r="C560" i="19" s="1"/>
  <c r="B559" i="19"/>
  <c r="C559" i="19" s="1"/>
  <c r="B558" i="19"/>
  <c r="C558" i="19" s="1"/>
  <c r="B557" i="19"/>
  <c r="C557" i="19" s="1"/>
  <c r="B556" i="19"/>
  <c r="C556" i="19" s="1"/>
  <c r="B555" i="19"/>
  <c r="C555" i="19" s="1"/>
  <c r="B554" i="19"/>
  <c r="C554" i="19" s="1"/>
  <c r="B553" i="19"/>
  <c r="C553" i="19" s="1"/>
  <c r="B552" i="19"/>
  <c r="C552" i="19" s="1"/>
  <c r="B551" i="19"/>
  <c r="C551" i="19" s="1"/>
  <c r="B550" i="19"/>
  <c r="C550" i="19" s="1"/>
  <c r="B549" i="19"/>
  <c r="C549" i="19" s="1"/>
  <c r="B548" i="19"/>
  <c r="C548" i="19" s="1"/>
  <c r="B547" i="19"/>
  <c r="C547" i="19" s="1"/>
  <c r="B546" i="19"/>
  <c r="C546" i="19" s="1"/>
  <c r="B545" i="19"/>
  <c r="C545" i="19" s="1"/>
  <c r="B544" i="19"/>
  <c r="C544" i="19" s="1"/>
  <c r="B543" i="19"/>
  <c r="C543" i="19" s="1"/>
  <c r="B542" i="19"/>
  <c r="C542" i="19" s="1"/>
  <c r="B541" i="19"/>
  <c r="C541" i="19" s="1"/>
  <c r="B540" i="19"/>
  <c r="C540" i="19" s="1"/>
  <c r="B539" i="19"/>
  <c r="C539" i="19" s="1"/>
  <c r="B538" i="19"/>
  <c r="C538" i="19" s="1"/>
  <c r="B537" i="19"/>
  <c r="C537" i="19" s="1"/>
  <c r="B536" i="19"/>
  <c r="C536" i="19" s="1"/>
  <c r="B535" i="19"/>
  <c r="C535" i="19" s="1"/>
  <c r="B534" i="19"/>
  <c r="C534" i="19" s="1"/>
  <c r="B533" i="19"/>
  <c r="C533" i="19" s="1"/>
  <c r="B532" i="19"/>
  <c r="C532" i="19" s="1"/>
  <c r="B531" i="19"/>
  <c r="C531" i="19" s="1"/>
  <c r="B530" i="19"/>
  <c r="C530" i="19" s="1"/>
  <c r="B529" i="19"/>
  <c r="C529" i="19" s="1"/>
  <c r="B528" i="19"/>
  <c r="C528" i="19" s="1"/>
  <c r="B527" i="19"/>
  <c r="C527" i="19" s="1"/>
  <c r="B526" i="19"/>
  <c r="C526" i="19" s="1"/>
  <c r="B525" i="19"/>
  <c r="C525" i="19" s="1"/>
  <c r="B524" i="19"/>
  <c r="C524" i="19" s="1"/>
  <c r="B523" i="19"/>
  <c r="C523" i="19" s="1"/>
  <c r="B522" i="19"/>
  <c r="C522" i="19" s="1"/>
  <c r="B521" i="19"/>
  <c r="C521" i="19" s="1"/>
  <c r="B520" i="19"/>
  <c r="C520" i="19" s="1"/>
  <c r="B519" i="19"/>
  <c r="C519" i="19" s="1"/>
  <c r="B518" i="19"/>
  <c r="C518" i="19" s="1"/>
  <c r="B517" i="19"/>
  <c r="C517" i="19" s="1"/>
  <c r="B516" i="19"/>
  <c r="C516" i="19" s="1"/>
  <c r="B515" i="19"/>
  <c r="C515" i="19" s="1"/>
  <c r="B514" i="19"/>
  <c r="C514" i="19" s="1"/>
  <c r="B513" i="19"/>
  <c r="C513" i="19" s="1"/>
  <c r="B512" i="19"/>
  <c r="C512" i="19" s="1"/>
  <c r="B511" i="19"/>
  <c r="C511" i="19" s="1"/>
  <c r="B510" i="19"/>
  <c r="C510" i="19" s="1"/>
  <c r="B509" i="19"/>
  <c r="C509" i="19" s="1"/>
  <c r="B508" i="19"/>
  <c r="C508" i="19" s="1"/>
  <c r="B507" i="19"/>
  <c r="C507" i="19" s="1"/>
  <c r="B506" i="19"/>
  <c r="C506" i="19" s="1"/>
  <c r="B505" i="19"/>
  <c r="C505" i="19" s="1"/>
  <c r="B504" i="19"/>
  <c r="C504" i="19" s="1"/>
  <c r="B503" i="19"/>
  <c r="C503" i="19" s="1"/>
  <c r="B502" i="19"/>
  <c r="C502" i="19" s="1"/>
  <c r="B501" i="19"/>
  <c r="C501" i="19" s="1"/>
  <c r="B500" i="19"/>
  <c r="C500" i="19" s="1"/>
  <c r="B499" i="19"/>
  <c r="C499" i="19" s="1"/>
  <c r="B498" i="19"/>
  <c r="C498" i="19" s="1"/>
  <c r="B497" i="19"/>
  <c r="C497" i="19" s="1"/>
  <c r="B496" i="19"/>
  <c r="C496" i="19" s="1"/>
  <c r="B495" i="19"/>
  <c r="C495" i="19" s="1"/>
  <c r="B494" i="19"/>
  <c r="C494" i="19" s="1"/>
  <c r="B493" i="19"/>
  <c r="C493" i="19" s="1"/>
  <c r="B492" i="19"/>
  <c r="C492" i="19" s="1"/>
  <c r="B491" i="19"/>
  <c r="C491" i="19" s="1"/>
  <c r="B490" i="19"/>
  <c r="C490" i="19" s="1"/>
  <c r="B489" i="19"/>
  <c r="C489" i="19" s="1"/>
  <c r="B488" i="19"/>
  <c r="C488" i="19" s="1"/>
  <c r="B487" i="19"/>
  <c r="C487" i="19" s="1"/>
  <c r="B486" i="19"/>
  <c r="C486" i="19" s="1"/>
  <c r="B485" i="19"/>
  <c r="C485" i="19" s="1"/>
  <c r="B484" i="19"/>
  <c r="C484" i="19" s="1"/>
  <c r="B483" i="19"/>
  <c r="C483" i="19" s="1"/>
  <c r="B482" i="19"/>
  <c r="C482" i="19" s="1"/>
  <c r="B481" i="19"/>
  <c r="C481" i="19" s="1"/>
  <c r="B480" i="19"/>
  <c r="C480" i="19" s="1"/>
  <c r="B479" i="19"/>
  <c r="C479" i="19" s="1"/>
  <c r="B478" i="19"/>
  <c r="C478" i="19" s="1"/>
  <c r="B477" i="19"/>
  <c r="C477" i="19" s="1"/>
  <c r="B476" i="19"/>
  <c r="C476" i="19" s="1"/>
  <c r="B475" i="19"/>
  <c r="C475" i="19" s="1"/>
  <c r="B474" i="19"/>
  <c r="C474" i="19" s="1"/>
  <c r="B473" i="19"/>
  <c r="C473" i="19" s="1"/>
  <c r="B472" i="19"/>
  <c r="C472" i="19" s="1"/>
  <c r="B471" i="19"/>
  <c r="C471" i="19" s="1"/>
  <c r="B470" i="19"/>
  <c r="C470" i="19" s="1"/>
  <c r="B469" i="19"/>
  <c r="C469" i="19" s="1"/>
  <c r="B468" i="19"/>
  <c r="C468" i="19" s="1"/>
  <c r="B467" i="19"/>
  <c r="C467" i="19" s="1"/>
  <c r="B466" i="19"/>
  <c r="C466" i="19" s="1"/>
  <c r="B465" i="19"/>
  <c r="C465" i="19" s="1"/>
  <c r="B464" i="19"/>
  <c r="C464" i="19" s="1"/>
  <c r="B463" i="19"/>
  <c r="C463" i="19" s="1"/>
  <c r="B462" i="19"/>
  <c r="C462" i="19" s="1"/>
  <c r="B461" i="19"/>
  <c r="C461" i="19" s="1"/>
  <c r="B460" i="19"/>
  <c r="C460" i="19" s="1"/>
  <c r="B459" i="19"/>
  <c r="C459" i="19" s="1"/>
  <c r="B458" i="19"/>
  <c r="C458" i="19" s="1"/>
  <c r="B457" i="19"/>
  <c r="C457" i="19" s="1"/>
  <c r="B456" i="19"/>
  <c r="C456" i="19" s="1"/>
  <c r="B455" i="19"/>
  <c r="C455" i="19" s="1"/>
  <c r="B454" i="19"/>
  <c r="C454" i="19" s="1"/>
  <c r="B453" i="19"/>
  <c r="C453" i="19" s="1"/>
  <c r="B452" i="19"/>
  <c r="C452" i="19" s="1"/>
  <c r="B451" i="19"/>
  <c r="C451" i="19" s="1"/>
  <c r="B450" i="19"/>
  <c r="C450" i="19" s="1"/>
  <c r="B449" i="19"/>
  <c r="C449" i="19" s="1"/>
  <c r="B448" i="19"/>
  <c r="C448" i="19" s="1"/>
  <c r="B447" i="19"/>
  <c r="C447" i="19" s="1"/>
  <c r="B446" i="19"/>
  <c r="C446" i="19" s="1"/>
  <c r="B445" i="19"/>
  <c r="C445" i="19" s="1"/>
  <c r="B444" i="19"/>
  <c r="C444" i="19" s="1"/>
  <c r="B443" i="19"/>
  <c r="C443" i="19" s="1"/>
  <c r="B442" i="19"/>
  <c r="C442" i="19" s="1"/>
  <c r="B441" i="19"/>
  <c r="C441" i="19" s="1"/>
  <c r="B440" i="19"/>
  <c r="C440" i="19" s="1"/>
  <c r="B439" i="19"/>
  <c r="C439" i="19" s="1"/>
  <c r="B438" i="19"/>
  <c r="C438" i="19" s="1"/>
  <c r="B437" i="19"/>
  <c r="C437" i="19" s="1"/>
  <c r="B436" i="19"/>
  <c r="C436" i="19" s="1"/>
  <c r="B435" i="19"/>
  <c r="C435" i="19" s="1"/>
  <c r="B434" i="19"/>
  <c r="C434" i="19" s="1"/>
  <c r="B433" i="19"/>
  <c r="C433" i="19" s="1"/>
  <c r="B432" i="19"/>
  <c r="C432" i="19" s="1"/>
  <c r="B431" i="19"/>
  <c r="C431" i="19" s="1"/>
  <c r="B430" i="19"/>
  <c r="C430" i="19" s="1"/>
  <c r="B429" i="19"/>
  <c r="C429" i="19" s="1"/>
  <c r="B428" i="19"/>
  <c r="C428" i="19" s="1"/>
  <c r="B427" i="19"/>
  <c r="C427" i="19" s="1"/>
  <c r="B426" i="19"/>
  <c r="C426" i="19" s="1"/>
  <c r="B425" i="19"/>
  <c r="C425" i="19" s="1"/>
  <c r="B424" i="19"/>
  <c r="C424" i="19" s="1"/>
  <c r="B423" i="19"/>
  <c r="C423" i="19" s="1"/>
  <c r="B422" i="19"/>
  <c r="C422" i="19" s="1"/>
  <c r="B421" i="19"/>
  <c r="C421" i="19" s="1"/>
  <c r="B420" i="19"/>
  <c r="C420" i="19" s="1"/>
  <c r="B419" i="19"/>
  <c r="C419" i="19" s="1"/>
  <c r="B418" i="19"/>
  <c r="C418" i="19" s="1"/>
  <c r="B417" i="19"/>
  <c r="C417" i="19" s="1"/>
  <c r="B416" i="19"/>
  <c r="C416" i="19" s="1"/>
  <c r="B415" i="19"/>
  <c r="C415" i="19" s="1"/>
  <c r="B414" i="19"/>
  <c r="C414" i="19" s="1"/>
  <c r="B413" i="19"/>
  <c r="C413" i="19" s="1"/>
  <c r="B412" i="19"/>
  <c r="C412" i="19" s="1"/>
  <c r="B411" i="19"/>
  <c r="C411" i="19" s="1"/>
  <c r="B410" i="19"/>
  <c r="C410" i="19" s="1"/>
  <c r="B409" i="19"/>
  <c r="C409" i="19" s="1"/>
  <c r="B408" i="19"/>
  <c r="C408" i="19" s="1"/>
  <c r="B407" i="19"/>
  <c r="C407" i="19" s="1"/>
  <c r="B406" i="19"/>
  <c r="C406" i="19" s="1"/>
  <c r="B405" i="19"/>
  <c r="C405" i="19" s="1"/>
  <c r="B404" i="19"/>
  <c r="C404" i="19" s="1"/>
  <c r="B403" i="19"/>
  <c r="C403" i="19" s="1"/>
  <c r="B402" i="19"/>
  <c r="C402" i="19" s="1"/>
  <c r="B401" i="19"/>
  <c r="C401" i="19" s="1"/>
  <c r="B400" i="19"/>
  <c r="C400" i="19" s="1"/>
  <c r="B399" i="19"/>
  <c r="C399" i="19" s="1"/>
  <c r="B398" i="19"/>
  <c r="C398" i="19" s="1"/>
  <c r="B397" i="19"/>
  <c r="C397" i="19" s="1"/>
  <c r="B396" i="19"/>
  <c r="C396" i="19" s="1"/>
  <c r="B395" i="19"/>
  <c r="C395" i="19" s="1"/>
  <c r="B394" i="19"/>
  <c r="C394" i="19" s="1"/>
  <c r="B393" i="19"/>
  <c r="C393" i="19" s="1"/>
  <c r="B392" i="19"/>
  <c r="C392" i="19" s="1"/>
  <c r="B391" i="19"/>
  <c r="C391" i="19" s="1"/>
  <c r="B390" i="19"/>
  <c r="C390" i="19" s="1"/>
  <c r="B389" i="19"/>
  <c r="C389" i="19" s="1"/>
  <c r="B388" i="19"/>
  <c r="C388" i="19" s="1"/>
  <c r="B387" i="19"/>
  <c r="C387" i="19" s="1"/>
  <c r="B386" i="19"/>
  <c r="C386" i="19" s="1"/>
  <c r="B385" i="19"/>
  <c r="C385" i="19" s="1"/>
  <c r="B384" i="19"/>
  <c r="C384" i="19" s="1"/>
  <c r="B383" i="19"/>
  <c r="C383" i="19" s="1"/>
  <c r="B382" i="19"/>
  <c r="C382" i="19" s="1"/>
  <c r="B381" i="19"/>
  <c r="C381" i="19" s="1"/>
  <c r="B380" i="19"/>
  <c r="C380" i="19" s="1"/>
  <c r="B379" i="19"/>
  <c r="C379" i="19" s="1"/>
  <c r="B378" i="19"/>
  <c r="C378" i="19" s="1"/>
  <c r="B377" i="19"/>
  <c r="C377" i="19" s="1"/>
  <c r="B376" i="19"/>
  <c r="C376" i="19" s="1"/>
  <c r="B375" i="19"/>
  <c r="C375" i="19" s="1"/>
  <c r="B374" i="19"/>
  <c r="C374" i="19" s="1"/>
  <c r="B373" i="19"/>
  <c r="C373" i="19" s="1"/>
  <c r="B372" i="19"/>
  <c r="C372" i="19" s="1"/>
  <c r="B371" i="19"/>
  <c r="C371" i="19" s="1"/>
  <c r="B370" i="19"/>
  <c r="C370" i="19" s="1"/>
  <c r="B369" i="19"/>
  <c r="C369" i="19" s="1"/>
  <c r="B368" i="19"/>
  <c r="C368" i="19" s="1"/>
  <c r="B367" i="19"/>
  <c r="C367" i="19" s="1"/>
  <c r="B366" i="19"/>
  <c r="C366" i="19" s="1"/>
  <c r="B365" i="19"/>
  <c r="C365" i="19" s="1"/>
  <c r="B364" i="19"/>
  <c r="C364" i="19" s="1"/>
  <c r="B363" i="19"/>
  <c r="C363" i="19" s="1"/>
  <c r="B362" i="19"/>
  <c r="C362" i="19" s="1"/>
  <c r="B361" i="19"/>
  <c r="C361" i="19" s="1"/>
  <c r="B360" i="19"/>
  <c r="C360" i="19" s="1"/>
  <c r="B359" i="19"/>
  <c r="C359" i="19" s="1"/>
  <c r="B358" i="19"/>
  <c r="C358" i="19" s="1"/>
  <c r="B357" i="19"/>
  <c r="C357" i="19" s="1"/>
  <c r="B356" i="19"/>
  <c r="C356" i="19" s="1"/>
  <c r="B355" i="19"/>
  <c r="C355" i="19" s="1"/>
  <c r="B354" i="19"/>
  <c r="C354" i="19" s="1"/>
  <c r="B353" i="19"/>
  <c r="C353" i="19" s="1"/>
  <c r="B352" i="19"/>
  <c r="C352" i="19" s="1"/>
  <c r="B351" i="19"/>
  <c r="C351" i="19" s="1"/>
  <c r="B350" i="19"/>
  <c r="C350" i="19" s="1"/>
  <c r="B349" i="19"/>
  <c r="C349" i="19" s="1"/>
  <c r="B348" i="19"/>
  <c r="C348" i="19" s="1"/>
  <c r="B347" i="19"/>
  <c r="C347" i="19" s="1"/>
  <c r="B346" i="19"/>
  <c r="C346" i="19" s="1"/>
  <c r="B345" i="19"/>
  <c r="C345" i="19" s="1"/>
  <c r="B344" i="19"/>
  <c r="C344" i="19" s="1"/>
  <c r="B343" i="19"/>
  <c r="C343" i="19" s="1"/>
  <c r="B342" i="19"/>
  <c r="C342" i="19" s="1"/>
  <c r="B341" i="19"/>
  <c r="C341" i="19" s="1"/>
  <c r="B340" i="19"/>
  <c r="C340" i="19" s="1"/>
  <c r="B339" i="19"/>
  <c r="C339" i="19" s="1"/>
  <c r="B338" i="19"/>
  <c r="C338" i="19" s="1"/>
  <c r="B337" i="19"/>
  <c r="C337" i="19" s="1"/>
  <c r="B336" i="19"/>
  <c r="C336" i="19" s="1"/>
  <c r="B335" i="19"/>
  <c r="C335" i="19" s="1"/>
  <c r="B334" i="19"/>
  <c r="C334" i="19" s="1"/>
  <c r="B333" i="19"/>
  <c r="C333" i="19" s="1"/>
  <c r="B332" i="19"/>
  <c r="C332" i="19" s="1"/>
  <c r="B331" i="19"/>
  <c r="C331" i="19" s="1"/>
  <c r="B330" i="19"/>
  <c r="C330" i="19" s="1"/>
  <c r="B329" i="19"/>
  <c r="C329" i="19" s="1"/>
  <c r="B328" i="19"/>
  <c r="C328" i="19" s="1"/>
  <c r="B327" i="19"/>
  <c r="C327" i="19" s="1"/>
  <c r="B326" i="19"/>
  <c r="C326" i="19" s="1"/>
  <c r="B325" i="19"/>
  <c r="C325" i="19" s="1"/>
  <c r="B324" i="19"/>
  <c r="C324" i="19" s="1"/>
  <c r="B323" i="19"/>
  <c r="C323" i="19" s="1"/>
  <c r="B322" i="19"/>
  <c r="C322" i="19" s="1"/>
  <c r="B321" i="19"/>
  <c r="C321" i="19" s="1"/>
  <c r="B320" i="19"/>
  <c r="C320" i="19" s="1"/>
  <c r="B319" i="19"/>
  <c r="C319" i="19" s="1"/>
  <c r="B318" i="19"/>
  <c r="C318" i="19" s="1"/>
  <c r="B317" i="19"/>
  <c r="C317" i="19" s="1"/>
  <c r="B316" i="19"/>
  <c r="C316" i="19" s="1"/>
  <c r="B315" i="19"/>
  <c r="C315" i="19" s="1"/>
  <c r="B314" i="19"/>
  <c r="C314" i="19" s="1"/>
  <c r="B313" i="19"/>
  <c r="C313" i="19" s="1"/>
  <c r="B312" i="19"/>
  <c r="C312" i="19" s="1"/>
  <c r="B311" i="19"/>
  <c r="C311" i="19" s="1"/>
  <c r="B310" i="19"/>
  <c r="C310" i="19" s="1"/>
  <c r="B309" i="19"/>
  <c r="C309" i="19" s="1"/>
  <c r="B308" i="19"/>
  <c r="C308" i="19" s="1"/>
  <c r="B307" i="19"/>
  <c r="C307" i="19" s="1"/>
  <c r="B306" i="19"/>
  <c r="C306" i="19" s="1"/>
  <c r="B305" i="19"/>
  <c r="C305" i="19" s="1"/>
  <c r="B304" i="19"/>
  <c r="C304" i="19" s="1"/>
  <c r="B303" i="19"/>
  <c r="C303" i="19" s="1"/>
  <c r="B302" i="19"/>
  <c r="C302" i="19" s="1"/>
  <c r="B301" i="19"/>
  <c r="C301" i="19" s="1"/>
  <c r="B300" i="19"/>
  <c r="C300" i="19" s="1"/>
  <c r="B299" i="19"/>
  <c r="C299" i="19" s="1"/>
  <c r="B298" i="19"/>
  <c r="C298" i="19" s="1"/>
  <c r="B297" i="19"/>
  <c r="C297" i="19" s="1"/>
  <c r="B296" i="19"/>
  <c r="C296" i="19" s="1"/>
  <c r="B295" i="19"/>
  <c r="C295" i="19" s="1"/>
  <c r="B294" i="19"/>
  <c r="C294" i="19" s="1"/>
  <c r="B293" i="19"/>
  <c r="C293" i="19" s="1"/>
  <c r="B292" i="19"/>
  <c r="C292" i="19" s="1"/>
  <c r="B291" i="19"/>
  <c r="C291" i="19" s="1"/>
  <c r="B290" i="19"/>
  <c r="C290" i="19" s="1"/>
  <c r="B289" i="19"/>
  <c r="C289" i="19" s="1"/>
  <c r="B288" i="19"/>
  <c r="C288" i="19" s="1"/>
  <c r="B287" i="19"/>
  <c r="C287" i="19" s="1"/>
  <c r="B286" i="19"/>
  <c r="C286" i="19" s="1"/>
  <c r="B285" i="19"/>
  <c r="C285" i="19" s="1"/>
  <c r="B284" i="19"/>
  <c r="C284" i="19" s="1"/>
  <c r="B283" i="19"/>
  <c r="C283" i="19" s="1"/>
  <c r="B282" i="19"/>
  <c r="C282" i="19" s="1"/>
  <c r="B281" i="19"/>
  <c r="C281" i="19" s="1"/>
  <c r="B280" i="19"/>
  <c r="C280" i="19" s="1"/>
  <c r="B279" i="19"/>
  <c r="C279" i="19" s="1"/>
  <c r="B278" i="19"/>
  <c r="C278" i="19" s="1"/>
  <c r="B277" i="19"/>
  <c r="C277" i="19" s="1"/>
  <c r="B276" i="19"/>
  <c r="C276" i="19" s="1"/>
  <c r="B275" i="19"/>
  <c r="C275" i="19" s="1"/>
  <c r="B274" i="19"/>
  <c r="C274" i="19" s="1"/>
  <c r="B273" i="19"/>
  <c r="C273" i="19" s="1"/>
  <c r="B272" i="19"/>
  <c r="C272" i="19" s="1"/>
  <c r="B271" i="19"/>
  <c r="C271" i="19" s="1"/>
  <c r="B270" i="19"/>
  <c r="C270" i="19" s="1"/>
  <c r="B269" i="19"/>
  <c r="C269" i="19" s="1"/>
  <c r="B268" i="19"/>
  <c r="C268" i="19" s="1"/>
  <c r="B267" i="19"/>
  <c r="C267" i="19" s="1"/>
  <c r="B266" i="19"/>
  <c r="C266" i="19" s="1"/>
  <c r="B265" i="19"/>
  <c r="C265" i="19" s="1"/>
  <c r="B264" i="19"/>
  <c r="C264" i="19" s="1"/>
  <c r="B263" i="19"/>
  <c r="C263" i="19" s="1"/>
  <c r="B262" i="19"/>
  <c r="C262" i="19" s="1"/>
  <c r="B261" i="19"/>
  <c r="C261" i="19" s="1"/>
  <c r="B260" i="19"/>
  <c r="C260" i="19" s="1"/>
  <c r="B259" i="19"/>
  <c r="C259" i="19" s="1"/>
  <c r="B258" i="19"/>
  <c r="C258" i="19" s="1"/>
  <c r="B257" i="19"/>
  <c r="C257" i="19" s="1"/>
  <c r="B256" i="19"/>
  <c r="C256" i="19" s="1"/>
  <c r="B255" i="19"/>
  <c r="C255" i="19" s="1"/>
  <c r="B254" i="19"/>
  <c r="C254" i="19" s="1"/>
  <c r="B253" i="19"/>
  <c r="C253" i="19" s="1"/>
  <c r="B252" i="19"/>
  <c r="C252" i="19" s="1"/>
  <c r="B251" i="19"/>
  <c r="C251" i="19" s="1"/>
  <c r="B250" i="19"/>
  <c r="C250" i="19" s="1"/>
  <c r="B249" i="19"/>
  <c r="C249" i="19" s="1"/>
  <c r="B248" i="19"/>
  <c r="C248" i="19" s="1"/>
  <c r="B247" i="19"/>
  <c r="C247" i="19" s="1"/>
  <c r="B246" i="19"/>
  <c r="C246" i="19" s="1"/>
  <c r="B245" i="19"/>
  <c r="C245" i="19" s="1"/>
  <c r="B244" i="19"/>
  <c r="C244" i="19" s="1"/>
  <c r="B243" i="19"/>
  <c r="C243" i="19" s="1"/>
  <c r="B242" i="19"/>
  <c r="C242" i="19" s="1"/>
  <c r="B241" i="19"/>
  <c r="C241" i="19" s="1"/>
  <c r="B240" i="19"/>
  <c r="C240" i="19" s="1"/>
  <c r="B239" i="19"/>
  <c r="C239" i="19" s="1"/>
  <c r="B238" i="19"/>
  <c r="C238" i="19" s="1"/>
  <c r="B237" i="19"/>
  <c r="C237" i="19" s="1"/>
  <c r="B236" i="19"/>
  <c r="C236" i="19" s="1"/>
  <c r="B235" i="19"/>
  <c r="C235" i="19" s="1"/>
  <c r="B234" i="19"/>
  <c r="C234" i="19" s="1"/>
  <c r="B233" i="19"/>
  <c r="C233" i="19" s="1"/>
  <c r="B232" i="19"/>
  <c r="C232" i="19" s="1"/>
  <c r="B231" i="19"/>
  <c r="C231" i="19" s="1"/>
  <c r="B230" i="19"/>
  <c r="C230" i="19" s="1"/>
  <c r="B229" i="19"/>
  <c r="C229" i="19" s="1"/>
  <c r="B228" i="19"/>
  <c r="C228" i="19" s="1"/>
  <c r="B227" i="19"/>
  <c r="C227" i="19" s="1"/>
  <c r="B226" i="19"/>
  <c r="C226" i="19" s="1"/>
  <c r="B225" i="19"/>
  <c r="C225" i="19" s="1"/>
  <c r="B224" i="19"/>
  <c r="C224" i="19" s="1"/>
  <c r="B223" i="19"/>
  <c r="C223" i="19" s="1"/>
  <c r="B222" i="19"/>
  <c r="C222" i="19" s="1"/>
  <c r="B221" i="19"/>
  <c r="C221" i="19" s="1"/>
  <c r="B220" i="19"/>
  <c r="C220" i="19" s="1"/>
  <c r="B219" i="19"/>
  <c r="C219" i="19" s="1"/>
  <c r="B218" i="19"/>
  <c r="C218" i="19" s="1"/>
  <c r="B217" i="19"/>
  <c r="C217" i="19" s="1"/>
  <c r="B216" i="19"/>
  <c r="C216" i="19" s="1"/>
  <c r="B215" i="19"/>
  <c r="C215" i="19" s="1"/>
  <c r="B214" i="19"/>
  <c r="C214" i="19" s="1"/>
  <c r="B213" i="19"/>
  <c r="C213" i="19" s="1"/>
  <c r="B212" i="19"/>
  <c r="C212" i="19" s="1"/>
  <c r="B211" i="19"/>
  <c r="C211" i="19" s="1"/>
  <c r="B210" i="19"/>
  <c r="C210" i="19" s="1"/>
  <c r="B209" i="19"/>
  <c r="C209" i="19" s="1"/>
  <c r="B208" i="19"/>
  <c r="C208" i="19" s="1"/>
  <c r="B207" i="19"/>
  <c r="C207" i="19" s="1"/>
  <c r="B206" i="19"/>
  <c r="C206" i="19" s="1"/>
  <c r="B205" i="19"/>
  <c r="C205" i="19" s="1"/>
  <c r="B204" i="19"/>
  <c r="C204" i="19" s="1"/>
  <c r="B203" i="19"/>
  <c r="C203" i="19" s="1"/>
  <c r="B202" i="19"/>
  <c r="C202" i="19" s="1"/>
  <c r="B201" i="19"/>
  <c r="C201" i="19" s="1"/>
  <c r="B200" i="19"/>
  <c r="C200" i="19" s="1"/>
  <c r="B199" i="19"/>
  <c r="C199" i="19" s="1"/>
  <c r="B198" i="19"/>
  <c r="C198" i="19" s="1"/>
  <c r="B197" i="19"/>
  <c r="C197" i="19" s="1"/>
  <c r="B196" i="19"/>
  <c r="C196" i="19" s="1"/>
  <c r="B195" i="19"/>
  <c r="C195" i="19" s="1"/>
  <c r="B194" i="19"/>
  <c r="C194" i="19" s="1"/>
  <c r="B193" i="19"/>
  <c r="C193" i="19" s="1"/>
  <c r="B192" i="19"/>
  <c r="C192" i="19" s="1"/>
  <c r="B191" i="19"/>
  <c r="C191" i="19" s="1"/>
  <c r="B190" i="19"/>
  <c r="C190" i="19" s="1"/>
  <c r="B189" i="19"/>
  <c r="C189" i="19" s="1"/>
  <c r="B188" i="19"/>
  <c r="C188" i="19" s="1"/>
  <c r="B187" i="19"/>
  <c r="C187" i="19" s="1"/>
  <c r="B186" i="19"/>
  <c r="C186" i="19" s="1"/>
  <c r="B185" i="19"/>
  <c r="C185" i="19" s="1"/>
  <c r="B184" i="19"/>
  <c r="C184" i="19" s="1"/>
  <c r="B183" i="19"/>
  <c r="C183" i="19" s="1"/>
  <c r="B182" i="19"/>
  <c r="C182" i="19" s="1"/>
  <c r="B181" i="19"/>
  <c r="C181" i="19" s="1"/>
  <c r="B180" i="19"/>
  <c r="C180" i="19" s="1"/>
  <c r="B179" i="19"/>
  <c r="C179" i="19" s="1"/>
  <c r="B178" i="19"/>
  <c r="C178" i="19" s="1"/>
  <c r="B177" i="19"/>
  <c r="C177" i="19" s="1"/>
  <c r="B176" i="19"/>
  <c r="C176" i="19" s="1"/>
  <c r="B175" i="19"/>
  <c r="C175" i="19" s="1"/>
  <c r="B174" i="19"/>
  <c r="C174" i="19" s="1"/>
  <c r="B173" i="19"/>
  <c r="C173" i="19" s="1"/>
  <c r="B172" i="19"/>
  <c r="C172" i="19" s="1"/>
  <c r="B171" i="19"/>
  <c r="C171" i="19" s="1"/>
  <c r="B170" i="19"/>
  <c r="C170" i="19" s="1"/>
  <c r="B169" i="19"/>
  <c r="C169" i="19" s="1"/>
  <c r="B168" i="19"/>
  <c r="C168" i="19" s="1"/>
  <c r="B167" i="19"/>
  <c r="C167" i="19" s="1"/>
  <c r="B166" i="19"/>
  <c r="C166" i="19" s="1"/>
  <c r="B165" i="19"/>
  <c r="C165" i="19" s="1"/>
  <c r="B164" i="19"/>
  <c r="C164" i="19" s="1"/>
  <c r="B163" i="19"/>
  <c r="C163" i="19" s="1"/>
  <c r="B162" i="19"/>
  <c r="C162" i="19" s="1"/>
  <c r="B161" i="19"/>
  <c r="C161" i="19" s="1"/>
  <c r="B160" i="19"/>
  <c r="C160" i="19" s="1"/>
  <c r="B159" i="19"/>
  <c r="C159" i="19" s="1"/>
  <c r="B158" i="19"/>
  <c r="C158" i="19" s="1"/>
  <c r="B157" i="19"/>
  <c r="C157" i="19" s="1"/>
  <c r="B156" i="19"/>
  <c r="C156" i="19" s="1"/>
  <c r="B155" i="19"/>
  <c r="C155" i="19" s="1"/>
  <c r="B154" i="19"/>
  <c r="C154" i="19" s="1"/>
  <c r="B153" i="19"/>
  <c r="C153" i="19" s="1"/>
  <c r="B152" i="19"/>
  <c r="C152" i="19" s="1"/>
  <c r="B151" i="19"/>
  <c r="C151" i="19" s="1"/>
  <c r="B150" i="19"/>
  <c r="C150" i="19" s="1"/>
  <c r="B149" i="19"/>
  <c r="C149" i="19" s="1"/>
  <c r="B148" i="19"/>
  <c r="C148" i="19" s="1"/>
  <c r="B147" i="19"/>
  <c r="C147" i="19" s="1"/>
  <c r="B146" i="19"/>
  <c r="C146" i="19" s="1"/>
  <c r="B145" i="19"/>
  <c r="C145" i="19" s="1"/>
  <c r="B144" i="19"/>
  <c r="C144" i="19" s="1"/>
  <c r="B143" i="19"/>
  <c r="C143" i="19" s="1"/>
  <c r="B142" i="19"/>
  <c r="C142" i="19" s="1"/>
  <c r="B141" i="19"/>
  <c r="C141" i="19" s="1"/>
  <c r="B140" i="19"/>
  <c r="C140" i="19" s="1"/>
  <c r="B139" i="19"/>
  <c r="C139" i="19" s="1"/>
  <c r="B138" i="19"/>
  <c r="C138" i="19" s="1"/>
  <c r="B137" i="19"/>
  <c r="C137" i="19" s="1"/>
  <c r="B136" i="19"/>
  <c r="C136" i="19" s="1"/>
  <c r="B135" i="19"/>
  <c r="C135" i="19" s="1"/>
  <c r="B134" i="19"/>
  <c r="C134" i="19" s="1"/>
  <c r="B133" i="19"/>
  <c r="C133" i="19" s="1"/>
  <c r="B132" i="19"/>
  <c r="C132" i="19" s="1"/>
  <c r="B131" i="19"/>
  <c r="C131" i="19" s="1"/>
  <c r="B130" i="19"/>
  <c r="C130" i="19" s="1"/>
  <c r="B129" i="19"/>
  <c r="C129" i="19" s="1"/>
  <c r="B128" i="19"/>
  <c r="C128" i="19" s="1"/>
  <c r="B127" i="19"/>
  <c r="C127" i="19" s="1"/>
  <c r="B126" i="19"/>
  <c r="C126" i="19" s="1"/>
  <c r="B125" i="19"/>
  <c r="C125" i="19" s="1"/>
  <c r="B124" i="19"/>
  <c r="C124" i="19" s="1"/>
  <c r="B123" i="19"/>
  <c r="C123" i="19" s="1"/>
  <c r="B122" i="19"/>
  <c r="C122" i="19" s="1"/>
  <c r="B121" i="19"/>
  <c r="C121" i="19" s="1"/>
  <c r="B120" i="19"/>
  <c r="C120" i="19" s="1"/>
  <c r="B119" i="19"/>
  <c r="C119" i="19" s="1"/>
  <c r="B118" i="19"/>
  <c r="C118" i="19" s="1"/>
  <c r="B117" i="19"/>
  <c r="C117" i="19" s="1"/>
  <c r="B116" i="19"/>
  <c r="C116" i="19" s="1"/>
  <c r="B115" i="19"/>
  <c r="C115" i="19" s="1"/>
  <c r="B114" i="19"/>
  <c r="C114" i="19" s="1"/>
  <c r="B113" i="19"/>
  <c r="C113" i="19" s="1"/>
  <c r="B112" i="19"/>
  <c r="C112" i="19" s="1"/>
  <c r="B111" i="19"/>
  <c r="C111" i="19" s="1"/>
  <c r="B110" i="19"/>
  <c r="C110" i="19" s="1"/>
  <c r="B109" i="19"/>
  <c r="C109" i="19" s="1"/>
  <c r="B108" i="19"/>
  <c r="C108" i="19" s="1"/>
  <c r="B107" i="19"/>
  <c r="C107" i="19" s="1"/>
  <c r="B106" i="19"/>
  <c r="C106" i="19" s="1"/>
  <c r="B105" i="19"/>
  <c r="C105" i="19" s="1"/>
  <c r="B104" i="19"/>
  <c r="C104" i="19" s="1"/>
  <c r="B103" i="19"/>
  <c r="C103" i="19" s="1"/>
  <c r="B102" i="19"/>
  <c r="C102" i="19" s="1"/>
  <c r="B101" i="19"/>
  <c r="C101" i="19" s="1"/>
  <c r="B100" i="19"/>
  <c r="C100" i="19" s="1"/>
  <c r="B99" i="19"/>
  <c r="C99" i="19" s="1"/>
  <c r="B98" i="19"/>
  <c r="C98" i="19" s="1"/>
  <c r="B97" i="19"/>
  <c r="C97" i="19" s="1"/>
  <c r="B96" i="19"/>
  <c r="C96" i="19" s="1"/>
  <c r="B95" i="19"/>
  <c r="C95" i="19" s="1"/>
  <c r="B94" i="19"/>
  <c r="C94" i="19" s="1"/>
  <c r="B93" i="19"/>
  <c r="C93" i="19" s="1"/>
  <c r="B92" i="19"/>
  <c r="C92" i="19" s="1"/>
  <c r="B91" i="19"/>
  <c r="C91" i="19" s="1"/>
  <c r="B90" i="19"/>
  <c r="C90" i="19" s="1"/>
  <c r="B89" i="19"/>
  <c r="C89" i="19" s="1"/>
  <c r="B88" i="19"/>
  <c r="C88" i="19" s="1"/>
  <c r="B87" i="19"/>
  <c r="C87" i="19" s="1"/>
  <c r="B86" i="19"/>
  <c r="C86" i="19" s="1"/>
  <c r="B85" i="19"/>
  <c r="C85" i="19" s="1"/>
  <c r="B84" i="19"/>
  <c r="C84" i="19" s="1"/>
  <c r="B83" i="19"/>
  <c r="C83" i="19" s="1"/>
  <c r="B82" i="19"/>
  <c r="C82" i="19" s="1"/>
  <c r="B81" i="19"/>
  <c r="C81" i="19" s="1"/>
  <c r="B80" i="19"/>
  <c r="C80" i="19" s="1"/>
  <c r="B79" i="19"/>
  <c r="C79" i="19" s="1"/>
  <c r="B78" i="19"/>
  <c r="C78" i="19" s="1"/>
  <c r="B77" i="19"/>
  <c r="C77" i="19" s="1"/>
  <c r="B76" i="19"/>
  <c r="C76" i="19" s="1"/>
  <c r="B75" i="19"/>
  <c r="C75" i="19" s="1"/>
  <c r="B74" i="19"/>
  <c r="C74" i="19" s="1"/>
  <c r="B73" i="19"/>
  <c r="C73" i="19" s="1"/>
  <c r="B72" i="19"/>
  <c r="C72" i="19" s="1"/>
  <c r="B71" i="19"/>
  <c r="C71" i="19" s="1"/>
  <c r="B70" i="19"/>
  <c r="C70" i="19" s="1"/>
  <c r="B69" i="19"/>
  <c r="C69" i="19" s="1"/>
  <c r="B68" i="19"/>
  <c r="C68" i="19" s="1"/>
  <c r="B67" i="19"/>
  <c r="C67" i="19" s="1"/>
  <c r="B66" i="19"/>
  <c r="C66" i="19" s="1"/>
  <c r="B65" i="19"/>
  <c r="C65" i="19" s="1"/>
  <c r="B64" i="19"/>
  <c r="C64" i="19" s="1"/>
  <c r="B63" i="19"/>
  <c r="C63" i="19" s="1"/>
  <c r="B62" i="19"/>
  <c r="C62" i="19" s="1"/>
  <c r="B61" i="19"/>
  <c r="C61" i="19" s="1"/>
  <c r="B60" i="19"/>
  <c r="C60" i="19" s="1"/>
  <c r="B59" i="19"/>
  <c r="C59" i="19" s="1"/>
  <c r="B58" i="19"/>
  <c r="C58" i="19" s="1"/>
  <c r="B57" i="19"/>
  <c r="C57" i="19" s="1"/>
  <c r="B56" i="19"/>
  <c r="C56" i="19" s="1"/>
  <c r="B55" i="19"/>
  <c r="C55" i="19" s="1"/>
  <c r="B54" i="19"/>
  <c r="C54" i="19" s="1"/>
  <c r="B53" i="19"/>
  <c r="C53" i="19" s="1"/>
  <c r="B52" i="19"/>
  <c r="C52" i="19" s="1"/>
  <c r="B51" i="19"/>
  <c r="C51" i="19" s="1"/>
  <c r="B50" i="19"/>
  <c r="C50" i="19" s="1"/>
  <c r="B49" i="19"/>
  <c r="C49" i="19" s="1"/>
  <c r="B48" i="19"/>
  <c r="C48" i="19" s="1"/>
  <c r="B47" i="19"/>
  <c r="C47" i="19" s="1"/>
  <c r="B46" i="19"/>
  <c r="C46" i="19" s="1"/>
  <c r="B45" i="19"/>
  <c r="C45" i="19" s="1"/>
  <c r="B44" i="19"/>
  <c r="C44" i="19" s="1"/>
  <c r="B43" i="19"/>
  <c r="C43" i="19" s="1"/>
  <c r="B42" i="19"/>
  <c r="C42" i="19" s="1"/>
  <c r="B41" i="19"/>
  <c r="C41" i="19" s="1"/>
  <c r="B40" i="19"/>
  <c r="C40" i="19" s="1"/>
  <c r="B39" i="19"/>
  <c r="C39" i="19" s="1"/>
  <c r="B38" i="19"/>
  <c r="C38" i="19" s="1"/>
  <c r="B37" i="19"/>
  <c r="C37" i="19" s="1"/>
  <c r="B36" i="19"/>
  <c r="C36" i="19" s="1"/>
  <c r="B35" i="19"/>
  <c r="C35" i="19" s="1"/>
  <c r="B34" i="19"/>
  <c r="C34" i="19" s="1"/>
  <c r="B33" i="19"/>
  <c r="C33" i="19" s="1"/>
  <c r="B32" i="19"/>
  <c r="C32" i="19" s="1"/>
  <c r="B31" i="19"/>
  <c r="C31" i="19" s="1"/>
  <c r="B30" i="19"/>
  <c r="C30" i="19" s="1"/>
  <c r="B29" i="19"/>
  <c r="C29" i="19" s="1"/>
  <c r="B28" i="19"/>
  <c r="C28" i="19" s="1"/>
  <c r="B27" i="19"/>
  <c r="C27" i="19" s="1"/>
  <c r="B26" i="19"/>
  <c r="C26" i="19" s="1"/>
  <c r="B25" i="19"/>
  <c r="C25" i="19" s="1"/>
  <c r="B24" i="19"/>
  <c r="C24" i="19" s="1"/>
  <c r="B23" i="19"/>
  <c r="C23" i="19" s="1"/>
  <c r="B22" i="19"/>
  <c r="C22" i="19" s="1"/>
  <c r="B21" i="19"/>
  <c r="C21" i="19" s="1"/>
  <c r="B20" i="19"/>
  <c r="C20" i="19" s="1"/>
  <c r="B19" i="19"/>
  <c r="C19" i="19" s="1"/>
  <c r="B18" i="19"/>
  <c r="C18" i="19" s="1"/>
  <c r="B17" i="19"/>
  <c r="C17" i="19" s="1"/>
  <c r="B16" i="19"/>
  <c r="C16" i="19" s="1"/>
  <c r="B15" i="19"/>
  <c r="C15" i="19" s="1"/>
  <c r="B14" i="19"/>
  <c r="C14" i="19" s="1"/>
  <c r="B13" i="19"/>
  <c r="C13" i="19" s="1"/>
  <c r="B12" i="19"/>
  <c r="C12" i="19" s="1"/>
  <c r="B11" i="19"/>
  <c r="C11" i="19" s="1"/>
  <c r="B10" i="19"/>
  <c r="C10" i="19" s="1"/>
  <c r="B9" i="19"/>
  <c r="C9" i="19" s="1"/>
  <c r="B8" i="19"/>
  <c r="C8" i="19" s="1"/>
  <c r="B7" i="19"/>
  <c r="C7" i="19" s="1"/>
  <c r="B6" i="19"/>
  <c r="C6" i="19" s="1"/>
  <c r="B5" i="19"/>
  <c r="C5" i="19" s="1"/>
  <c r="B4" i="19"/>
  <c r="C4" i="19" s="1"/>
  <c r="B3" i="19"/>
  <c r="C3" i="19" s="1"/>
  <c r="P13" i="1"/>
  <c r="O13" i="1"/>
  <c r="N13" i="1"/>
  <c r="M13" i="1"/>
  <c r="L13" i="1"/>
  <c r="K13" i="1"/>
  <c r="I13" i="1"/>
  <c r="H13" i="1"/>
  <c r="G13" i="1"/>
  <c r="F13" i="1"/>
  <c r="P12" i="1"/>
  <c r="O12" i="1"/>
  <c r="N12" i="1"/>
  <c r="M12" i="1"/>
  <c r="L12" i="1"/>
  <c r="K12" i="1"/>
  <c r="J12" i="1"/>
  <c r="I12" i="1"/>
  <c r="H12" i="1"/>
  <c r="G12" i="1"/>
  <c r="F12" i="1"/>
  <c r="E12" i="1"/>
  <c r="G13" i="2"/>
  <c r="F13" i="2"/>
  <c r="E13" i="2"/>
  <c r="D13" i="2"/>
  <c r="G9" i="2"/>
  <c r="F9" i="2"/>
  <c r="E9" i="2"/>
  <c r="D9" i="2"/>
  <c r="F5" i="2"/>
  <c r="G5" i="2"/>
  <c r="E11" i="2"/>
  <c r="C8" i="2"/>
  <c r="G6" i="2"/>
  <c r="C6" i="2"/>
  <c r="E4" i="2"/>
  <c r="E6" i="2"/>
  <c r="G12" i="2"/>
  <c r="E14" i="2" a="1"/>
  <c r="C5" i="2"/>
  <c r="D6" i="2"/>
  <c r="C9" i="2"/>
  <c r="D5" i="2"/>
  <c r="F7" i="2"/>
  <c r="F11" i="2"/>
  <c r="G7" i="2"/>
  <c r="E5" i="2"/>
  <c r="G10" i="2"/>
  <c r="G8" i="2"/>
  <c r="E8" i="2"/>
  <c r="G4" i="2"/>
  <c r="C14" i="2" a="1"/>
  <c r="C4" i="2"/>
  <c r="D10" i="2"/>
  <c r="D12" i="2"/>
  <c r="E12" i="2"/>
  <c r="F12" i="2"/>
  <c r="F10" i="2"/>
  <c r="D4" i="2"/>
  <c r="F6" i="2"/>
  <c r="F4" i="2"/>
  <c r="F14" i="2" a="1"/>
  <c r="E10" i="2"/>
  <c r="G11" i="2"/>
  <c r="C10" i="2"/>
  <c r="G14" i="2" a="1"/>
  <c r="C7" i="2"/>
  <c r="D8" i="2"/>
  <c r="D11" i="2"/>
  <c r="F8" i="2"/>
  <c r="D7" i="2"/>
  <c r="C11" i="2"/>
  <c r="D14" i="2" a="1"/>
  <c r="C12" i="2"/>
  <c r="E7" i="2"/>
  <c r="D14" i="2" l="1"/>
  <c r="E14" i="2"/>
  <c r="D17" i="2"/>
  <c r="I6" i="2"/>
  <c r="H6" i="2"/>
  <c r="E17" i="2"/>
  <c r="I10" i="2"/>
  <c r="H10" i="2"/>
  <c r="C17" i="2"/>
  <c r="I4" i="2"/>
  <c r="H4" i="2"/>
  <c r="E13" i="1" s="1"/>
  <c r="I11" i="2"/>
  <c r="H11" i="2"/>
  <c r="F17" i="2"/>
  <c r="G17" i="2"/>
  <c r="C14" i="2"/>
  <c r="I5" i="2"/>
  <c r="H5" i="2"/>
  <c r="F14" i="2"/>
  <c r="H7" i="2"/>
  <c r="I7" i="2"/>
  <c r="I12" i="2"/>
  <c r="H12" i="2"/>
  <c r="G14" i="2"/>
  <c r="I8" i="2"/>
  <c r="H8" i="2"/>
  <c r="I9" i="2" l="1"/>
  <c r="H9" i="2"/>
  <c r="J13" i="1" s="1"/>
  <c r="I17" i="2"/>
  <c r="H17" i="2"/>
  <c r="I14" i="2"/>
  <c r="H14" i="2"/>
  <c r="I13" i="2"/>
  <c r="H1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8733E1-589F-4C48-95B2-B20461D427E7}"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<sst xmlns="http://schemas.openxmlformats.org/spreadsheetml/2006/main" count="11741" uniqueCount="5518">
  <si>
    <t>Test Script</t>
  </si>
  <si>
    <t>Project</t>
  </si>
  <si>
    <t xml:space="preserve">elevate </t>
  </si>
  <si>
    <t>Version</t>
  </si>
  <si>
    <t>Environment</t>
  </si>
  <si>
    <t>STAGING</t>
  </si>
  <si>
    <t>Need to record here details regarding the tester,  test date and software version for easy reference</t>
  </si>
  <si>
    <t>Name</t>
  </si>
  <si>
    <t>Date</t>
  </si>
  <si>
    <t xml:space="preserve">Software Version </t>
  </si>
  <si>
    <t>General Checks</t>
  </si>
  <si>
    <t>Login and User Profile</t>
  </si>
  <si>
    <t>Audit Log Viewer</t>
  </si>
  <si>
    <t>Prescribing</t>
  </si>
  <si>
    <t>CIS2</t>
  </si>
  <si>
    <t>ECDS</t>
  </si>
  <si>
    <t>CPIS</t>
  </si>
  <si>
    <t>GPC-SD</t>
  </si>
  <si>
    <t xml:space="preserve"> Status</t>
  </si>
  <si>
    <t>Test Completion</t>
  </si>
  <si>
    <t>N/A</t>
  </si>
  <si>
    <t>Jason Ling</t>
  </si>
  <si>
    <t>Roger Thomas</t>
  </si>
  <si>
    <t xml:space="preserve">Stuff Netherton </t>
  </si>
  <si>
    <t>x</t>
  </si>
  <si>
    <t>Targeted</t>
  </si>
  <si>
    <t>Tests</t>
  </si>
  <si>
    <t>Passed</t>
  </si>
  <si>
    <t>Failed</t>
  </si>
  <si>
    <t>Cypress</t>
  </si>
  <si>
    <t>Completion</t>
  </si>
  <si>
    <t>Failure Rate</t>
  </si>
  <si>
    <t>Y</t>
  </si>
  <si>
    <t>N</t>
  </si>
  <si>
    <t>BaRS</t>
  </si>
  <si>
    <t>TOTALS</t>
  </si>
  <si>
    <t>Product</t>
  </si>
  <si>
    <t>elevate</t>
  </si>
  <si>
    <t>Testing Scenario</t>
  </si>
  <si>
    <t>Domain</t>
  </si>
  <si>
    <t>GIven</t>
  </si>
  <si>
    <t>When</t>
  </si>
  <si>
    <t>Then</t>
  </si>
  <si>
    <t xml:space="preserve">Actual Result (if different) </t>
  </si>
  <si>
    <t>Jira Ticket</t>
  </si>
  <si>
    <t xml:space="preserve">User Signup </t>
  </si>
  <si>
    <t xml:space="preserve">Given I am logged in as a super admin </t>
  </si>
  <si>
    <t>When I select service provider &gt; users&gt; add new user</t>
  </si>
  <si>
    <t xml:space="preserve">Then I am able to invite a new user </t>
  </si>
  <si>
    <t xml:space="preserve">Given that new user has received an invitation email </t>
  </si>
  <si>
    <t xml:space="preserve">When they click on the link </t>
  </si>
  <si>
    <t xml:space="preserve">Then they are able to set their password and are taken to the profile page </t>
  </si>
  <si>
    <t xml:space="preserve">And when they have completed their profile they can access the site they have been invited to. </t>
  </si>
  <si>
    <t xml:space="preserve">Landing page </t>
  </si>
  <si>
    <t>Given the user is on the login page</t>
  </si>
  <si>
    <t>When they enter a valid user name and password and click login</t>
  </si>
  <si>
    <t xml:space="preserve">Then they are successfully logged in and taken to the dashboard page </t>
  </si>
  <si>
    <t xml:space="preserve">And the page shows encounters in progress and cases </t>
  </si>
  <si>
    <t xml:space="preserve">Patient Registration </t>
  </si>
  <si>
    <t>Given I want to register a patient</t>
  </si>
  <si>
    <t xml:space="preserve">When I enter a valid NHS number </t>
  </si>
  <si>
    <t xml:space="preserve">Then the patient is found and registered correctly </t>
  </si>
  <si>
    <t>When I use demogrpahics to search PDS</t>
  </si>
  <si>
    <t>Patient load</t>
  </si>
  <si>
    <t xml:space="preserve">Given I want to search for a patient </t>
  </si>
  <si>
    <t xml:space="preserve">When I type part of the patients name / postcode </t>
  </si>
  <si>
    <t xml:space="preserve">Then a list of results are displayed including the patient you are searching for </t>
  </si>
  <si>
    <t xml:space="preserve">And When I select a patient </t>
  </si>
  <si>
    <t xml:space="preserve">Then it is loaded and their details are displayed in the banner correctly </t>
  </si>
  <si>
    <t>Add encounter</t>
  </si>
  <si>
    <t xml:space="preserve">Given I am viewing a patients timeline </t>
  </si>
  <si>
    <t xml:space="preserve">When I click add and select a form   </t>
  </si>
  <si>
    <t xml:space="preserve">Then the form is loaded and I am able to add information and save </t>
  </si>
  <si>
    <t>PDF generation</t>
  </si>
  <si>
    <t xml:space="preserve">Given I have added a consultation note to a patient </t>
  </si>
  <si>
    <t>When I click on generate PDF and continue</t>
  </si>
  <si>
    <t xml:space="preserve">Then a PDF is generated with the correct information and is displayed in a size that can be easily read. </t>
  </si>
  <si>
    <t xml:space="preserve">Add case </t>
  </si>
  <si>
    <t xml:space="preserve">Given I have loaded a patient and selected the cases tab </t>
  </si>
  <si>
    <t>When I click add and select a case type</t>
  </si>
  <si>
    <t xml:space="preserve">Then the case is loaded and I am able to add information and save </t>
  </si>
  <si>
    <t>And I can link an encounter to the case (either a new or an exisitng one)</t>
  </si>
  <si>
    <t>Add prescription</t>
  </si>
  <si>
    <t xml:space="preserve">Given I have loaded a patient and selected the Meds tab </t>
  </si>
  <si>
    <t xml:space="preserve">When I click add prescription </t>
  </si>
  <si>
    <t xml:space="preserve">Then I can go through all the steps and add a prescription </t>
  </si>
  <si>
    <t>Meds</t>
  </si>
  <si>
    <t>Given a prescription is issued for a patient</t>
  </si>
  <si>
    <t xml:space="preserve">When I click on 'Copy Prescription Id' </t>
  </si>
  <si>
    <t>Then the user is notified with the text "Copied!"</t>
  </si>
  <si>
    <t xml:space="preserve">Audit Log </t>
  </si>
  <si>
    <t>Given I have carried out a number of actions on a patients record</t>
  </si>
  <si>
    <t>When I view the audit log</t>
  </si>
  <si>
    <t xml:space="preserve">Then there are entries for those actions in the log </t>
  </si>
  <si>
    <t xml:space="preserve">About Tab </t>
  </si>
  <si>
    <t xml:space="preserve">Given I have loaded a patient and selected the About tab </t>
  </si>
  <si>
    <t>When I view the details</t>
  </si>
  <si>
    <t xml:space="preserve">Then all the patient information is displayed correctly </t>
  </si>
  <si>
    <t xml:space="preserve">Patient Banner </t>
  </si>
  <si>
    <t>Given I have registered a patient who is &lt; 2 days old</t>
  </si>
  <si>
    <t>When I view the patient banner</t>
  </si>
  <si>
    <t>Then their age is displayed in hours</t>
  </si>
  <si>
    <t>Given I have registered a patient who is &gt; 2 days but &lt; 4 weeks old</t>
  </si>
  <si>
    <t>Then their age is displayed in days</t>
  </si>
  <si>
    <t>Given I have registered a patient who is &gt; 4 weeks but &lt;1 year old</t>
  </si>
  <si>
    <t>Then their age is displayed in weeks and days</t>
  </si>
  <si>
    <t>Given I have registered a patient who is &gt;1 year but &lt;2 years old</t>
  </si>
  <si>
    <t>Then their age is displayed in months and days</t>
  </si>
  <si>
    <t>Given I have registered a patient who is &gt;2 year but &lt;18 years old</t>
  </si>
  <si>
    <t>Then their age is displayed in years and months</t>
  </si>
  <si>
    <t>Given I have registered a patient who is &gt;18 years old</t>
  </si>
  <si>
    <t>Then their age is displayed in years</t>
  </si>
  <si>
    <t>In Progress</t>
  </si>
  <si>
    <t>Given I have logged in to elevate</t>
  </si>
  <si>
    <t>When I click on In Progress</t>
  </si>
  <si>
    <t>Then the in progress page is displayed and I can see any encounters and prescriptions that are in progress</t>
  </si>
  <si>
    <t>Cases</t>
  </si>
  <si>
    <t xml:space="preserve">When I click on Cases </t>
  </si>
  <si>
    <t>Then I am taken to the cases page and a list of all open cases is displayed</t>
  </si>
  <si>
    <t xml:space="preserve">Reports </t>
  </si>
  <si>
    <t xml:space="preserve">When I click on reports </t>
  </si>
  <si>
    <t xml:space="preserve">Then I am taken to the reports page and the reports tabs are available </t>
  </si>
  <si>
    <t>And if I click on one of the tabs and select a report to download</t>
  </si>
  <si>
    <t xml:space="preserve">Then the report is downloaded and the data within it is correct </t>
  </si>
  <si>
    <t xml:space="preserve">Ummanu360 specific checks </t>
  </si>
  <si>
    <t>Given I have logged in to elevate to the Ummanu360 site as a Ummanu360 user (test01@badger.co.uk)</t>
  </si>
  <si>
    <t xml:space="preserve">When the landing page is loaded </t>
  </si>
  <si>
    <t xml:space="preserve">Then the only sidebar options are dashboard, cases, service provider and help </t>
  </si>
  <si>
    <t xml:space="preserve">And the Launch Telemedicine button is present </t>
  </si>
  <si>
    <t xml:space="preserve">Finalise or Finalise &amp; close </t>
  </si>
  <si>
    <t xml:space="preserve">Given I have logged into the Ummanu360 or Assurance360 site </t>
  </si>
  <si>
    <t>When I have started a consultation in Ummanu which has opened the case and encounter in Elevate</t>
  </si>
  <si>
    <t>Then the finalise &amp; close case button should be present but not the finalise button</t>
  </si>
  <si>
    <t>When I load a patient in elevate and add a consulation note</t>
  </si>
  <si>
    <t xml:space="preserve">Then the finalise &amp; close case button should NOT be present but the finalise button shoud be present </t>
  </si>
  <si>
    <t xml:space="preserve">Given I have logged into an org other than the Ummanu360 or Assurance360 site </t>
  </si>
  <si>
    <t>CIS2 (requires smartcard)</t>
  </si>
  <si>
    <t>Given a user has logged in with username and password</t>
  </si>
  <si>
    <t>When the user inserts their smartcard</t>
  </si>
  <si>
    <t>Then they are able to authenticate the card and associate it with their elevate account</t>
  </si>
  <si>
    <t>part of CIS2 tests</t>
  </si>
  <si>
    <t>Given the user has linked their smartcard to their elevate account</t>
  </si>
  <si>
    <t xml:space="preserve">When they click Log in with My Care Identity </t>
  </si>
  <si>
    <t>Then they the role selection page is displayed with the correct organisation and the user can select one and is taken to the dashboard page</t>
  </si>
  <si>
    <t>CPIS (requires smartcard)</t>
  </si>
  <si>
    <t>Given the user has logged in without their smartcard and is therefore  NOT authorised to access CPIS information</t>
  </si>
  <si>
    <t xml:space="preserve">When they load an eligible patient who has CPIS information </t>
  </si>
  <si>
    <t xml:space="preserve">Then the CPIS information will not be returned and a message will be displayed stating the user does not have permission to view </t>
  </si>
  <si>
    <t xml:space="preserve">Given the logged in user is authorised to access CPIS information </t>
  </si>
  <si>
    <t>When they load a patient who has CPIS informationand view the important note tab</t>
  </si>
  <si>
    <t xml:space="preserve">Then the CPIS plan and access information is displayed for the patient </t>
  </si>
  <si>
    <t>User login and authentication</t>
  </si>
  <si>
    <t>Logout</t>
  </si>
  <si>
    <t>WHEN I log back in to Elevate using my login credentials</t>
  </si>
  <si>
    <t>THEN the toast message shall dissappear</t>
  </si>
  <si>
    <t>When they click Launch Telemedicine</t>
  </si>
  <si>
    <t>Given the user has logged into the Telemedicine application</t>
  </si>
  <si>
    <t>When a user is successfully logged in</t>
  </si>
  <si>
    <t xml:space="preserve">Then the Consultations view is displayed </t>
  </si>
  <si>
    <t xml:space="preserve">Given the user wishes to consult the next patient </t>
  </si>
  <si>
    <t xml:space="preserve">Then the correct patient is loaded in elevate </t>
  </si>
  <si>
    <t xml:space="preserve">And a new case is present for that patient with a new encounter </t>
  </si>
  <si>
    <t>Given the user wishes to add a prescription to the case</t>
  </si>
  <si>
    <t>When they click the Save as Draft button</t>
  </si>
  <si>
    <t xml:space="preserve">Then the encounter is saved and refreshed </t>
  </si>
  <si>
    <t>When they click +Prescription</t>
  </si>
  <si>
    <t>Then the prescription form opens in the encounter window</t>
  </si>
  <si>
    <t xml:space="preserve">And they can search for a medication </t>
  </si>
  <si>
    <t>And they can select a medication, complete the form and add to basket</t>
  </si>
  <si>
    <t xml:space="preserve">And they can proceed to issue an EPS prescription (PDS verified patients only) </t>
  </si>
  <si>
    <t>will be covered by CIS2 testing</t>
  </si>
  <si>
    <t xml:space="preserve">And they can proceed to issue a paper prescription (non PDS verified patients) </t>
  </si>
  <si>
    <t>resizing the windows causes the pharmacy details to be displayed incorrectly</t>
  </si>
  <si>
    <t>FEM-36187</t>
  </si>
  <si>
    <t xml:space="preserve">And they are returned to the encounter / case when the prescription is completed </t>
  </si>
  <si>
    <t>screen remains on the print prescription form, have to click close to be returned to the encounter/case</t>
  </si>
  <si>
    <t>Given the user wishes to enter a coding for the encounter</t>
  </si>
  <si>
    <t xml:space="preserve">When they click on the coding field </t>
  </si>
  <si>
    <t xml:space="preserve">Then the approved list of options is displayed </t>
  </si>
  <si>
    <t xml:space="preserve">And they can select one and one only from the  list </t>
  </si>
  <si>
    <t>Then they can type in the field to search</t>
  </si>
  <si>
    <t xml:space="preserve">And they can select one and one only from the returned search </t>
  </si>
  <si>
    <t>Given the user wishes to record an urgency</t>
  </si>
  <si>
    <t xml:space="preserve">When they click on the urgency field </t>
  </si>
  <si>
    <t>Then the three options are displayed as Routine, Urgent and Emergency</t>
  </si>
  <si>
    <t xml:space="preserve">And they can select one and one only </t>
  </si>
  <si>
    <t xml:space="preserve">Given the user wishes to record an outcome </t>
  </si>
  <si>
    <t xml:space="preserve">When they click on the outcome field </t>
  </si>
  <si>
    <t>And they can select one or more from the list</t>
  </si>
  <si>
    <t xml:space="preserve">And they can select one or more from the returned search list </t>
  </si>
  <si>
    <t>Given the user has completed the encounter with the patient and entered a coding, urgency and outcome</t>
  </si>
  <si>
    <t>When they click Finalise &amp; Close Case</t>
  </si>
  <si>
    <t xml:space="preserve">Then the encounter and the case will be saved </t>
  </si>
  <si>
    <t>And the case status will be set to resolved</t>
  </si>
  <si>
    <t>Change to "And the case status will be set to closed"</t>
  </si>
  <si>
    <t>And the encounter will be set to Finalised</t>
  </si>
  <si>
    <t xml:space="preserve">Then the correct patient is loaded and the previous patients information is no longer present </t>
  </si>
  <si>
    <t xml:space="preserve">Login </t>
  </si>
  <si>
    <t xml:space="preserve">Given a user wishes to log in </t>
  </si>
  <si>
    <t xml:space="preserve">When they visit the login page </t>
  </si>
  <si>
    <t>Then the page is displayed in the Ummanu colours and with their logo</t>
  </si>
  <si>
    <t xml:space="preserve">When the user enters a valid usrname and password and clicks Login </t>
  </si>
  <si>
    <t xml:space="preserve">Then the site selection page is displayed and then can select a site and login </t>
  </si>
  <si>
    <t>And the dasboard page is displayed correctly in the Ummanu colours</t>
  </si>
  <si>
    <t>Dashboard Page</t>
  </si>
  <si>
    <t xml:space="preserve">Given the user has logged in </t>
  </si>
  <si>
    <t xml:space="preserve">When they view the dashboard page </t>
  </si>
  <si>
    <t xml:space="preserve">side bar </t>
  </si>
  <si>
    <t xml:space="preserve">banner </t>
  </si>
  <si>
    <t>Entries in progress</t>
  </si>
  <si>
    <t xml:space="preserve">My Open cases </t>
  </si>
  <si>
    <t>Given the user wishes to search for a patient</t>
  </si>
  <si>
    <t>When they type in a search criteria</t>
  </si>
  <si>
    <t xml:space="preserve">Then a list of matching patients is returned </t>
  </si>
  <si>
    <t>And they can select and load a patient</t>
  </si>
  <si>
    <t>Patients</t>
  </si>
  <si>
    <t>Given the user clicks Patients in the side nav</t>
  </si>
  <si>
    <t>When the page loads</t>
  </si>
  <si>
    <t>Then it is displayed correctly in the Ummanu colours</t>
  </si>
  <si>
    <t>And when the user uses the patient searchbar</t>
  </si>
  <si>
    <t>Then they can successfully search for and load a patient</t>
  </si>
  <si>
    <t>And the patient banner is displayed correctly</t>
  </si>
  <si>
    <t>And the tabs have the correct Ummanu colours</t>
  </si>
  <si>
    <t>Timeline - Encounters</t>
  </si>
  <si>
    <t xml:space="preserve">Given the user wishes to add an encounter for a patient </t>
  </si>
  <si>
    <t>When they click Add</t>
  </si>
  <si>
    <t xml:space="preserve">Then they are able to add an encounter form </t>
  </si>
  <si>
    <t>And when they enter some details in the form and save as draft</t>
  </si>
  <si>
    <t>Then the form is saved as draft</t>
  </si>
  <si>
    <t>And when they add or change information in the form and finalise</t>
  </si>
  <si>
    <t>Then the form is finalised</t>
  </si>
  <si>
    <t>And all the information is correct including the last modified info</t>
  </si>
  <si>
    <t>Given the user wishes to download a PDF of the encounter</t>
  </si>
  <si>
    <t xml:space="preserve">When they click the PDF button </t>
  </si>
  <si>
    <t>Then the PDF is downloaded without error</t>
  </si>
  <si>
    <t>Patient Meds Tab</t>
  </si>
  <si>
    <t>Given the user wishes to prescribe a drug</t>
  </si>
  <si>
    <t>When they click on the meds tab</t>
  </si>
  <si>
    <t>Then the prescribing form is displayed correctly in the Ummanu colours</t>
  </si>
  <si>
    <t xml:space="preserve">And when they click prescription </t>
  </si>
  <si>
    <t xml:space="preserve">Then they can search for a drug </t>
  </si>
  <si>
    <t xml:space="preserve">And when they select a drug </t>
  </si>
  <si>
    <t>Then it can be added to the basket</t>
  </si>
  <si>
    <t xml:space="preserve">Then the user can complete the prescription </t>
  </si>
  <si>
    <t>Patient Cases Tab</t>
  </si>
  <si>
    <t>Given the user wishes to view the cases for a patient</t>
  </si>
  <si>
    <t xml:space="preserve">When they load a patient and click on the cases tab </t>
  </si>
  <si>
    <t xml:space="preserve">Then the patients case(s) is displayed correctly in the Ummanu colours </t>
  </si>
  <si>
    <t>And the user can expand and collapse any linked encounters</t>
  </si>
  <si>
    <t>And the user can close (collapse) the case</t>
  </si>
  <si>
    <t xml:space="preserve">And the user can add a new case </t>
  </si>
  <si>
    <t>Patient About Tab</t>
  </si>
  <si>
    <t>Given the user wishes to view demographic information for a loaded patient</t>
  </si>
  <si>
    <t xml:space="preserve">When the user clicks on the about tab </t>
  </si>
  <si>
    <t xml:space="preserve">Then the page is displayed correcty in the Ummanu colours </t>
  </si>
  <si>
    <t>And the PDS section is not editable</t>
  </si>
  <si>
    <t xml:space="preserve">And an email and phone number can be added to the Additional informtion section </t>
  </si>
  <si>
    <t>And the registration status of the patient can be changed</t>
  </si>
  <si>
    <t xml:space="preserve">Given the user wishes to view In progress items </t>
  </si>
  <si>
    <t>When they click In Progress on the sidebar</t>
  </si>
  <si>
    <t>And the correct In progress encounters are displayed</t>
  </si>
  <si>
    <t>And the user can access the filters and filter the list</t>
  </si>
  <si>
    <t>And when the user clicks on an encounter</t>
  </si>
  <si>
    <t>Then they are taken to the patient and the encounter is displayed</t>
  </si>
  <si>
    <t>Gievn the user wishes to view Meds in progress</t>
  </si>
  <si>
    <t>When the user clicks the meds tabe</t>
  </si>
  <si>
    <t>Then the meds in progress should be displayed</t>
  </si>
  <si>
    <t>Cases - sidebar</t>
  </si>
  <si>
    <t xml:space="preserve">Given the user wishes to view Cases at their organisation </t>
  </si>
  <si>
    <t xml:space="preserve">When they click Cases in the sidebar </t>
  </si>
  <si>
    <t>And the correct cases are displayed</t>
  </si>
  <si>
    <t xml:space="preserve">And when the user clicks on a case </t>
  </si>
  <si>
    <t>Then they are taken to the patient and the case is displayed</t>
  </si>
  <si>
    <t xml:space="preserve">Given the user wishes to view reports </t>
  </si>
  <si>
    <t>When the user clicks reports on the sidebar</t>
  </si>
  <si>
    <t>And all the tabs / report types are displayed correctly</t>
  </si>
  <si>
    <t xml:space="preserve">And date criteria can be set </t>
  </si>
  <si>
    <t xml:space="preserve">And reports can be downloaded </t>
  </si>
  <si>
    <t xml:space="preserve">Given the user wishes to view information about their service provider </t>
  </si>
  <si>
    <t>When the user clicks Service provider on the sidebar</t>
  </si>
  <si>
    <t>And all the tabs are displayed correctly</t>
  </si>
  <si>
    <t>And they can view a list of users at their service provider</t>
  </si>
  <si>
    <t>And they can view a list of roles at their service provider</t>
  </si>
  <si>
    <t>And they can view the GP connect configuration (should be set to always)</t>
  </si>
  <si>
    <t>Given the user wishes to view the help pages</t>
  </si>
  <si>
    <t xml:space="preserve">When the user clicks Help in the sidebar </t>
  </si>
  <si>
    <t>Then they are taken to the help pages</t>
  </si>
  <si>
    <t>GIVEN that I have created prepared the contents of an EPS prescription</t>
  </si>
  <si>
    <t>When I view the audit trail</t>
  </si>
  <si>
    <t>THEN it shall be be possible to see:-
- The time of the transaction
- Who performed the transaction
- The patient involved in the transaction
- The resultant payload of the transaction</t>
  </si>
  <si>
    <t>GIVEN that I have submitted an EPS prescription to the signing service</t>
  </si>
  <si>
    <t>GIVEN that I have sent the contents of an EPS prescription</t>
  </si>
  <si>
    <t>Encounters</t>
  </si>
  <si>
    <t xml:space="preserve">Given that I have added an encounter for a patient </t>
  </si>
  <si>
    <t xml:space="preserve">Then there is an entry in the log </t>
  </si>
  <si>
    <t xml:space="preserve">Given that I have added a case for a patient </t>
  </si>
  <si>
    <t>Audit of access</t>
  </si>
  <si>
    <t xml:space="preserve">Given that a user has viewed the audit log </t>
  </si>
  <si>
    <t>When the audit log is viewed again</t>
  </si>
  <si>
    <t>Then there is an entry in the log for QUERY_AUDIT_LOG_SUCCESS</t>
  </si>
  <si>
    <t>Prescription Layout</t>
  </si>
  <si>
    <t>GIVEN that I have generated a FP10 prescription for an CC medication (e.g. Co-cyprindiol 2000microgram/35microgram tablets)</t>
  </si>
  <si>
    <t>When I view the printed FP10</t>
  </si>
  <si>
    <t>THEN the item shall be endorsed as CC</t>
  </si>
  <si>
    <t>GIVEN that I have generated a FP10 prescription for an AF medication (e.g. Fortisip 2kcal liquid)</t>
  </si>
  <si>
    <t>THEN the item shall be endorsed as AF (it will also be endorsed as ACBS also)</t>
  </si>
  <si>
    <t>GIVEN that I have generated a FP10 prescription for a Controlled medication (e.g. Tramadol 100mg/ml oral drops) with a total quantity of 97.25ml</t>
  </si>
  <si>
    <t>THEN the item shall be endorsed as CD and the amount should be in words (e.g. 
97.25 (NINETY SEVEN POINT TWO FIVE) ML )</t>
  </si>
  <si>
    <t>GIVEN that I have generated a FP10 prescription for an SLS medication (e.g. Clobazam 10mg tablets)</t>
  </si>
  <si>
    <t>GIVEN that I have generated a FP10 prescription for an ACBS medication (e.g. Carob seed flour powder)</t>
  </si>
  <si>
    <t>THEN the item shall be endorsed as ACBS</t>
  </si>
  <si>
    <t>Patient Details</t>
  </si>
  <si>
    <t>GIVEN that I have generated a FP10 prescription for a patient</t>
  </si>
  <si>
    <t>THEN the patient’s name will appear in the format “Mr James Smith”</t>
  </si>
  <si>
    <t>GIVEN that I have generated a prescription for a patient with a long name</t>
  </si>
  <si>
    <t>When I view the name</t>
  </si>
  <si>
    <t>THEN the surname and forename shall be presented on separate lines, but it shall not “wrap” or split on partial words.</t>
  </si>
  <si>
    <t>Endorsements</t>
  </si>
  <si>
    <t>GIVEN that the user is a “Clinical Practitioner”</t>
  </si>
  <si>
    <t>When I view the printed FP10 and look for endorsements</t>
  </si>
  <si>
    <t>THEN the script will NOT be endorsed</t>
  </si>
  <si>
    <t>GIVEN that the user is a “Local Clinical Practitioner”</t>
  </si>
  <si>
    <t>THEN the script will be endorsed “COMMUNITY PRACTITIONER NURSE PRESCRIBER” and “PN” in the relevant organisations</t>
  </si>
  <si>
    <t>GIVEN that the user is a “Nurse” with a prescriber type of “Independent Prescriber”</t>
  </si>
  <si>
    <t>THEN the script will be endorsed “NURSE INDEPENDENT/SUPPLEMENTARY PRESCRIBER” and “PN” in the relevant organisations</t>
  </si>
  <si>
    <t>GIVEN that the user is a “Nurse” with a prescriber type of “Supplementary Prescriber”</t>
  </si>
  <si>
    <t>Prescriber Details</t>
  </si>
  <si>
    <t>GIVEN that I have generated an FP10 prescription</t>
  </si>
  <si>
    <t>When I view the prescriber’s name</t>
  </si>
  <si>
    <t>When I view the prescriber’s PIN/DIN/NMC code</t>
  </si>
  <si>
    <t>THEN the prescriber’s PIN / DIN / NMC shall be presented to the right of their name</t>
  </si>
  <si>
    <t>When I view the organisation’s cost centre / address</t>
  </si>
  <si>
    <t>THEN the address shall span no more than three lines, and shall not “wrap” or be split on partial words</t>
  </si>
  <si>
    <t>When I view the organisation’s telephone number</t>
  </si>
  <si>
    <t>THEN the organisation’s telephone number shall be presented immediately below the address</t>
  </si>
  <si>
    <t>When I view the organisation’s CCG name</t>
  </si>
  <si>
    <t>THEN the organisation’s CCG name shall be presented immediately below the telephone number</t>
  </si>
  <si>
    <t>EPS - Repudiation Statement</t>
  </si>
  <si>
    <t>GIVEN that I have a PDS synchronised patient and I have selected EPS as a prescribing route</t>
  </si>
  <si>
    <t>When I select "Issue with EPS"</t>
  </si>
  <si>
    <t>GIVEN I have a SmartCard inserted, and I enter an invalid PIN at the non-repudiation statement</t>
  </si>
  <si>
    <t>When I click "Proceed"</t>
  </si>
  <si>
    <t>THEN the system shall warn me that the PIN number entered is not correct.</t>
  </si>
  <si>
    <t>When I have been informed that this is incorrect</t>
  </si>
  <si>
    <t>THEN the system shall offer me the ability to re-enter the PIN, or cancel the signing process</t>
  </si>
  <si>
    <t>When I wish to cancel the signing process because I've forgotten my PIN number</t>
  </si>
  <si>
    <t>THEN I shall have the option to "Go back" to the Prescribing screen (Stage 1 Prepare)</t>
  </si>
  <si>
    <t>When I enter an invalid PIN for "n" number of times (where "n" is the number of attempt allowed to enter a PIN)</t>
  </si>
  <si>
    <t>When I enter an invalid PIN for "n+1" number of times (where "n" is the number of attempts allowed to enter a PIN)</t>
  </si>
  <si>
    <t xml:space="preserve">THEN the system shall inform me that I've exceeded the maximum number of authentication attempts and </t>
  </si>
  <si>
    <t>GIVEN I have not got a SmartCard inserted</t>
  </si>
  <si>
    <t>THEN the system shall warn me that the SmartCard is not present</t>
  </si>
  <si>
    <t>If a card has been withdrawn, then the session closes regardless, so it is impossible to get into this position</t>
  </si>
  <si>
    <t>GIVEN I have got a SmartCard inserted and I've entered the correct PIN number</t>
  </si>
  <si>
    <t>When I click on "Proceed"</t>
  </si>
  <si>
    <t>THEN the system shall confirm that the PIN is correct and return me to the Elevate UI, indicating that the process has been successful.</t>
  </si>
  <si>
    <t>EPS - Error Conditions</t>
  </si>
  <si>
    <t>GIVEN I am attempting to send an EPS message with invalid  message content</t>
  </si>
  <si>
    <t>When I perform the sending operation</t>
  </si>
  <si>
    <t>THEN I shall be synchronously informed that the send has failed, and allowed to return to the Prescribing screen.</t>
  </si>
  <si>
    <t>GIVEN I am attempting to send an EPS message with invalid  message signature</t>
  </si>
  <si>
    <t>GIVEN I am attempting to send an EPS message and Spine is unresponsive</t>
  </si>
  <si>
    <t>THEN the system shall time-out graciously, inform me of the timeout and allow me to return to the Prescribing screen.</t>
  </si>
  <si>
    <t>EPS - More than FOUR items</t>
  </si>
  <si>
    <t>GIVEN that I have added FOUR medication items to a prescription</t>
  </si>
  <si>
    <t>When I generate the EPS prescription</t>
  </si>
  <si>
    <t>THEN the system shall generate ONE prescription, with ONE prescription UUID that will be traceable through the EPS Tracker</t>
  </si>
  <si>
    <t>GIVEN that I have added FIVE medication items to a prescription</t>
  </si>
  <si>
    <t>THEN the system shall generate TWO prescriptions, with TWO prescription UUIDS that will be traceable through the EPS Tracker</t>
  </si>
  <si>
    <t>GIVEN that I have added NINE medication items to a prescription</t>
  </si>
  <si>
    <t>THEN the system shall generate THREE prescriptions, with THREE prescription UUIDS that will be traceable through the EPS Tracker</t>
  </si>
  <si>
    <t>EPS - Link to Tracker</t>
  </si>
  <si>
    <t>GIVEN that I am viewing the detail of an EPS prescription that has been sent to Spine</t>
  </si>
  <si>
    <t>When I click on the link to the EPS tracker</t>
  </si>
  <si>
    <t>THEN the EPS tracker shall open in a new tab, with details of the prescription presented (subject to the behaviour of the EPS Tracking Portal)</t>
  </si>
  <si>
    <t>EPS - Suitable Patients</t>
  </si>
  <si>
    <t>GIVEN that I am attempting to create an EPS prescription for a patient not PDS verified</t>
  </si>
  <si>
    <t>When I attempt to generate the EPS prescription</t>
  </si>
  <si>
    <t>THEN the system shall not allow me to select EPS at the point of generating the prescription and warn me that this is not possible for non-PDS verified patients</t>
  </si>
  <si>
    <t>GIVEN that I am attempting to create an EPS prescription for a deceased patient</t>
  </si>
  <si>
    <t>THEN the system shall not allow me to select EPS at the point of generating the prescription and warn me that this is not possible for deceased patients</t>
  </si>
  <si>
    <t>GIVEN that I am attempting to create an EPS prescription for a sensitive patient</t>
  </si>
  <si>
    <t>THEN the system shall not allow me to select EPS at the point of generating the prescription and warn me that this is not possible for sensitive patients</t>
  </si>
  <si>
    <t>EPS - Suitable Users</t>
  </si>
  <si>
    <t>GIVEN that I have appropriate prescribing permissions on my smartcard but NOT on my Elevate profile</t>
  </si>
  <si>
    <t xml:space="preserve">THEN the user should not be able to access the issue button and should be prompted with a warning ‘Your prescriber type has not been set. Please contact your system administrator.' </t>
  </si>
  <si>
    <t>GIVEN that I have appropriate prescribing permissions on my smartcard but my role doesn't correspond to the role within Elevate</t>
  </si>
  <si>
    <t>THEN I should not be able to access the issue button and should be prompted with a warning ‘Your prescriber type is not in line with your smartcard role. Please contact your system administrator.'</t>
  </si>
  <si>
    <t>GIVEN thst I have appropriate prescribing permissions on Elevate but not on my smartcard</t>
  </si>
  <si>
    <t xml:space="preserve">THEN I should not be able to access the issue button and should be prompted with a warning ‘You do not have the appropriate permissions on your smartcard to continue.’ </t>
  </si>
  <si>
    <t>EPS - Saving "In Progress" State</t>
  </si>
  <si>
    <t>GIVEN that I have started a Paper prescription for a patient</t>
  </si>
  <si>
    <t>When I save it in "In Progress" state</t>
  </si>
  <si>
    <t>THEN the prescripting method of "Paper" is retained When I reopen the prescription</t>
  </si>
  <si>
    <t>GIVEN that I have started an EPS prescription for a patient</t>
  </si>
  <si>
    <t>THEN the prescripting method of "EPS" is retained When I reopen the prescription</t>
  </si>
  <si>
    <t>EPS "In Progress"</t>
  </si>
  <si>
    <t>GIVEN that I have a completed EPS precscription that is awaiting signing</t>
  </si>
  <si>
    <t>When I navigate to the "In Progress" tab</t>
  </si>
  <si>
    <t>THEN I shall be able to locate the prescription and complete the signing process using CIS2 authentication with a Smartcard</t>
  </si>
  <si>
    <t>EPS - Aborting the signing process</t>
  </si>
  <si>
    <t>GIVEN that I have progressed an EPS prescription through to the signing stage</t>
  </si>
  <si>
    <t>When I abort the signing process, or enter an incorrect PIN</t>
  </si>
  <si>
    <t>THEN the prescription shall assume the state "Awaiting Signature" and the user will be able to make a subsequent signing attempt as required</t>
  </si>
  <si>
    <t>GIVEN that I have an EPS prescription for which signing has previously been attempted, but not completed (i.e. it has the state "Awaiting Signature")</t>
  </si>
  <si>
    <t>When I enter into the details of the prescription</t>
  </si>
  <si>
    <t>THEN I shall have the ability to reattempt signing and sending of the EPS prescription</t>
  </si>
  <si>
    <t>EPS Content</t>
  </si>
  <si>
    <t>GIVEN that I have added a medication item to a prescription</t>
  </si>
  <si>
    <t xml:space="preserve">THEN the content of the EPS payload shall accurately represent the organisational information, including the following:
- ODS code
- Org Name
- Org Address (including use)
- Org Telecoms (system, value and use)
</t>
  </si>
  <si>
    <t xml:space="preserve">THEN the content of the EPS payload shall accurately represent the patient information, including the following:
- ONE Patient Name (family name, given name, title, use).  This should be the most recent usual name
- ONE Patient Address (including use).  This should be the most recent home.  Failing that, a temporary address may be used
- Patient NHS Number
- Patient Gender
- Patient DoB
- Patient Telecoms (system, value and use)
- Patient's registered practice (ODS code)
</t>
  </si>
  <si>
    <t xml:space="preserve">THEN the content of the EPS payload shall accurately represent the prescriber information, including the following:
- Practitioner Name (family name, given name)
- NMC / HCPC / GPhC / GMC / DIN code
- SDS Identifier
</t>
  </si>
  <si>
    <t>NOTE - It is possible for a Med Prescriber to send a prescription WITHOUT a DIN or Spurious Code.  This functionality has been changed by design.  Has been handled by the EPSAT tool without any issues</t>
  </si>
  <si>
    <t>EPS Cancellation</t>
  </si>
  <si>
    <t>GIVEN that I am a Prescriber and wish to cancel an EPS prescription</t>
  </si>
  <si>
    <t>When I have my Smartcard inserted and authenticated</t>
  </si>
  <si>
    <t>THEN I shall be able to cancel an EPS prescription.  (EPS cancellations may only be supported by users with a B0468 activity role)</t>
  </si>
  <si>
    <t>GIVEN that I am a non-Prescriber and wish to cancel an EPS prescription</t>
  </si>
  <si>
    <t>THEN I shall NOT be able to cancel an EPS prescription (EPS cancellations may only be supported by users with a B0468 activity role)</t>
  </si>
  <si>
    <t>When I have my Smartcard inserted but it is NOT authenticated</t>
  </si>
  <si>
    <t>THEN I shall NOT be able to cancel an EPS prescription. I should see the warning "Cancelling is disabled. Please make sure that you are logged in with my Care Identity using a smart card and connected to the Health and Social Care Network (HSCN)."</t>
  </si>
  <si>
    <t>THEN I shall NOT be able to cancel an EPS prescription.  I should see the warning "Cancelling is disabled. Please make sure that you are logged in with my Care Identity using a smart card and connected to the Health and Social Care Network (HSCN)."</t>
  </si>
  <si>
    <t>GIVEN that I wish to cancel an EPS prescription</t>
  </si>
  <si>
    <t>When I select "Cancel Prescription"</t>
  </si>
  <si>
    <t>THEN I shall be presented with a list of NINE cancellation reasons:
- Prescribing error
- Clinical contra-indication
- Change to medication treatment regime
- Clinical grounds
- At the Patient’s request
- At the Pharmacist’s request
- Notification of death 
- Patient deducted - other reason
- Patient deducted - registered with new practice</t>
  </si>
  <si>
    <t>When I select "Cancel Prescription", and then "Discard"</t>
  </si>
  <si>
    <t>THEN the prescription will remain unaffected and not be cancelled</t>
  </si>
  <si>
    <t>When I check the generated cancellation message</t>
  </si>
  <si>
    <t xml:space="preserve">THEN the content of the EPS payload shall accurately represent the patient information, including the following:
- Patient Name (family name, given name, title, use)
- Patient Address (including use)
- Patient NHS Number
- Patient Gender
- Patient DoB
- Patient Telecoms (system, value and use)
- Patient's registered practice (ODS code)
</t>
  </si>
  <si>
    <t>GIVEN that I wish to cancel one or more prescription items from a prescription that forms a single EPS message (the prescription has FOUR items or less)</t>
  </si>
  <si>
    <t>When I view the Past Medication list</t>
  </si>
  <si>
    <t>THEN I shall be able to mark the entire prescription as cancelled ONLY, and I will not be able to cancel only nominated prescription items from the EPS message.</t>
  </si>
  <si>
    <t>GIVEN that I wish to cancel one or more prescription items from a prescription that spans more than one EPS message</t>
  </si>
  <si>
    <t>THEN I shall be able to cancel ONLY the EPS message that contains the items identified, and that the other "n" EPS messages that make up the full prescription will remain unaffected.  NOTE - there may be other items within the EPS message that's being cancelled - up to a maximum of FOUR items - which will also be cancelled.</t>
  </si>
  <si>
    <t>GIVEN that I have cancelled an EPS prescription that has already been pulled down by a pharmacy</t>
  </si>
  <si>
    <t>When I view the Organisation's "In Progress" tab</t>
  </si>
  <si>
    <t>THEN the prescription sholuld be shwon in this view with a status of "Pending Cancellation"</t>
  </si>
  <si>
    <t>Private Prescribing</t>
  </si>
  <si>
    <t>GIVEN that I wish to generate a private prescription for a patient using SignatureRx (at an organisation with both NHS and Private prescribing enabled)</t>
  </si>
  <si>
    <t>When I select Meds --&gt; +Start Prescription</t>
  </si>
  <si>
    <t xml:space="preserve">THEN I shall be offered the chance of starting an NHS or Private prescription from a drop down list </t>
  </si>
  <si>
    <t>SignatureRx</t>
  </si>
  <si>
    <t>GIVEN that I wish to digitally sign a prescription and send it to SignatureRx</t>
  </si>
  <si>
    <t>When I enter a PIN number greater than, or less than, six characters in length</t>
  </si>
  <si>
    <t>THEN the solution shall warn me "PIN must be six digits"</t>
  </si>
  <si>
    <t>When I enter an empty PIN number</t>
  </si>
  <si>
    <t>THEN the solution shall warn me "PIN is required"</t>
  </si>
  <si>
    <t>When I enter an incorrect PIN number</t>
  </si>
  <si>
    <t>THEN the solution shall warn me "Your PIN is incorrect, please try again."</t>
  </si>
  <si>
    <t>When I enter the correct PIN number</t>
  </si>
  <si>
    <t>THEN the solution shall inform me "Prescription sent to SignatureRX"</t>
  </si>
  <si>
    <t>EPS Prescription Status</t>
  </si>
  <si>
    <t>GIVEN that I have an EPS prescription which has been generated and correctly signed</t>
  </si>
  <si>
    <t>When I view the status of both item and prescription row item</t>
  </si>
  <si>
    <t>THEN the prescription shall have the status of "Issued"</t>
  </si>
  <si>
    <t>GIVEN that I have an EPS prescription which has been generated, signed and then subsequently cancelled</t>
  </si>
  <si>
    <t>THEN the prescription shall have the status of "Cancelled"</t>
  </si>
  <si>
    <t>GIVEN that I have an EPS prescription which has been generated and  signed BUT the signing of one Prescription Item has failed</t>
  </si>
  <si>
    <t>When I view the status of the prescription row item</t>
  </si>
  <si>
    <t xml:space="preserve">THEN the prescription shall have the status of "Partially Issued" </t>
  </si>
  <si>
    <t>NOTE - that this status applies to the "Prescription Level" view ONLY</t>
  </si>
  <si>
    <t>GIVEN that I have an EPS prescription which has been generated, signed and then subsequently cancelled BUT the cancellation of one of the line items has FAILED</t>
  </si>
  <si>
    <t xml:space="preserve">THEN the prescription shall have the status of "Partially Cancelled" </t>
  </si>
  <si>
    <t>GIVEN that I have an EPS prescription which has been generated BUT incorrectly signed</t>
  </si>
  <si>
    <t xml:space="preserve">THEN the prescription shall have the status of "Awaiting Signature". </t>
  </si>
  <si>
    <t>NOTE - an easy way to test this would be to enter the incorrect SmartCard PIN at the point of signing the prescription.  Thiis should result in the user being returned to the prescription screen and offered the ability to complete the signing process again</t>
  </si>
  <si>
    <t>GIVEN that I have a generated an EPS prescription which has been subsequently pulled down by a pharmacy AND then I have attempted to cancel the same prescription</t>
  </si>
  <si>
    <t xml:space="preserve">THEN the prescription shall have the status of "Pending Cancellation" </t>
  </si>
  <si>
    <t>GIVEN that I have a generated an EPS prescription which has been subsequently dispensed at a pharmacy AND then I have attempted to cancel the same prescription</t>
  </si>
  <si>
    <t xml:space="preserve">THEN the prescription shall have the status of "Cancellation Rejected". </t>
  </si>
  <si>
    <t>EPS Not Suitable</t>
  </si>
  <si>
    <t>GIVEN that I have recorded a patient has "EPS Not Suitable" within the "About" tab</t>
  </si>
  <si>
    <t>When I attempt to raise an EPS prescription for the patient</t>
  </si>
  <si>
    <t>THEN the solution shall prevent me from selecting "EPS" at the point of issuing the prescription, with a suitable user warning</t>
  </si>
  <si>
    <t>Login with Elevate 2FA Username / Password</t>
  </si>
  <si>
    <t>GIVEN the user already has an Elevate account and a NHS SmartCard</t>
  </si>
  <si>
    <t>WHEN the user logs in with Elevate using their username and password</t>
  </si>
  <si>
    <t>THEN the user is able to select any active organisation/role from the selection list</t>
  </si>
  <si>
    <t>Link an Elevate Organisation/Role</t>
  </si>
  <si>
    <t>GIVEN that the user wishes to associate their local Elevate account with CIS2</t>
  </si>
  <si>
    <t>WHEN they log in to Elevate, and select "Profile" --&gt; "Care Identity Service"</t>
  </si>
  <si>
    <t>THEN they are presented with the ability to associate their local account with CIS2</t>
  </si>
  <si>
    <t>Linked Organisation/Role Account</t>
  </si>
  <si>
    <t>WHEN the user inserts their SmartCard into the card reader without any applications running</t>
  </si>
  <si>
    <t>THEN they are presented with the NHS Identity Agent requesting their passcode</t>
  </si>
  <si>
    <t>GIVEN the user is presented with the NHS Identity Agent and their SamrtCard is inserted</t>
  </si>
  <si>
    <t>WHEN the user enters the correct passcode</t>
  </si>
  <si>
    <t>THEN they are given a choice of organisation/roles associated with their NHS account</t>
  </si>
  <si>
    <t>WHEN the user selects an organisation/role and clicks the OK button</t>
  </si>
  <si>
    <t xml:space="preserve">THEN the Elevate solution's dashboard page is displayed on the screen for the correct organisation/role they have just selected </t>
  </si>
  <si>
    <t>Link Authorised Organisation</t>
  </si>
  <si>
    <t>GIVEN the user has inserted their SmartCard and successfully authenticated themselves using their passcode</t>
  </si>
  <si>
    <t>THEN the user is logged straight into Elevate at that organisation without further user input</t>
  </si>
  <si>
    <t>No active link to organisation</t>
  </si>
  <si>
    <t>GIVEN the user has inserted their SmartCard and sucessfully authenticated themselves using their passcode</t>
  </si>
  <si>
    <t>THEN the user is warned that they do not have an active account and that they should contact their local admninistrator</t>
  </si>
  <si>
    <t>https://evahealthtech.atlassian.net/jira/software/c/projects/EJ/boards/80?modal=detail&amp;selectedIssue=EJ-1272</t>
  </si>
  <si>
    <t>Single Linked Organisation with Multiple Roles</t>
  </si>
  <si>
    <t>THEN the Elevate organisation/role selection list is displayed showing all active roles for the current user at that organisation ONLY</t>
  </si>
  <si>
    <t>Link Inactive Role</t>
  </si>
  <si>
    <t>THEN the user will be advised that they do not have a role at that organisation</t>
  </si>
  <si>
    <t>https://evahealthtech.atlassian.net/jira/software/c/projects/EJ/boards/80?modal=detail&amp;selectedIssue=EJ-1274</t>
  </si>
  <si>
    <t>Remove Linked Organisation</t>
  </si>
  <si>
    <t>GIVEN that a user wishes to disconnect their CIS2 account from their Elevate account</t>
  </si>
  <si>
    <t>WHEN the user navigates to "Profile" -&gt; "Care Identity" and selects "Disconnect"</t>
  </si>
  <si>
    <t>THEN I shall be notified that my account has been disconnected
AND I am logged out from the Elevate solution
AND I shall be able to reconnect my account if necessary</t>
  </si>
  <si>
    <t>Switch to Another Organisation/Role</t>
  </si>
  <si>
    <t>GIVEN the user is an authorised Elevate user with a NHS SmartCard registered for 2 different organisations</t>
  </si>
  <si>
    <t>https://evahealthtech.atlassian.net/browse/EJ-1664</t>
  </si>
  <si>
    <t>Remove Card for Different organisation/role</t>
  </si>
  <si>
    <t>GIVEN the user is an authorised Elevate user with a NHS CIC linked to more than ONE orgranisation</t>
  </si>
  <si>
    <t>THEN the user is logged out from Elevate</t>
  </si>
  <si>
    <t>THEN the user is able to select a linked organisation/role from the NHS selection list and are logged into that organisation
AND the CIS2 agent shows the correct organisation</t>
  </si>
  <si>
    <t>Available Roles</t>
  </si>
  <si>
    <t>GIVEN that I have authenticated myself using CIS2 to an organisation registered on my SmartCard</t>
  </si>
  <si>
    <t xml:space="preserve">When I select my desired role at that organisation </t>
  </si>
  <si>
    <t>THEN the functionality available to me will be that granted by the local organisation, and not necessarily limited to the RBAC roles on my SmartCard</t>
  </si>
  <si>
    <t>https://evahealthtech.atlassian.net/browse/EJ-1667</t>
  </si>
  <si>
    <t>Card Identity - Remove Card</t>
  </si>
  <si>
    <t>GIVEN the user is an authorised Elevate user with a NHS CIC already linked to an Elevate orgranisation they are currently logged in to</t>
  </si>
  <si>
    <t>WHEN the user removes the card from the card reader</t>
  </si>
  <si>
    <t>THEN the user is logged out from the Elevate solution</t>
  </si>
  <si>
    <t>GIVEN the user has a deactivated Elevate account as ORG-A</t>
  </si>
  <si>
    <t>WHEN the user authenticates themselves using their SmartCard and PIN, and selects ORG-A from the Identity Agent dropdown list</t>
  </si>
  <si>
    <t>THEN the user shall be refused access to ORG-A within the Elevate application</t>
  </si>
  <si>
    <t>ECDS XML report</t>
  </si>
  <si>
    <t>Given the patients have encounters created and finalised in elevate</t>
  </si>
  <si>
    <t>When I trigger the test in lambda for ECDSReportTesting template</t>
  </si>
  <si>
    <t>Then the XML report is generated in S3 as per ECDS data standards</t>
  </si>
  <si>
    <t>https://evahealthtech.atlassian.net/browse/EJ-1325</t>
  </si>
  <si>
    <t>When I trigger the test in lambda for ECDSReportTesting template with start and enddate maximum of 7 days</t>
  </si>
  <si>
    <t>Then the XML report is not generated in S3 bucket</t>
  </si>
  <si>
    <t>Given the patients have encounters saved as draft in elevate</t>
  </si>
  <si>
    <t>Then the XML report should not contain the encounters saved as draft</t>
  </si>
  <si>
    <t>Patient Consent</t>
  </si>
  <si>
    <t>Then the XML report is generated in S3 as per ECDS data WITHHELD IDENTITY STRUCTURE standards</t>
  </si>
  <si>
    <t>https://evahealthtech.atlassian.net/browse/EJ-1324</t>
  </si>
  <si>
    <t xml:space="preserve">Then the XML report is generated in S3 as per ECDS data VERIFIED IDENTITY STRUCTURE </t>
  </si>
  <si>
    <t xml:space="preserve">Then the XML report is generated in S3 as per ECDS data UNVERIFIED IDENTITY STRUCTURE </t>
  </si>
  <si>
    <t>Given the patients(Sensitive patient) have encounters created and finalised in elevate</t>
  </si>
  <si>
    <t>We actually had an UnverifiedIdentity.  This is wrong, as the patient IS verified.
Good news though is that there is no address included - just a ZZ99 3WZ postcode</t>
  </si>
  <si>
    <t>About Tab</t>
  </si>
  <si>
    <t>Given the patients consent is Active in elevate</t>
  </si>
  <si>
    <t>https://evahealthtech.atlassian.net/browse/EJ-1323</t>
  </si>
  <si>
    <t>Given the patients consent is Inactive and PDS synched in elevate</t>
  </si>
  <si>
    <t>Table creation</t>
  </si>
  <si>
    <t>Then the table ecds_reports is generated in the backend with the fields  ID, created_at, updated_at
- start of time range
- end of time range
- status
- link to created xml (to S3)</t>
  </si>
  <si>
    <t>https://evahealthtech.atlassian.net/browse/EJ-1330</t>
  </si>
  <si>
    <t>Notifications</t>
  </si>
  <si>
    <t>When there is an error in the ECDS submission process while delivering the ECDS XML file</t>
  </si>
  <si>
    <t>Then i will be notified via slack</t>
  </si>
  <si>
    <t>To where?</t>
  </si>
  <si>
    <t>https://evahealthtech.atlassian.net/browse/EJ-1319</t>
  </si>
  <si>
    <t>When there is an error in the ECDS submission process while being acknowledged by SUS+</t>
  </si>
  <si>
    <t>Audit log</t>
  </si>
  <si>
    <t xml:space="preserve">Then i will verify if the audit/Event log is created with the below details:
File was created
Delivery - fail or success (via MESH)
Send attempt - fail or success (receipt acknowledgement)
Recipient detail
Any errors created </t>
  </si>
  <si>
    <t>https://evahealthtech.atlassian.net/browse/EJ-1320</t>
  </si>
  <si>
    <t>ECDS XML extract</t>
  </si>
  <si>
    <t>Given the feature toggle is ON for ECDS report generation</t>
  </si>
  <si>
    <t>no such toggle</t>
  </si>
  <si>
    <t>Given the feature toggle is OFF for ECDS report generation</t>
  </si>
  <si>
    <t>Given the ODS code of the organisation has been updated in  backend/config/aws/.env.tftpl 
ECDS_SYSTEM_ODS_CODE=&lt;ODS CODE&gt;</t>
  </si>
  <si>
    <t>Access</t>
  </si>
  <si>
    <t>Given the logged in user is NOT authorised to access CPIS information</t>
  </si>
  <si>
    <t xml:space="preserve">Then the CPIS information will not be returned and a message will be displayed stating that may be information available but the user does not have permission to view </t>
  </si>
  <si>
    <t>Given the logged in user is authorised to access CPIS information</t>
  </si>
  <si>
    <t>When the user loads an eligible patient and the solution is unable to connect to CPIS</t>
  </si>
  <si>
    <t xml:space="preserve">Then a message is displayed warning that CPIS info maybe present but it could not be retrieved </t>
  </si>
  <si>
    <t>When they load a patient who has a gender of  Male and &gt;=19 years</t>
  </si>
  <si>
    <t xml:space="preserve">Then the CPIS service will NOT be queried </t>
  </si>
  <si>
    <t xml:space="preserve">When they load a patient who has a gender of Female and &gt;56 years + 365 days </t>
  </si>
  <si>
    <t xml:space="preserve">When they load a patient who has a gender of Not Known and &gt;56 years + 365 days </t>
  </si>
  <si>
    <t xml:space="preserve">When they load a patient who has a gender of Not Specified and &gt;56 years + 365 days </t>
  </si>
  <si>
    <t xml:space="preserve">When they load a patient who has a gender of Female and &gt;=19 years but &lt;56 years + 365 days </t>
  </si>
  <si>
    <t xml:space="preserve">Then the CPIS service will be queried </t>
  </si>
  <si>
    <t xml:space="preserve">When they load a patient who has a gender of Not Known and &gt;=19 years but &lt;56 years + 365 days </t>
  </si>
  <si>
    <t xml:space="preserve">When they load a patient who has a gender of  Not Specified and &gt;=19 years but &lt;56 years + 365 days </t>
  </si>
  <si>
    <t xml:space="preserve">When they load a patient who has a gender of Female and &lt;= 18 years +365 days </t>
  </si>
  <si>
    <t xml:space="preserve">When they load a patient who has a gender of Male and &lt;= 18 years +365 days </t>
  </si>
  <si>
    <t xml:space="preserve">When they load a patient who has a gender of Not Known and &lt;= 18 years +365 days </t>
  </si>
  <si>
    <t xml:space="preserve">When they load a patient who has a gender of Not Specified and &lt;= 18 years +365 days </t>
  </si>
  <si>
    <t xml:space="preserve">Display of Information </t>
  </si>
  <si>
    <t xml:space="preserve">Then an exclamation icon is displayed on the important notes tab </t>
  </si>
  <si>
    <t>And when the user clicks on the important notes tab</t>
  </si>
  <si>
    <t xml:space="preserve">Then the CPIS plan and access information history is displayed for the patient </t>
  </si>
  <si>
    <t xml:space="preserve">And when the user refreshes </t>
  </si>
  <si>
    <t xml:space="preserve">Then the users access of CPIS has been added to the access history </t>
  </si>
  <si>
    <t>When they load a patient who has CPIS information and an important note and view the important note tab</t>
  </si>
  <si>
    <t>Then the CPIS plan and access information is displayed for the patient  along with the important note</t>
  </si>
  <si>
    <t>Reporting</t>
  </si>
  <si>
    <t>Given that a Systems Administrator wishes to view a report of CPIS  positive traces</t>
  </si>
  <si>
    <t xml:space="preserve">Then they shall be able to access the report by navigating to "Reports" from the side bar and selecting "CP-IS" from the ribbon </t>
  </si>
  <si>
    <t>Given that a non-Systems Administrator wishes to view a report of CPIS  positive traces</t>
  </si>
  <si>
    <t xml:space="preserve">Then they shall NOT be able to access the report by navigating to "Reports" from the side bar and selecting "CP-IS" from the ribbon </t>
  </si>
  <si>
    <t>Given that a patient that falls WITHIN the qualifying CP-IS age range is retrieved by a user WITH the prerequisite rights to access CPIS information AND the patient HAS a current CPIS care plan</t>
  </si>
  <si>
    <t>When a Systems Administrator runs the PID variant of the CP-IS report</t>
  </si>
  <si>
    <t>The Systems Administrator will be able ascertain the following details:
- NHS Number
- Patient Name
- DoB
- Date/time of positive CP-IS trace
- User that accessed CP-IS</t>
  </si>
  <si>
    <t>Given that a patient that falls WITHIN the qualifying CP-IS age range is retrieved by a user WITH the prerequisite rights to access CPIS information AND the the patient HAS a current CPIS care plan</t>
  </si>
  <si>
    <t>When a Systems Administrator runs the NON-PID variant of the CP-IS report</t>
  </si>
  <si>
    <t>The Systems Administrator will be able ascertain the following details:
- Date/time of positive CP-IS trace
- User that accessed CP-IS</t>
  </si>
  <si>
    <t>Given that a patient that falls WITHIN the qualifying CP-IS age range is retrived by a user WITHOUT the prerequisite rights to access CPIS information</t>
  </si>
  <si>
    <t>When a Systems Administrator runs the CP-IS report</t>
  </si>
  <si>
    <t>Then no record of the event of loading the patient shall be shown</t>
  </si>
  <si>
    <t>Given that a patient that falls OUTSIDE the qualifying CP-IS age range is retrieved by a user WITH the prerequisite rights to access CPIS information</t>
  </si>
  <si>
    <t>Given that a patient that falls WITHIN the qualifying CP-IS age range is retrieved by a user WITH the prerequisite rights to access CPIS information ONE MORE THAN ONE OCCASION WITHIN THE REPORTING PERIOD</t>
  </si>
  <si>
    <t>Then each instance of the patient retrieval is shown, with details showing
- NHS Number
- Patient Name
- DoB
- Date/time of positive CP-IS trace
- User that accessed CP-IS</t>
  </si>
  <si>
    <t>Given that a patient that falls WITHIN the qualifying CP-IS age range is retrieved by a user WITH the prerequisite rights to access CPIS information BUT the patient DOES NOT have a current CPIS care plan</t>
  </si>
  <si>
    <t>Given that a Systems Administrator clicks on the button "Today"</t>
  </si>
  <si>
    <t>Only CP-IS positive trace events will be shown for the period of TODAY</t>
  </si>
  <si>
    <t>Given that a Systems Administrator clicks on the button "This Month"</t>
  </si>
  <si>
    <t>Only CP-IS positive trace events will be shown for the period of THIS MONTH</t>
  </si>
  <si>
    <t>Given that a Systems Administrator enters a specific date/time range</t>
  </si>
  <si>
    <t>Only CP-IS positive trace events will be shown for the period of that time range</t>
  </si>
  <si>
    <t>(*) To create an Encounter record...</t>
  </si>
  <si>
    <t>1. Log into "Smalpox Clinic" and load a chosen patient</t>
  </si>
  <si>
    <t>2. Enter into "Timeline" and select "Add new Encounter"</t>
  </si>
  <si>
    <t>3. Select a template - such as "Consultation Notes"</t>
  </si>
  <si>
    <t>4. Complete the template and click "Finalise"</t>
  </si>
  <si>
    <t>NOTE - For patient context, use patient 9449304831 Jools BAALOUD for ALL tests</t>
  </si>
  <si>
    <t>NOTE - For user context use u/name "roger_501@ummanu.health", password "protectMe!"</t>
  </si>
  <si>
    <t xml:space="preserve">Testing arrangements for GP Connect Send Document against the NHSE GPC-SD test harness is unusual. </t>
  </si>
  <si>
    <t>For each testing scenario, change the forename of the HCP to the code specified in the test to mock the desired response</t>
  </si>
  <si>
    <t>Patient</t>
  </si>
  <si>
    <t>GENERAL UI CHECKS</t>
  </si>
  <si>
    <t>GIVEN I wish to create a GPC-SD for a patient that has been successfully PDS traced</t>
  </si>
  <si>
    <t>WHEN I create an Encounter record (*)</t>
  </si>
  <si>
    <t>THEN the "Send Document for GP Connect" tickbox should be available, checked and no warnings shall be shown</t>
  </si>
  <si>
    <t>Use Otto McEVOY (967 496 0015)</t>
  </si>
  <si>
    <t>GIVEN I wish to create a GPC-SD for a patient that has NOT been successfully PDS traced</t>
  </si>
  <si>
    <t>THEN I shall be warned that it is not possible to send the summary electronically for this patient as they have no ODS code 
AND the "Send Document for GP Connect" tickbox should be unavailable for selection</t>
  </si>
  <si>
    <t>Use a locally-registered patient</t>
  </si>
  <si>
    <t>GIVEN I wish to create a GPC-SD for a patient that is locally DECEASED</t>
  </si>
  <si>
    <t>GIVEN I wish to create a GPC-SD for a patient that is DECEASED on the recipient system (their registered GP system)</t>
  </si>
  <si>
    <t>WHEN I have created an Encounter record (*) using a HCP account with the forename "30004"</t>
  </si>
  <si>
    <t>THEN the GPC-SD should adopt the state of "ERROR" with the tooltip text "Patient known here and recently deceased"</t>
  </si>
  <si>
    <t>GIVEN I wish to create a GPC-SD for a patient that DOES NOT have a registered practice ODS Code</t>
  </si>
  <si>
    <t>GIVEN I wish to create a GPC-SD for a locally-registered patient</t>
  </si>
  <si>
    <t>THEN I shall be warned that it is not possible to send the summary electronically for this patient as they have not been synchronised with PDS</t>
  </si>
  <si>
    <t>GIVEN that I've created an Encounter using a template that supports attachments AND I've attached one or more files</t>
  </si>
  <si>
    <t>WHEN I click on Finalise</t>
  </si>
  <si>
    <t>THEN I should be warned that the Encounter attachments will not be sent with the electronic message, and I should finalise the doucment WITHOUT sending it</t>
  </si>
  <si>
    <t>NO KNOWN ODS CODE FOR PATIENT</t>
  </si>
  <si>
    <t>GIVEN I wish to create a GPC-SD for a patient NOT KNOWN at the specified practice ODS code</t>
  </si>
  <si>
    <t>THEN I shall be warned that it is not possible to send a the summary electronically for this patient as they have no ODS code 
AND the "Send Document for GP Connect" tickbox should be unavailable for selection</t>
  </si>
  <si>
    <t>TEST HARNESS RESPONSES - BUSINESS LEVEL RESPONSE</t>
  </si>
  <si>
    <t xml:space="preserve">GIVEN I wish to create a GPC-SD for a patient that is registered on the recipient system </t>
  </si>
  <si>
    <t>WHEN I have created an Encounter record (*) using a HCP account with the forename "30001"</t>
  </si>
  <si>
    <t xml:space="preserve">GIVEN I wish to create a GPC-SD for a patient that is NOT registered on the recipient system </t>
  </si>
  <si>
    <t>WHEN I have created an Encounter record (*) using a HCP account with the forename "30002"</t>
  </si>
  <si>
    <t>WHEN I have created an Encounter record (*) using a HCP account with the forename "30016"</t>
  </si>
  <si>
    <t>WHEN I have created an Encounter record (*) using a HCP account with the forename "30017"</t>
  </si>
  <si>
    <t>TEST HARNESS RESPONSES - INFRACTRUCTURE LEVEL RESPONSE</t>
  </si>
  <si>
    <t>GIVEN I wish to create a GPC-SD for a patient that is has a handling specification error</t>
  </si>
  <si>
    <t>WHEN I have created an Encounter record (*) using a HCP account with the forename "10001"</t>
  </si>
  <si>
    <t>GIVEN I wish to create a GPC-SD for a patient that is has a handling specification business rule error</t>
  </si>
  <si>
    <t>WHEN I have created an Encounter record (*) using a HCP account with the forename "10008"</t>
  </si>
  <si>
    <t>GIVEN I wish to create a GPC-SD for a patient that is has a non-approved filetype as an attachment</t>
  </si>
  <si>
    <t>WHEN I have created an Encounter record (*) using a HCP account with the forename "20004"</t>
  </si>
  <si>
    <t>GIVEN I wish to create a GPC-SD for a patient that is successfully processed by the recipient</t>
  </si>
  <si>
    <t>WHEN I have created an Encounter record (*) using a HCP account with the forename "20014"</t>
  </si>
  <si>
    <t>THEN the GPC-SD should adopt the state of "SENT" with the tooltip text "OK"</t>
  </si>
  <si>
    <t>TEST HARNESS RESPONSES - INFRACTRUCTURE LEVEL RESPONSE 20013 / BUSINESS LEVEL RESPONSE</t>
  </si>
  <si>
    <t>WHEN I have created an Encounter record (*) using a HCP account with the forename "IB001"</t>
  </si>
  <si>
    <t>WHEN I have created an Encounter record (*) using a HCP account with the forename "IB002"</t>
  </si>
  <si>
    <t>WHEN I have created an Encounter record (*) using a HCP account with the forename "IB016"</t>
  </si>
  <si>
    <t>WHEN I have created an Encounter record (*) using a HCP account with the forename "IB017"</t>
  </si>
  <si>
    <t>REVISITING THE PATIENT RECORD</t>
  </si>
  <si>
    <t>GIVEN that I have loaded a patient with an Encounter that has already been sent by GPC-SD</t>
  </si>
  <si>
    <t>WHEN I attempt to untick / tick the GPC-SD checkbox</t>
  </si>
  <si>
    <t>THEN I will find the checkbox is unavailable to me, and I cannot tick / untick the option</t>
  </si>
  <si>
    <t>GIVEN that a Booking Request from BaRS has been received by the Telemedicine platform</t>
  </si>
  <si>
    <t>WHEN the user retrieves the patient record in Elevate</t>
  </si>
  <si>
    <t>THEN the user will see a Case created within the Ummanu solution</t>
  </si>
  <si>
    <t>Selecting a Case</t>
  </si>
  <si>
    <t>GIVEN the user has selected the referral case</t>
  </si>
  <si>
    <t>WHEN the timeline page is loaded</t>
  </si>
  <si>
    <t>THEN the user will see a BaRS Referral clickable link</t>
  </si>
  <si>
    <t>AND the Case date/timestamp contains the date on which the Booking was received (suitably annotated)</t>
  </si>
  <si>
    <t>AND "Case ID" begins with "C-TC"</t>
  </si>
  <si>
    <t>AND the Case "last modified" date/time stamp contains the date the Booking was received by Ummanu solution</t>
  </si>
  <si>
    <t>AND "Summary" is blank</t>
  </si>
  <si>
    <t>AND "Assigned To" is blank</t>
  </si>
  <si>
    <t>AND "Case Owner" is blank</t>
  </si>
  <si>
    <t>AND "Status" contains "Referral Received from BaRS"</t>
  </si>
  <si>
    <t>AND "Case Waiting" flag is unchecked</t>
  </si>
  <si>
    <t>AND "Case Priority "flag is unchecked</t>
  </si>
  <si>
    <t>AND the Sender name is represented within the case header (arrived at by the use of the sender ODS code)</t>
  </si>
  <si>
    <t>where is the sender name expected to be</t>
  </si>
  <si>
    <t>Viewing a Case</t>
  </si>
  <si>
    <t>GIVEN that a BaRS Case exists with a status of "New" within the Elevate solution</t>
  </si>
  <si>
    <t>WHEN the user opens the existing Case</t>
  </si>
  <si>
    <t>THEN no warnings shall be presented to the user.</t>
  </si>
  <si>
    <t>GIVEN that a BaRS Case exists with a status of "Cancelled" within the Elevate solution</t>
  </si>
  <si>
    <t xml:space="preserve">THEN the user shall be warned that they are </t>
  </si>
  <si>
    <t>Saving a Case</t>
  </si>
  <si>
    <t>WHEN the users amends the Status of the Case to "Waiting" and attempts to save the changes</t>
  </si>
  <si>
    <t>THEN the user will not be presented with any warnings</t>
  </si>
  <si>
    <t>AND they will be able to:
- save the change of status
- discard the changes
- continue with the changes</t>
  </si>
  <si>
    <t>WHEN the users amends the Status of the Case to "Waiting" and attempts  to save the changes</t>
  </si>
  <si>
    <t>THEN the user will be able to warned that they are changing a Cancelled case</t>
  </si>
  <si>
    <t>AND they will be able to save the change of status</t>
  </si>
  <si>
    <t>Creating an Encounter</t>
  </si>
  <si>
    <t>WHEN the user clicks on the "Create and Link" to add a new Encounter</t>
  </si>
  <si>
    <t>THEN the user shall be warned that they are viewing an Encounter linked to a Cancelled referral</t>
  </si>
  <si>
    <t>WHEN the user clicks on "Link Existing Encounter"</t>
  </si>
  <si>
    <t>Viewing an Encounter</t>
  </si>
  <si>
    <t>WHEN the user opens the an Encounter linked to that case</t>
  </si>
  <si>
    <t>Saving an Encounter</t>
  </si>
  <si>
    <t>WHEN the users amends the details of an Encounter linked to that Case, and attempts to save the changes</t>
  </si>
  <si>
    <t>WHEN the user amends the details of an Encounter linked to that Case, and attempts to save the changes</t>
  </si>
  <si>
    <t>THEN the user will be able to warned that they are changing an Encounter linked to a Cancelled case</t>
  </si>
  <si>
    <t>Receiving a Cancellation</t>
  </si>
  <si>
    <t>GIVEN that a BaRS Case exists with an open status (which includes "Waiting", "Awaiting Referral", etc.)</t>
  </si>
  <si>
    <t>WHEN a Cancellation is received from BaRS via Ummanu</t>
  </si>
  <si>
    <t>THEN the status is updated to "Cancelled"</t>
  </si>
  <si>
    <t>AND WHEN the user views the Case History</t>
  </si>
  <si>
    <t>THEN the Case History will state "Cancellation from BaRS Successful"</t>
  </si>
  <si>
    <t>GIVEN that a BaRS Case exists with a status of "Resolved", "Referred" or "Prescription Issued"</t>
  </si>
  <si>
    <t>THEN the status is NOT updated to "Cancelled"</t>
  </si>
  <si>
    <t>THEN the Case History will state "Cancellation from BaRS Failed"</t>
  </si>
  <si>
    <t>GIVEN that a BaRS Referral has been received by the Elevate solution</t>
  </si>
  <si>
    <t>WHEN the user views the Case details</t>
  </si>
  <si>
    <t>THEN the initial entry within the case will contain the rendered BaRS Referral payload</t>
  </si>
  <si>
    <t>GIVEN that I am initially viewing the content of an incoming BaRS referral</t>
  </si>
  <si>
    <t>WHEN I observce the content of the Referral</t>
  </si>
  <si>
    <t>THEN only the data to be presented in the "default" view is shown</t>
  </si>
  <si>
    <t>THEN all data is presented in the "expanded" view</t>
  </si>
  <si>
    <t>WHEN I view the content of the PATIENT section</t>
  </si>
  <si>
    <t>THEN the default view will contain:
- Patient identifier
- Patient name
- Patient gender
- Patient birth date</t>
  </si>
  <si>
    <t>WHEN I view the content of the RELATIONSHIP section</t>
  </si>
  <si>
    <t>THEN the default view will contain:
NOTHING</t>
  </si>
  <si>
    <t>WHEN I view the content of the CONSENT section</t>
  </si>
  <si>
    <t>THEN the default view will contain:
- Date consent given
- Consent status
- Category
- Consent type (IMPLIED)</t>
  </si>
  <si>
    <t>WHEN I view the content of the PRACTITIONER section</t>
  </si>
  <si>
    <t>THEN the default view will contain:
- Practitioner full name
- Practitioner telecom value
- Practitioner telecom method</t>
  </si>
  <si>
    <t>WHEN I view the content of the ORGANISATION section</t>
  </si>
  <si>
    <t>THEN the default view will contain:
- Organisation name and ODS code</t>
  </si>
  <si>
    <t>WHEN I view the content of the MESSAGE HEADER section</t>
  </si>
  <si>
    <t>THEN the default view will contain:
- Date and time of the transfer of care</t>
  </si>
  <si>
    <t>WHEN I view the content of the CARE PLAN section</t>
  </si>
  <si>
    <t>THEN the default view wil contain:
- Outcome codeable concept (such as a pathway / SG / DS code}
- Textual reprensetation of the code above
- Codeable concept text  to support the above, basically detailing the next steps required in the patient's care plan</t>
  </si>
  <si>
    <t>WHEN I view the content of the ENCOUNTER section</t>
  </si>
  <si>
    <t>THEN the default view will contain:
- Encounter class code (should always be "EMER")
- Encounter class display (should always be "Emergency")
- Encounter Identifier (for tracking / debugging purposes)
- Encounter status (we should only be showing ACTIVE encounters)
- Encounter start date (show only for ACTIVE encounters)</t>
  </si>
  <si>
    <t>THE FOLLOWING BEAR A 1...1 RELATIONSHIP WITH THE ENCOUNTER</t>
  </si>
  <si>
    <t>WHEN I view the content of the OBSERVATION subsection</t>
  </si>
  <si>
    <t>THEN the default view will contain:
- Observation code
- Observation date/time</t>
  </si>
  <si>
    <t>WHEN I view the content of the MEDICATION STATEMENT subsection</t>
  </si>
  <si>
    <t>THEN the default view will contain:
- Medication Name
- Medication prescripition date/time</t>
  </si>
  <si>
    <t>WHEN I view the content of the ALLERGY INTOLLERANCE subsection</t>
  </si>
  <si>
    <t>THEN the default view will contain:
- Allergy/Intollerance verification status
- Allergy/Intollerance verification type
- Allergy/Intollerance verification category
- Allergy/Intollerance verification manefestation
- Allergy/Intollerance verification status severity</t>
  </si>
  <si>
    <t>WHEN I view the content of the FHIR FLAG subsection</t>
  </si>
  <si>
    <t>THEN the default view will contain:
- Flag coding display (rextual representation of the flag)
- Flag status
(a flag may just be represented as text ONLY)</t>
  </si>
  <si>
    <t>EXPANDED VIEW</t>
  </si>
  <si>
    <t>GIVEN that I have expanded the content of an incoming BaRS referral</t>
  </si>
  <si>
    <t>THEN the full view will contain (in addition to the above):
- Patient identifier
- Patient name
- Patient gender
- Patient birth date
- Patient contact telecom value
- Patient contact telecom method
- Patient spoken language</t>
  </si>
  <si>
    <t>THEN the full view will contain (in addition to the above):
NOTHING</t>
  </si>
  <si>
    <t>THEN the default view will contain:
- Date consent given
- Consent status
- Category
- Consent type (IMPLIED)"</t>
  </si>
  <si>
    <t>THEN the full view will contain (in addition to the above):
- Practitioner full name
- Practitioner telecom value
- Practitioner telecom method</t>
  </si>
  <si>
    <t>THEN the full view will contain (in addition to the above):
- Organisation name</t>
  </si>
  <si>
    <t>THEN the full view will contain (in addition to the above):
- Date and time of the transfer of care</t>
  </si>
  <si>
    <t>THEN the full view will contain (in addition to the above):
- Outcome codeable concept (such as a pathway / SG / DS code}
- Textual reprensetation of the code above
- Codeable concept text  to support the above, basically detailing the next steps required in the patient's care plan</t>
  </si>
  <si>
    <t>THEN the full view will contain (in addition to the above):
- Encounter class code (should always be "EMER")
- Encounter class display (should always be "Emergency")
- Encounter Identifier (for tracking / debugging purposes)
- Encounter status (we should only be showing ACTIVE encounters)
- Encounter start date (show only for ACTIVE encounters)</t>
  </si>
  <si>
    <t xml:space="preserve">THEN the full view will contain (in addition to the above):
- Observation category code (Observation.category.code)
- Observation date/time
- Observation coding (Observation.code.coding)
- Associated numeric values (Observation.component) 
</t>
  </si>
  <si>
    <t>THEN the full view will contain (in addition to the above):
- Medication Name
- Medication prescripition date/time
- Dosage
- Quantity
- Unit
- Reason for prescribing</t>
  </si>
  <si>
    <t>THEN the full view will contain (in addition to the above):
- Allergy/Intollerance verification status
- Allergy/Intollerance verification type
- Allergy/Intollerance verification category
- Allergy/Intollerance verification manefestation
- Allergy/Intollerance verification status severity
- Causative agent / medication name</t>
  </si>
  <si>
    <t>THEN the default view will contain:
- Flag coding display (textual representation of the flag)
- Flag status
- Start Date
- End Date
(a flag may just be represented as text ONLY)</t>
  </si>
  <si>
    <t>Clicking on "Finalise"</t>
  </si>
  <si>
    <t>GIVEN that I have completed an Encounter based upon a BaRS Referral,</t>
  </si>
  <si>
    <t>WHEN I click in "Finalise"</t>
  </si>
  <si>
    <t>THEN the Encounter shall be saved, but the patient will remain loaded and I will be able to start another Encounter within the same Consultation</t>
  </si>
  <si>
    <t>Clicking on "Finalise and Close"</t>
  </si>
  <si>
    <t>WHEN I click in "Finalise and Close"</t>
  </si>
  <si>
    <t>THEN the Encounter shall be saved AND the patient will be unloaded</t>
  </si>
  <si>
    <t>GET bookings for patient</t>
  </si>
  <si>
    <t>GET specific booking</t>
  </si>
  <si>
    <t>GET capability statement</t>
  </si>
  <si>
    <t>GET message definition</t>
  </si>
  <si>
    <t>GET referral(s) for a patient</t>
  </si>
  <si>
    <t>GET a specific referral</t>
  </si>
  <si>
    <t>GET slots</t>
  </si>
  <si>
    <t>GET slots - accept header</t>
  </si>
  <si>
    <t>Additional accept header values</t>
  </si>
  <si>
    <t>GET slots - date range too wide</t>
  </si>
  <si>
    <t xml:space="preserve">Failure scenario - too many results are returned </t>
  </si>
  <si>
    <t>POST creating a booking (without NHS)</t>
  </si>
  <si>
    <t>Fictitious patient not on PDS.  No NHS number</t>
  </si>
  <si>
    <t xml:space="preserve">POST creating a booking  </t>
  </si>
  <si>
    <t>LECIA LINDSEY - Happy path booking</t>
  </si>
  <si>
    <t>POST creating a booking - misaligned times</t>
  </si>
  <si>
    <t>LECIA LINDSEY - Booking and available slot times misaligned.  Used to test whether the system noticed that the Appointment being booked doesn't fit into a Slot being offerfed</t>
  </si>
  <si>
    <t>POST creating a booking - payload version</t>
  </si>
  <si>
    <t>LECIA LINDSEY - Changes the payload version to an unsupported value - should produce a failure</t>
  </si>
  <si>
    <t>POST creating a booking - flora hopley</t>
  </si>
  <si>
    <t>FLROA HOPLEY - Simple booking for a PDS patient</t>
  </si>
  <si>
    <t>POST creating a booking - tracey dual</t>
  </si>
  <si>
    <t>TRACEY DUAL - Simple booking for a PDS patient</t>
  </si>
  <si>
    <t>POST creating a booking - invalid</t>
  </si>
  <si>
    <t>LECIA LINDSEY - Invalid booking request - should return an error</t>
  </si>
  <si>
    <t>POST creating a booking - multiple contacts</t>
  </si>
  <si>
    <t>NOT REQUIRED - Bookings do not handle contacts</t>
  </si>
  <si>
    <t>POST creating a booking - non-matching patient</t>
  </si>
  <si>
    <t>BRIAN NORBERT - Non PDS patient.  Has a fictitious - but Modulus 11 valid - NHS number</t>
  </si>
  <si>
    <t>POST creating a booking - No NHS number</t>
  </si>
  <si>
    <t>ADRIAN MOLE - Fictitious patient not on PDS.  No NHS number</t>
  </si>
  <si>
    <t>POST creating a booking - NHS number not traced</t>
  </si>
  <si>
    <t>DAVID BRENT - Non PDS patient.  Has a valid NHS number, but it's got the code "02 - Number present by not traced"</t>
  </si>
  <si>
    <t>POST cancelling a booking</t>
  </si>
  <si>
    <t>FLORA HOPLEY - Straightforward booking cancellation</t>
  </si>
  <si>
    <t>LECIA LINDSEY - Straightforward booking cancellation</t>
  </si>
  <si>
    <t>POST creating a referral (without NHS)</t>
  </si>
  <si>
    <t xml:space="preserve">HAROLD PINTER - Non PDS patient.  No NHS.  Single contact </t>
  </si>
  <si>
    <t>POST creating a referral</t>
  </si>
  <si>
    <t>PETER CHALMERS - Non PDS.  Has fictitious NHS number.  Standard stock referral</t>
  </si>
  <si>
    <t>POST creating a referral - birth gender</t>
  </si>
  <si>
    <t>Add new Prescription</t>
  </si>
  <si>
    <t>{</t>
  </si>
  <si>
    <t>resourceType*: string</t>
  </si>
  <si>
    <t>FHIR resource type.</t>
  </si>
  <si>
    <t>Default: Bundle</t>
  </si>
  <si>
    <t>id: enum</t>
  </si>
  <si>
    <t>An object ID for the Bundle.</t>
  </si>
  <si>
    <t>Allowed: 164996aa-29eb-4f14-a5ac-4b556a7baf6e</t>
  </si>
  <si>
    <t>identifier*: {</t>
  </si>
  <si>
    <t>system: enum</t>
  </si>
  <si>
    <t>codesystem URL for identifiers</t>
  </si>
  <si>
    <t>Allowed: https://tools.ietf.org/html/rfc4122</t>
  </si>
  <si>
    <t>value: string</t>
  </si>
  <si>
    <t>The X-Request ID for the message.</t>
  </si>
  <si>
    <t>type*: enum</t>
  </si>
  <si>
    <t>The reason why a series of resources and objects are grouped together.</t>
  </si>
  <si>
    <t>Allowed: message</t>
  </si>
  <si>
    <t>entry*: [{</t>
  </si>
  <si>
    <t>A collection of resources contained within the Bundle.</t>
  </si>
  <si>
    <t>fullUrl: string</t>
  </si>
  <si>
    <t>object URL for the resource</t>
  </si>
  <si>
    <t>resource: {</t>
  </si>
  <si>
    <t>A MedicationRequest object is required. An EPS prescription must contain at least one and up to four MedicationRequest objects. This is equivalent to an item on a prescription.</t>
  </si>
  <si>
    <t>Default: MessageHeader</t>
  </si>
  <si>
    <t>extension: [{</t>
  </si>
  <si>
    <t>url: enum</t>
  </si>
  <si>
    <t>URL of the extension definition.</t>
  </si>
  <si>
    <t>Allowed: https://fhir.nhs.uk/StructureDefinition/Extension-DM-ControlledDrug</t>
  </si>
  <si>
    <t>FHIR extension array.</t>
  </si>
  <si>
    <t>object containing the quantity in words</t>
  </si>
  <si>
    <t>URL for the controlled drug quantity</t>
  </si>
  <si>
    <t>Allowed: quantityWords</t>
  </si>
  <si>
    <t>valueString: string</t>
  </si>
  <si>
    <t>quantity expressed in words</t>
  </si>
  <si>
    <t>}</t>
  </si>
  <si>
    <t>object containing the schedule of the controlled drug</t>
  </si>
  <si>
    <t>URL for the controlled drug schedule</t>
  </si>
  <si>
    <t>Allowed: schedule</t>
  </si>
  <si>
    <t>valueCoding: {</t>
  </si>
  <si>
    <t>codesystem to identify the controlled drug schedule</t>
  </si>
  <si>
    <r>
      <rPr>
        <sz val="8"/>
        <rFont val="Courier New"/>
      </rPr>
      <t xml:space="preserve">Allowed: </t>
    </r>
    <r>
      <rPr>
        <u/>
        <sz val="8"/>
        <color rgb="FF1155CC"/>
        <rFont val="Courier New"/>
      </rPr>
      <t>https://fhir.nhs.uk/CodeSystem/medicationrequest-controlled-drug</t>
    </r>
  </si>
  <si>
    <t>code: enum</t>
  </si>
  <si>
    <t>a code to identify the controlled drug schedule</t>
  </si>
  <si>
    <t>Allowed: CD1┃CD2┃CD3┃CD4┃CD5</t>
  </si>
  <si>
    <t>}]</t>
  </si>
  <si>
    <t>//START OF 2</t>
  </si>
  <si>
    <r>
      <rPr>
        <sz val="8"/>
        <rFont val="Courier New"/>
      </rPr>
      <t xml:space="preserve">Allowed: </t>
    </r>
    <r>
      <rPr>
        <u/>
        <sz val="8"/>
        <color rgb="FF1155CC"/>
        <rFont val="Courier New"/>
      </rPr>
      <t>https://fhir.nhs.uk/StructureDefinition/Extension-DM-ResponsiblePractitioner</t>
    </r>
    <r>
      <rPr>
        <sz val="8"/>
        <rFont val="Courier New"/>
      </rPr>
      <t xml:space="preserve"> </t>
    </r>
  </si>
  <si>
    <t>valueReference: {</t>
  </si>
  <si>
    <t>reference: string</t>
  </si>
  <si>
    <t>A reference to a PractitionerRole resource within the Bundle.</t>
  </si>
  <si>
    <t>display: string</t>
  </si>
  <si>
    <t>The name of the responsible party.</t>
  </si>
  <si>
    <r>
      <rPr>
        <sz val="8"/>
        <rFont val="Courier New"/>
      </rPr>
      <t xml:space="preserve">Allowed: </t>
    </r>
    <r>
      <rPr>
        <u/>
        <sz val="8"/>
        <color rgb="FF1155CC"/>
        <rFont val="Courier New"/>
      </rPr>
      <t>https://fhir.nhs.uk/StructureDefinition/Extension-EPS-DispensingInformation</t>
    </r>
  </si>
  <si>
    <t>Allowed: dispenseStatus</t>
  </si>
  <si>
    <t>Allowed: https://fhir.nhs.uk/CodeSystem/medicationdispense-type</t>
  </si>
  <si>
    <t>code: date</t>
  </si>
  <si>
    <t>Only for eRD prescriptions. The date the prescription was previously released from Spine.</t>
  </si>
  <si>
    <t>Allowed: dateLastDispensed</t>
  </si>
  <si>
    <t>valueDate: date-time</t>
  </si>
  <si>
    <r>
      <rPr>
        <sz val="8"/>
        <rFont val="Courier New"/>
      </rPr>
      <t xml:space="preserve">Allowed: </t>
    </r>
    <r>
      <rPr>
        <u/>
        <sz val="8"/>
        <color rgb="FF1155CC"/>
        <rFont val="Courier New"/>
      </rPr>
      <t>https://fhir.hl7.org.uk/StructureDefinition/Extension-UKCore-MedicationRepeatInformation</t>
    </r>
    <r>
      <rPr>
        <sz val="8"/>
        <rFont val="Courier New"/>
      </rPr>
      <t xml:space="preserve"> </t>
    </r>
  </si>
  <si>
    <t>The review date of the prescription. This is a required field for repeat and eRD prescriptions, and captures the date at which the prescriber must review the repeat medication that a patient is on.</t>
  </si>
  <si>
    <t>Allowed: authorisationExpiryDate</t>
  </si>
  <si>
    <t>valueDateTime: string</t>
  </si>
  <si>
    <t>A date value</t>
  </si>
  <si>
    <t>The prescription type, as defined by the BSA, which helps identify the prescribing setting in which a prescription is created to enable reimbursement.
For the full list of prescription types, and what they mean, please refer to the following guidance from the BSA.</t>
  </si>
  <si>
    <r>
      <rPr>
        <sz val="8"/>
        <rFont val="Courier New"/>
      </rPr>
      <t xml:space="preserve">Allowed: </t>
    </r>
    <r>
      <rPr>
        <u/>
        <sz val="8"/>
        <color rgb="FF1155CC"/>
        <rFont val="Courier New"/>
      </rPr>
      <t>https://fhir.nhs.uk/StructureDefinition/Extension-DM-PrescriptionType</t>
    </r>
    <r>
      <rPr>
        <sz val="8"/>
        <rFont val="Courier New"/>
      </rPr>
      <t xml:space="preserve"> </t>
    </r>
  </si>
  <si>
    <t>The prescription type, as defined by the BSA, which helps identify the prescribing setting in which a prescription is created to enable reimbursement.</t>
  </si>
  <si>
    <t>codesystem URL for the prescription type</t>
  </si>
  <si>
    <r>
      <rPr>
        <sz val="8"/>
        <rFont val="Courier New"/>
      </rPr>
      <t xml:space="preserve">Allowed: </t>
    </r>
    <r>
      <rPr>
        <u/>
        <sz val="8"/>
        <color rgb="FF1155CC"/>
        <rFont val="Courier New"/>
      </rPr>
      <t>https://fhir.nhs.uk/CodeSystem/prescription-type</t>
    </r>
  </si>
  <si>
    <t>code: string</t>
  </si>
  <si>
    <t>The prescription type code</t>
  </si>
  <si>
    <t>The display that accompanies the prescription type code</t>
  </si>
  <si>
    <t>///THIS IS COMMON - THIS IS THE START OF "6"</t>
  </si>
  <si>
    <r>
      <rPr>
        <sz val="8"/>
        <rFont val="Courier New"/>
      </rPr>
      <t xml:space="preserve">Allowed: </t>
    </r>
    <r>
      <rPr>
        <u/>
        <sz val="8"/>
        <color rgb="FF1155CC"/>
        <rFont val="Courier New"/>
      </rPr>
      <t>https://fhir.nhs.uk/StructureDefinition/Extension-DM-PrescriptionEndorsement</t>
    </r>
  </si>
  <si>
    <t>valueCodeableConcept: {</t>
  </si>
  <si>
    <t>coding: [{</t>
  </si>
  <si>
    <t>system*: enum</t>
  </si>
  <si>
    <t>Codesystem URL for endorsements.</t>
  </si>
  <si>
    <r>
      <rPr>
        <sz val="8"/>
        <rFont val="Courier New"/>
      </rPr>
      <t xml:space="preserve">Allowed: </t>
    </r>
    <r>
      <rPr>
        <u/>
        <sz val="8"/>
        <color rgb="FF1155CC"/>
        <rFont val="Courier New"/>
      </rPr>
      <t>https://fhir.nhs.uk/CodeSystem/medicationrequest-endorsement</t>
    </r>
  </si>
  <si>
    <t>code*: enum</t>
  </si>
  <si>
    <t>The endorsement code.</t>
  </si>
  <si>
    <t>Allowed: ACBS┃AF┃CC┃FS┃SLS</t>
  </si>
  <si>
    <t>identifier*: [{</t>
  </si>
  <si>
    <t>The unique ID for each line item on a prescription.</t>
  </si>
  <si>
    <t>Codesystem URL for the line item ID.</t>
  </si>
  <si>
    <r>
      <rPr>
        <sz val="8"/>
        <rFont val="Courier New"/>
      </rPr>
      <t xml:space="preserve">Allowed: </t>
    </r>
    <r>
      <rPr>
        <u/>
        <sz val="8"/>
        <color rgb="FF1155CC"/>
        <rFont val="Courier New"/>
      </rPr>
      <t>https://fhir.nhs.uk/Id/prescription-order-item-number</t>
    </r>
    <r>
      <rPr>
        <sz val="8"/>
        <rFont val="Courier New"/>
      </rPr>
      <t xml:space="preserve"> </t>
    </r>
  </si>
  <si>
    <t>value*: string</t>
  </si>
  <si>
    <t>The unique ID for a given line item.</t>
  </si>
  <si>
    <t>status*: enum</t>
  </si>
  <si>
    <t>The status of a MedicationRequest object. This must be consistent across all MedicationRequests in a Bundle.</t>
  </si>
  <si>
    <t>Allowed: cancelled</t>
  </si>
  <si>
    <t>intent*: string</t>
  </si>
  <si>
    <t>The intent of a MedicationRequest object. This must be consistent across all MedicationRequests in a Bundle.</t>
  </si>
  <si>
    <t>Default: order</t>
  </si>
  <si>
    <t>category*: [{</t>
  </si>
  <si>
    <t>Identifies the context in which a prescription is created. For example, a prescription created within primary care will be categorised as "community." Similarly, a prescription created within secondary care will be categorised as "inpatient" or "outpatient."</t>
  </si>
  <si>
    <t>Codesystem URL for the prescription category.</t>
  </si>
  <si>
    <r>
      <rPr>
        <sz val="8"/>
        <rFont val="Courier New"/>
      </rPr>
      <t xml:space="preserve">Allowed: </t>
    </r>
    <r>
      <rPr>
        <u/>
        <sz val="8"/>
        <color rgb="FF1155CC"/>
        <rFont val="Courier New"/>
      </rPr>
      <t>http://terminology.hl7.org/CodeSystem/medicationrequest-category</t>
    </r>
  </si>
  <si>
    <t>Code for the prescription category.</t>
  </si>
  <si>
    <t>Allowed: inpatient┃outpatient┃community┃discharge</t>
  </si>
  <si>
    <t>display: enum</t>
  </si>
  <si>
    <t>Display value for the prescription category.</t>
  </si>
  <si>
    <t>Allowed: Inpatient┃Outpatient┃Community┃Discharge</t>
  </si>
  <si>
    <t>medicationCodeableConcept*: {</t>
  </si>
  <si>
    <t>The medication that is being prescribed. This must be represented using a VMP or AMP concept from the dm+d.</t>
  </si>
  <si>
    <t>SNOMED codesystem URL.</t>
  </si>
  <si>
    <r>
      <rPr>
        <sz val="8"/>
        <rFont val="Courier New"/>
      </rPr>
      <t xml:space="preserve">Allowed: </t>
    </r>
    <r>
      <rPr>
        <u/>
        <sz val="8"/>
        <color rgb="FF1155CC"/>
        <rFont val="Courier New"/>
      </rPr>
      <t>http://snomed.info/sct</t>
    </r>
  </si>
  <si>
    <t>code*: string</t>
  </si>
  <si>
    <t>SNOMED code for the medication, as defined in the dm+d.</t>
  </si>
  <si>
    <t>Human readable name for the medication.</t>
  </si>
  <si>
    <t>subject*: {</t>
  </si>
  <si>
    <t>Reference object to identify the patient a prescription is for. A Patient resource within the Bundle must be referenced.</t>
  </si>
  <si>
    <t>A reference to a Patient resource within the Bundle.</t>
  </si>
  <si>
    <t>authoredOn*: string</t>
  </si>
  <si>
    <t>The time at which the prescription was authored and signed.</t>
  </si>
  <si>
    <t>requester*: {</t>
  </si>
  <si>
    <t>Reference object to identify the author of a cancel request. A PractitionerRole resource within the Bundle must be referenced.</t>
  </si>
  <si>
    <t>groupIdentifier*: {</t>
  </si>
  <si>
    <t>An object containing the short-form and long-form Prescription ID.</t>
  </si>
  <si>
    <t>Codesystem URL for the short-form Prescription ID.</t>
  </si>
  <si>
    <r>
      <rPr>
        <sz val="8"/>
        <rFont val="Courier New"/>
      </rPr>
      <t xml:space="preserve">Allowed: </t>
    </r>
    <r>
      <rPr>
        <u/>
        <sz val="8"/>
        <color rgb="FF1155CC"/>
        <rFont val="Courier New"/>
      </rPr>
      <t>https://fhir.nhs.uk/Id/prescription-order-number</t>
    </r>
    <r>
      <rPr>
        <sz val="8"/>
        <rFont val="Courier New"/>
      </rPr>
      <t xml:space="preserve"> </t>
    </r>
  </si>
  <si>
    <t>The short-form Prescription ID.</t>
  </si>
  <si>
    <t>FHIR extension array containing the long-form Prescription ID</t>
  </si>
  <si>
    <r>
      <rPr>
        <sz val="8"/>
        <rFont val="Courier New"/>
      </rPr>
      <t xml:space="preserve">Allowed: </t>
    </r>
    <r>
      <rPr>
        <u/>
        <sz val="8"/>
        <color rgb="FF1155CC"/>
        <rFont val="Courier New"/>
      </rPr>
      <t>https://fhir.nhs.uk/StructureDefinition/Extension-DM-PrescriptionId</t>
    </r>
    <r>
      <rPr>
        <sz val="8"/>
        <rFont val="Courier New"/>
      </rPr>
      <t xml:space="preserve"> </t>
    </r>
  </si>
  <si>
    <t>valueIdentifier*: {</t>
  </si>
  <si>
    <t>The long-form identifier of the prescription.</t>
  </si>
  <si>
    <t>Codesystem URL for the long-form Prescription ID.</t>
  </si>
  <si>
    <r>
      <rPr>
        <sz val="8"/>
        <rFont val="Courier New"/>
      </rPr>
      <t xml:space="preserve">Allowed: </t>
    </r>
    <r>
      <rPr>
        <u/>
        <sz val="8"/>
        <color rgb="FF1155CC"/>
        <rFont val="Courier New"/>
      </rPr>
      <t>https://fhir.nhs.uk/Id/prescription</t>
    </r>
    <r>
      <rPr>
        <sz val="8"/>
        <rFont val="Courier New"/>
      </rPr>
      <t xml:space="preserve"> </t>
    </r>
  </si>
  <si>
    <t>The long-form prescription ID.</t>
  </si>
  <si>
    <t>courseOfTherapyType*: {</t>
  </si>
  <si>
    <t>The treatment type of the prescription, i.e. whether it is an acute, repeat, or eRD prescription.</t>
  </si>
  <si>
    <t>Codesystem URL for the prescription treatment type.</t>
  </si>
  <si>
    <r>
      <rPr>
        <sz val="8"/>
        <rFont val="Courier New"/>
      </rPr>
      <t xml:space="preserve">Allowed: </t>
    </r>
    <r>
      <rPr>
        <u/>
        <sz val="8"/>
        <color rgb="FF1155CC"/>
        <rFont val="Courier New"/>
      </rPr>
      <t>http://terminology.hl7.org/CodeSystem/medicationrequest-course-of-therapy</t>
    </r>
    <r>
      <rPr>
        <sz val="8"/>
        <rFont val="Courier New"/>
      </rPr>
      <t xml:space="preserve"> </t>
    </r>
  </si>
  <si>
    <t>Code identifying the prescription treatment type.
acute: acute prescriptions
continuous: repeat prescriptions
continuous-repeat-dispensing: eRD prescriptions</t>
  </si>
  <si>
    <t>Allowed: acute┃continuous┃continuous-repeat-dispensing</t>
  </si>
  <si>
    <t>Display value for the prescription treatment type.</t>
  </si>
  <si>
    <t>Allowed: Short course (acute) therapy┃Continuous long term therapy┃Continuous long term (repeat dispensing)</t>
  </si>
  <si>
    <t>]</t>
  </si>
  <si>
    <t>dosageInstruction*: [{</t>
  </si>
  <si>
    <t>The dosage instructions for a prescription. These must be expressed as both structured dose and text.</t>
  </si>
  <si>
    <t>sequence: integer</t>
  </si>
  <si>
    <t>The order of the dosage instructions. Indicates the order in which the dosage instructions should be applied or interpreted.</t>
  </si>
  <si>
    <t>text: string</t>
  </si>
  <si>
    <t>The dosage instructions expressed as text. Multiple dose text strings will be concatenated into a single string within the final prescription, in the sequence that they were provided. Instructions with the same sequence number will be separated by ", and" Instructions with different sequence numbers will be separated by ", then" Please do not use full stops or commas at the end of any instructions provided.</t>
  </si>
  <si>
    <t>additionalInstruction: [{</t>
  </si>
  <si>
    <t>Supplemental instruction or warnings to the patient. E.g. "with meals", "may cause drowsiness".</t>
  </si>
  <si>
    <t>SNOMED codesystem URL</t>
  </si>
  <si>
    <r>
      <rPr>
        <sz val="8"/>
        <rFont val="Courier New"/>
      </rPr>
      <t xml:space="preserve">Allowed: </t>
    </r>
    <r>
      <rPr>
        <u/>
        <sz val="8"/>
        <color rgb="FF1155CC"/>
        <rFont val="Courier New"/>
      </rPr>
      <t>http://snomed.info/sct</t>
    </r>
    <r>
      <rPr>
        <sz val="8"/>
        <rFont val="Courier New"/>
      </rPr>
      <t xml:space="preserve"> </t>
    </r>
  </si>
  <si>
    <t>SNOMED code for additional dosage instructions.</t>
  </si>
  <si>
    <t>Additional dosage instructions (qualifier value).</t>
  </si>
  <si>
    <t>patientInstruction: string</t>
  </si>
  <si>
    <t>Patient or consumer oriented instructions.</t>
  </si>
  <si>
    <t>timing: {</t>
  </si>
  <si>
    <t>A structured expression of dose frequency.</t>
  </si>
  <si>
    <t>repeat: {</t>
  </si>
  <si>
    <t>The frequency and period over which the medication should be consumed.</t>
  </si>
  <si>
    <t>boundsDuration: {</t>
  </si>
  <si>
    <t>The bounds duration at which the medication should be consumed. E.g. "4" for 4 days.</t>
  </si>
  <si>
    <t>value: integer</t>
  </si>
  <si>
    <t>unit: string</t>
  </si>
  <si>
    <t>system: string</t>
  </si>
  <si>
    <t>frequency: integer</t>
  </si>
  <si>
    <t>The frequency at which the medication should be consumed within a given period. E.g. "4" for 4 times over a given period.</t>
  </si>
  <si>
    <t>period: integer</t>
  </si>
  <si>
    <t>The period over which the frequency applies. e.g. "1" for 1 day.</t>
  </si>
  <si>
    <t>periodUnit: string</t>
  </si>
  <si>
    <t>The fundamental unit of the period, defined in UCUM.</t>
  </si>
  <si>
    <t>asNeededBoolean: boolean</t>
  </si>
  <si>
    <t>The asNeeded structure can be used to define a simple "as required" instructions. The absence of asNeededBoolean is equivalent to where asNeededBoolean has a value of false.</t>
  </si>
  <si>
    <t>Allowed: true</t>
  </si>
  <si>
    <t>site: {</t>
  </si>
  <si>
    <t>Body site to administer to.</t>
  </si>
  <si>
    <r>
      <rPr>
        <sz val="8"/>
        <rFont val="Courier New"/>
      </rPr>
      <t xml:space="preserve">Allowed: </t>
    </r>
    <r>
      <rPr>
        <u/>
        <sz val="8"/>
        <color rgb="FF1155CC"/>
        <rFont val="Courier New"/>
      </rPr>
      <t>http://snomed.info/sct</t>
    </r>
    <r>
      <rPr>
        <sz val="8"/>
        <rFont val="Courier New"/>
      </rPr>
      <t xml:space="preserve"> </t>
    </r>
  </si>
  <si>
    <t>Valid SNOMED code identifying where the medication first enters the body.</t>
  </si>
  <si>
    <t>route: {</t>
  </si>
  <si>
    <r>
      <rPr>
        <sz val="8"/>
        <rFont val="Courier New"/>
      </rPr>
      <t xml:space="preserve">Allowed: </t>
    </r>
    <r>
      <rPr>
        <u/>
        <sz val="8"/>
        <color rgb="FF1155CC"/>
        <rFont val="Courier New"/>
      </rPr>
      <t>http://snomed.info/sct</t>
    </r>
    <r>
      <rPr>
        <sz val="8"/>
        <rFont val="Courier New"/>
      </rPr>
      <t xml:space="preserve"> </t>
    </r>
  </si>
  <si>
    <t>Valid SNOMED code identifying how the medication should be consumed.</t>
  </si>
  <si>
    <t>Human readable name for the method of consumption.</t>
  </si>
  <si>
    <t>method: {</t>
  </si>
  <si>
    <r>
      <rPr>
        <sz val="8"/>
        <rFont val="Courier New"/>
      </rPr>
      <t xml:space="preserve">Allowed: </t>
    </r>
    <r>
      <rPr>
        <u/>
        <sz val="8"/>
        <color rgb="FF1155CC"/>
        <rFont val="Courier New"/>
      </rPr>
      <t>http://snomed.info/sct</t>
    </r>
  </si>
  <si>
    <t>Valid SNOMED code identifying the technique for administering medication.</t>
  </si>
  <si>
    <t>doseAndRate: [{</t>
  </si>
  <si>
    <t>doseQuantity: {</t>
  </si>
  <si>
    <t>maxDosePerPeriod: {</t>
  </si>
  <si>
    <t>Upper limit on medication per unit of time.</t>
  </si>
  <si>
    <t>numerator: {</t>
  </si>
  <si>
    <t>demominator: {</t>
  </si>
  <si>
    <t>maxDosePerAdministration: {</t>
  </si>
  <si>
    <t>Used to define a maximum dose for a single administration.</t>
  </si>
  <si>
    <t>maxDosePerLifetime: {</t>
  </si>
  <si>
    <t>Used to define the maximum cumulative dose over the lifetime of a patient.</t>
  </si>
  <si>
    <t>note: [{</t>
  </si>
  <si>
    <t>Specific additional instructions for a prescription line item, e.g. a change in dosage.</t>
  </si>
  <si>
    <t>Specific additional instructions for a prescription line item.</t>
  </si>
  <si>
    <t>dispenseRequest*: {</t>
  </si>
  <si>
    <t>A FHIR object containing information relevant to how the prescription should be dispensed. These values should be consistent across all MedicationRequests in a Bundle.</t>
  </si>
  <si>
    <t>FHIR extension array. [ The type of nominated dispensing site a prescription is going to. ]</t>
  </si>
  <si>
    <t>Extension URL for DM-PerformerSiteType.</t>
  </si>
  <si>
    <r>
      <rPr>
        <sz val="8"/>
        <rFont val="Courier New"/>
      </rPr>
      <t xml:space="preserve">Allowed: </t>
    </r>
    <r>
      <rPr>
        <u/>
        <sz val="8"/>
        <color rgb="FF1155CC"/>
        <rFont val="Courier New"/>
      </rPr>
      <t>https://fhir.nhs.uk/StructureDefinition/Extension-DM-PerformerSiteType</t>
    </r>
  </si>
  <si>
    <t>Codesystem URL to hold the nomination.</t>
  </si>
  <si>
    <r>
      <rPr>
        <sz val="8"/>
        <rFont val="Courier New"/>
      </rPr>
      <t xml:space="preserve">Allowed: </t>
    </r>
    <r>
      <rPr>
        <u/>
        <sz val="8"/>
        <color rgb="FF1155CC"/>
        <rFont val="Courier New"/>
      </rPr>
      <t>https://fhir.nhs.uk/CodeSystem/dispensing-site-preference</t>
    </r>
    <r>
      <rPr>
        <sz val="8"/>
        <rFont val="Courier New"/>
      </rPr>
      <t xml:space="preserve"> </t>
    </r>
  </si>
  <si>
    <t>The nomination applied to a prescription. This could either be a nomination for:
A dispensing contractor (P1)
A dispensing appliance contractor (P2)
A dispensing doctor (P3) Or a non-nominated prescription (0004).</t>
  </si>
  <si>
    <t>Allowed: P1┃P2┃P3┃0004</t>
  </si>
  <si>
    <t>numberOfRepeatsAllowed: integer</t>
  </si>
  <si>
    <t>For eRD and repeat prescriptions only. The number of repeats a line item is issued for, in addition to the existing issue. E.g. if a prescription is valid for 6 issues in total, the value entered must be 5. For repeat prescriptions, this value must always default to 0.</t>
  </si>
  <si>
    <t>validityPeriod: {</t>
  </si>
  <si>
    <t>The start and end dates of a prescription.</t>
  </si>
  <si>
    <t>start: string</t>
  </si>
  <si>
    <t>The start date of a prescription.</t>
  </si>
  <si>
    <t>end: string</t>
  </si>
  <si>
    <t>For eRD prescriptions only. The end date of a prescription.</t>
  </si>
  <si>
    <t>expectedSupplyDuration: {</t>
  </si>
  <si>
    <t>For eRD prescriptions only. The duration of each issue within an eRD prescription. This must be expressed in days.</t>
  </si>
  <si>
    <t>The number of days each issue in an eRD prescription is valid for.</t>
  </si>
  <si>
    <t>The UCUM unit of measure display for days.</t>
  </si>
  <si>
    <t>Default: day</t>
  </si>
  <si>
    <t>Codesystem URL for UCUM.</t>
  </si>
  <si>
    <r>
      <rPr>
        <sz val="8"/>
        <rFont val="Courier New"/>
      </rPr>
      <t xml:space="preserve">Allowed: </t>
    </r>
    <r>
      <rPr>
        <u/>
        <sz val="8"/>
        <color rgb="FF1155CC"/>
        <rFont val="Courier New"/>
      </rPr>
      <t>http://unitsofmeasure.org</t>
    </r>
  </si>
  <si>
    <t>The UCUM unit of measure code for days.</t>
  </si>
  <si>
    <t>Default: d</t>
  </si>
  <si>
    <t>performer: {</t>
  </si>
  <si>
    <t>For nominated prescriptions only, including one-off nominations. The ODS code of the nominated dispenser.</t>
  </si>
  <si>
    <t>identifier: {</t>
  </si>
  <si>
    <t>Codesystem URL for the ODS code.</t>
  </si>
  <si>
    <r>
      <rPr>
        <sz val="8"/>
        <rFont val="Courier New"/>
      </rPr>
      <t xml:space="preserve">Allowed: </t>
    </r>
    <r>
      <rPr>
        <u/>
        <sz val="8"/>
        <color rgb="FF1155CC"/>
        <rFont val="Courier New"/>
      </rPr>
      <t>https://fhir.nhs.uk/Id/ods-organization-code</t>
    </r>
  </si>
  <si>
    <r>
      <rPr>
        <sz val="8"/>
        <rFont val="Courier New"/>
      </rPr>
      <t xml:space="preserve">Allowed: </t>
    </r>
    <r>
      <rPr>
        <u/>
        <sz val="8"/>
        <color rgb="FF1155CC"/>
        <rFont val="Courier New"/>
      </rPr>
      <t>https://fhir.nhs.uk/Id/ods-organization-code</t>
    </r>
  </si>
  <si>
    <t>ODS code.</t>
  </si>
  <si>
    <t>quantity: {</t>
  </si>
  <si>
    <t>The quantity of the medication being prescribed.</t>
  </si>
  <si>
    <t>The numeric value of the quantity being prescribed.</t>
  </si>
  <si>
    <t>The units in which the quantity is prescribed, defined using dm+d units of measure.</t>
  </si>
  <si>
    <r>
      <rPr>
        <sz val="8"/>
        <rFont val="Courier New"/>
      </rPr>
      <t xml:space="preserve">Allowed: </t>
    </r>
    <r>
      <rPr>
        <u/>
        <sz val="8"/>
        <color rgb="FF1155CC"/>
        <rFont val="Courier New"/>
      </rPr>
      <t>http://snomed.info/sct</t>
    </r>
  </si>
  <si>
    <t>The dm+d code associated with a given unit of measure.</t>
  </si>
  <si>
    <t>substitution*: {</t>
  </si>
  <si>
    <t>This is a boolean value that should always default to false because EPS does not support substitutions.</t>
  </si>
  <si>
    <t>allowedBoolean: boolean</t>
  </si>
  <si>
    <t>Allowed: false</t>
  </si>
  <si>
    <t>//PATIENT</t>
  </si>
  <si>
    <t>The patient the prescription is for.</t>
  </si>
  <si>
    <t>Default: Patient</t>
  </si>
  <si>
    <t>The patient's NHS number.</t>
  </si>
  <si>
    <t>FHIR codesystem URL for NHS numbers.</t>
  </si>
  <si>
    <r>
      <rPr>
        <sz val="8"/>
        <rFont val="Courier New"/>
      </rPr>
      <t xml:space="preserve">Allowed: </t>
    </r>
    <r>
      <rPr>
        <u/>
        <sz val="8"/>
        <color rgb="FF1155CC"/>
        <rFont val="Courier New"/>
      </rPr>
      <t>https://fhir.nhs.uk/Id/nhs-number</t>
    </r>
  </si>
  <si>
    <t>The patient's NHS number. The primary identifier of a patient, unique within NHS England and Wales. Always 10 digits and must be a valid NHS number.</t>
  </si>
  <si>
    <t>Pattern: ^\d{10}$</t>
  </si>
  <si>
    <t>name*: [{</t>
  </si>
  <si>
    <t xml:space="preserve">use: enum
</t>
  </si>
  <si>
    <t>How this name should be used.
usual - Known as, conventional or the one patient normally uses. A patient always has a usual name.
temp - An alias or temporary name. This may also be used for temporary names assigned at birth or in emergency situations.
nickname - A name that the patient prefers to be addressed by, but is not part of their usual name.
old - This name is no longer in use (or was never correct, but retained for records).
maiden - Name changed for Marriage. A name used prior to changing name because of marriage. This term is not gender specific. The use of this term does not imply any particular history for a person's name. The following use codes are included in the name-use value set, but should not be used and is not be returned as part of a retrieval.
official - The formal name as registered in an official (government) registry, but which name might not be commonly used. May be called "legal name".
anonymous - Anonymous assigned name, alias, or pseudonym (used to protect a person's identity for privacy reasons).</t>
  </si>
  <si>
    <t>Allowed: usual┃temp┃nickname┃old┃maiden</t>
  </si>
  <si>
    <t>family: string</t>
  </si>
  <si>
    <t>Family name (often called Surname).</t>
  </si>
  <si>
    <t>Constraints: Max 35 chars</t>
  </si>
  <si>
    <t>given: [string]</t>
  </si>
  <si>
    <t>Given names, including any middle names. Each name(s) should be a separate item in the list. The first given name may include multiple names, separated by a space. Subsequent names must be broken down into list items. For example, the input [Jane Marie Anne, Jo Adele] returns [Jane Marie Anne, Jo, Adele].</t>
  </si>
  <si>
    <t>prefix: [string]</t>
  </si>
  <si>
    <t>Name prefixes, titles, and prenominals.</t>
  </si>
  <si>
    <t>gender*: enum</t>
  </si>
  <si>
    <t xml:space="preserve">Classification of the gender of a patient. The classification is phenotypical rather than genotypical, i.e. it does not provide codes for medical or scientific purposes. It is the administrative gender that the patient wishes to be known as. In some cases, this may not be the same as the patient’s registered birth gender, or their current clinical gender.
</t>
  </si>
  <si>
    <t>Allowed: male┃female┃other┃unknown</t>
  </si>
  <si>
    <t>birthDate*: date</t>
  </si>
  <si>
    <t>The date on which the patient was born or is officially deemed to have been born.
It is a date in the format yyyy-mm-dd. Due to data quality issues on a small number of patients yyyy-mm and yyyy format may also be returned.
When a patient tagged as very restricted is retrieved, birth date is removed from the response.</t>
  </si>
  <si>
    <t>address*: [{</t>
  </si>
  <si>
    <t>The patient's address. A prescription must only contain a single name and address for the patient.</t>
  </si>
  <si>
    <t>use: enum</t>
  </si>
  <si>
    <t>Purpose of this address:
home - the home address is the patient's normal residence. Home address is also known as usual, main, registered, current or permanent address
temp - a temporary address is an address used for a set period of time, but where the patient's home, permanent address remains unchanged
billing - an address used for correspondence purposes only
work - an office address. This can be returned due to legacy data but cannot be added or replaced on update
A patient should have no more than one current temp and/or billing address. However, historically this was constrained only by the integration requirements and was not enforced so theoretically more than one can exist for a patient when retrieving. Where multiple instances already exist for the patient it is not expected that local systems should manage those, but should choose the most appropriate one to maintain (e.g. by examining period dates).
A home address is the patient's main residential address and should normally be used for all clinical and demographic purposes, including clinical and appointment correspondence. However additionally, temp and billing addresses may be provided by a patient when there is a requirement to record an alternative organisation for the purposes of unbroken care. When sending correspondence to a patient:
a present and valid billing address may take precedence over home and temp addresses. A patient should have only a single current billing address. An address is considered 'valid' according to its period start and end dates.
if no current billing address is provided, a temp address may take precedence over the home address, again if it is valid according to its period start and end dates.
if there is no valid, current billing and/or temp address, the home address must be used.</t>
  </si>
  <si>
    <t>Allowed: home┃work┃temp┃billing</t>
  </si>
  <si>
    <t>line: [string]</t>
  </si>
  <si>
    <t>All lines of the address except the postal code.
Systems must apply the following formatting convention when adding or replacing addresses lines:
line 1 - premises ID and/or house name, e.g. Flat 1 or The Old Schoolhouse
line 2 - house number, dependent thoroughfare name and descriptor (if present), thoroughfare name and descriptor, e.g. 23 Mill Lane
line 3 - dependent locality/village, locality (if present), e.g. Boxgrove
line 4 - post town, e.g. Leeds
line 5 - county (if present), e.g. West Yorkshire
If any of the lines are blank, they are not returned due to FHIR conformance constraints.</t>
  </si>
  <si>
    <t>Max Items: 5</t>
  </si>
  <si>
    <t>postalCode: string</t>
  </si>
  <si>
    <t>Postal code of the address.</t>
  </si>
  <si>
    <t>telecom*: [{</t>
  </si>
  <si>
    <t>The patient's telephone number.</t>
  </si>
  <si>
    <t>Means of communication, such as phone or email.</t>
  </si>
  <si>
    <t>Allowed: phone┃fax┃email┃other</t>
  </si>
  <si>
    <t>organisation associated with communication system.</t>
  </si>
  <si>
    <t>Allowed: home┃work┃temp┃mobile</t>
  </si>
  <si>
    <t>Phone number, email address, or other identifier for use with contact system.</t>
  </si>
  <si>
    <t>generalPractitioner*: [{</t>
  </si>
  <si>
    <t>General practice (not practitioner) with which the patient is or was registered.</t>
  </si>
  <si>
    <r>
      <rPr>
        <sz val="8"/>
        <rFont val="Courier New"/>
      </rPr>
      <t xml:space="preserve">Allowed: </t>
    </r>
    <r>
      <rPr>
        <u/>
        <sz val="8"/>
        <color rgb="FF1155CC"/>
        <rFont val="Courier New"/>
      </rPr>
      <t>https://fhir.nhs.uk/Id/ods-organization-code</t>
    </r>
  </si>
  <si>
    <t>Organization</t>
  </si>
  <si>
    <t>Details of prescribing organisation (primary care) or the managing organisation (secondary care) for a prescription. Details of the prescribing organisation are planned to be deprecated within cancel responses.
Where a cancel response contains details of the dispenser, the details of the dispensing organisation will also be contained within an Organisation resource.</t>
  </si>
  <si>
    <t>resourceType: string</t>
  </si>
  <si>
    <t>Default: Organization</t>
  </si>
  <si>
    <t>identifier: [{</t>
  </si>
  <si>
    <t>An array containing the ODS code of the organisation</t>
  </si>
  <si>
    <r>
      <rPr>
        <sz val="8"/>
        <rFont val="Courier New"/>
      </rPr>
      <t xml:space="preserve">Allowed: </t>
    </r>
    <r>
      <rPr>
        <u/>
        <sz val="8"/>
        <color rgb="FF1155CC"/>
        <rFont val="Courier New"/>
      </rPr>
      <t>https://fhir.nhs.uk/Id/ods-organization-code</t>
    </r>
  </si>
  <si>
    <t>name: string</t>
  </si>
  <si>
    <t>Organisation name.</t>
  </si>
  <si>
    <t>address: [{</t>
  </si>
  <si>
    <t>Organisation address.</t>
  </si>
  <si>
    <t>The purpose of the address.</t>
  </si>
  <si>
    <t>Default: work Allowed: home┃work┃billing┃temp</t>
  </si>
  <si>
    <t>type: enum</t>
  </si>
  <si>
    <t>The type of address.</t>
  </si>
  <si>
    <t>Default: both Allowed: postal┃physical┃both</t>
  </si>
  <si>
    <t>All lines of the address except the city, district, and postal code.
Systems must apply the following formatting convention when adding or replacing addresses lines:
line 1 - premises ID and/or house name, e.g. Flat 1 or The Old Schoolhouse
line 2 - house number, dependent thoroughfare name and descriptor (if present), thoroughfare name and descriptor, e.g. 23 Mill Lane
line 3 - dependent locality/village, locality (if present), e.g. Boxgrove
If any of the lines are blank, they are not returned due to FHIR conformance constraints.</t>
  </si>
  <si>
    <t>city: string</t>
  </si>
  <si>
    <t>The city of the address.</t>
  </si>
  <si>
    <t>district: string</t>
  </si>
  <si>
    <t>The district of the address.</t>
  </si>
  <si>
    <t>The postal code of the address.</t>
  </si>
  <si>
    <t>telecom: [{</t>
  </si>
  <si>
    <t>The telephone number associated with the organisation.</t>
  </si>
  <si>
    <t>Default: phone Allowed: phone┃fax┃email┃other</t>
  </si>
  <si>
    <t>organisation associated with the contact details provided.</t>
  </si>
  <si>
    <t>Default: work Allowed: home┃work┃temp┃mobile</t>
  </si>
  <si>
    <t>partOf: {</t>
  </si>
  <si>
    <t>For a primary care prescription, the managing organisation that the prescribing organisation is a part of.</t>
  </si>
  <si>
    <r>
      <rPr>
        <sz val="8"/>
        <rFont val="Courier New"/>
      </rPr>
      <t xml:space="preserve">Allowed: </t>
    </r>
    <r>
      <rPr>
        <u/>
        <sz val="8"/>
        <color rgb="FF1155CC"/>
        <rFont val="Courier New"/>
      </rPr>
      <t>https://fhir.nhs.uk/Id/ods-organization-code</t>
    </r>
  </si>
  <si>
    <t xml:space="preserve">
the name of the managing organisation</t>
  </si>
  <si>
    <t>CommunicationRequest</t>
  </si>
  <si>
    <t>Additional instructions intended for the patient. For repeat prescriptions, a reference must also be provided to the list of repeat medications that the patient is on.</t>
  </si>
  <si>
    <t>Default: CommunicationRequest</t>
  </si>
  <si>
    <t>status: enum</t>
  </si>
  <si>
    <t>The status of the CommunicationRequest. Must always default to "active".</t>
  </si>
  <si>
    <t>Allowed: active</t>
  </si>
  <si>
    <t>subject: {</t>
  </si>
  <si>
    <t>A reference object to identify the patient the prescription is for.</t>
  </si>
  <si>
    <t>payload*: [{</t>
  </si>
  <si>
    <t>Additional instructions provided as part of this prescription.</t>
  </si>
  <si>
    <t>contentString: string</t>
  </si>
  <si>
    <t>Additional instructions intended for the patient.</t>
  </si>
  <si>
    <t>contentReference: {</t>
  </si>
  <si>
    <t>A reference to the list of repeat medications that the patient is on.</t>
  </si>
  <si>
    <t>A reference to a List resource within the Bundle</t>
  </si>
  <si>
    <t>requester: {</t>
  </si>
  <si>
    <t>Details of the prescribing organisation originating the instructions.</t>
  </si>
  <si>
    <t>recipient: [{</t>
  </si>
  <si>
    <t>Details of the patient receiving the instructions.</t>
  </si>
  <si>
    <r>
      <rPr>
        <sz val="8"/>
        <rFont val="Courier New"/>
      </rPr>
      <t xml:space="preserve">Allowed: </t>
    </r>
    <r>
      <rPr>
        <u/>
        <sz val="8"/>
        <color rgb="FF1155CC"/>
        <rFont val="Courier New"/>
      </rPr>
      <t>https://fhir.nhs.uk/Id/nhs-number</t>
    </r>
  </si>
  <si>
    <t>List</t>
  </si>
  <si>
    <t>For repeat and eRD prescriptions only. A structured list of repeat medication items prescribed to the patient.</t>
  </si>
  <si>
    <t>Default: List</t>
  </si>
  <si>
    <t>The status of the List object. Must always default to "current".</t>
  </si>
  <si>
    <t>Allowed: current</t>
  </si>
  <si>
    <t>mode: enum</t>
  </si>
  <si>
    <t>The type of List being represented. Must always default to "snapshot".</t>
  </si>
  <si>
    <t>Allowed: snapshot</t>
  </si>
  <si>
    <t>code: {</t>
  </si>
  <si>
    <t>A description of what the list represents.</t>
  </si>
  <si>
    <t>text: enum</t>
  </si>
  <si>
    <t>A description of what the list represents. Must always default to "Repeat Medications."</t>
  </si>
  <si>
    <t>Allowed: Repeat Medications</t>
  </si>
  <si>
    <t>entry: [{</t>
  </si>
  <si>
    <t>list of repeat medication items prescribed to the patient. [ FHIR wrapper object to contain the medication item. ]</t>
  </si>
  <si>
    <t>item: {</t>
  </si>
  <si>
    <t>A medication item, represented using its dm+d name and description.</t>
  </si>
  <si>
    <t>PractitionerRole</t>
  </si>
  <si>
    <t>Role-specific details of the author or responsible party of a cancel request.
Where a cancel response contains details of the dispenser, role-specific details of the dispenser will also be contained within a PractitionerRole resourc</t>
  </si>
  <si>
    <t>FHIR resource type</t>
  </si>
  <si>
    <t>Default: PractitionerRole</t>
  </si>
  <si>
    <t>An array containing role-specific identifiers for the prescriber or dispenser.</t>
  </si>
  <si>
    <t>SDS Role Profile ID: {</t>
  </si>
  <si>
    <t>The prescriber or dispenser's SDS Role Profile ID.</t>
  </si>
  <si>
    <t>Codesystem URL for the SDS role profile ID.</t>
  </si>
  <si>
    <r>
      <rPr>
        <sz val="8"/>
        <rFont val="Courier New"/>
      </rPr>
      <t xml:space="preserve">Allowed: </t>
    </r>
    <r>
      <rPr>
        <u/>
        <sz val="8"/>
        <color rgb="FF1155CC"/>
        <rFont val="Courier New"/>
      </rPr>
      <t>https://fhir.nhs.uk/Id/sds-role-profile-id</t>
    </r>
  </si>
  <si>
    <t>SDS role profile ID.</t>
  </si>
  <si>
    <t>practitioner*: {</t>
  </si>
  <si>
    <t>A reference to a Practitioner resource for a given prescriber or dispenser.</t>
  </si>
  <si>
    <t>A FHIR reference object</t>
  </si>
  <si>
    <t>organization*: {</t>
  </si>
  <si>
    <t>code*: [{</t>
  </si>
  <si>
    <t>Codesystem URL for the job role code.</t>
  </si>
  <si>
    <r>
      <rPr>
        <sz val="8"/>
        <rFont val="Courier New"/>
      </rPr>
      <t xml:space="preserve">Allowed: </t>
    </r>
    <r>
      <rPr>
        <u/>
        <sz val="8"/>
        <color rgb="FF1155CC"/>
        <rFont val="Courier New"/>
      </rPr>
      <t>https://fhir.nhs.uk/CodeSystem/NHSDigital-SDS-JobRoleCode</t>
    </r>
  </si>
  <si>
    <t>The SDS job role code.</t>
  </si>
  <si>
    <t>Display text for the SDS job role code.</t>
  </si>
  <si>
    <t>the telephone number of a given prescriber or dispenser.</t>
  </si>
  <si>
    <t>Practitioner</t>
  </si>
  <si>
    <t>Details of the author or responsible party of a cancel request.</t>
  </si>
  <si>
    <t>Default: Practitioner</t>
  </si>
  <si>
    <t>An array containing the prescriber's professional codes and identifiers. [ The prescriber or dispenser's SDS User Identifier. ]</t>
  </si>
  <si>
    <t>Codesystem URL for the SDS User Identifier.</t>
  </si>
  <si>
    <t>Allowed: https://fhir.nhs.uk/Id/sds-user-id</t>
  </si>
  <si>
    <t>SDS User Identifier.</t>
  </si>
  <si>
    <t>Cancellation Request</t>
  </si>
  <si>
    <t>eventCoding*: {</t>
  </si>
  <si>
    <t>The type of message event being generated.</t>
  </si>
  <si>
    <t>codesystem URL for message events.</t>
  </si>
  <si>
    <r>
      <rPr>
        <sz val="8"/>
        <rFont val="Courier New"/>
      </rPr>
      <t xml:space="preserve">Allowed: </t>
    </r>
    <r>
      <rPr>
        <u/>
        <sz val="8"/>
        <color rgb="FF1155CC"/>
        <rFont val="Courier New"/>
      </rPr>
      <t>https://fhir.nhs.uk/CodeSystem/message-event</t>
    </r>
  </si>
  <si>
    <t>code for the message event.</t>
  </si>
  <si>
    <t>Allowed: prescription-order-update</t>
  </si>
  <si>
    <t>display value accompanying the code for the message event.</t>
  </si>
  <si>
    <t>Allowed: Prescription Order Update</t>
  </si>
  <si>
    <t>source*: {</t>
  </si>
  <si>
    <t>The organisation originating the message.</t>
  </si>
  <si>
    <t>endpoint: string</t>
  </si>
  <si>
    <t>ODS code of the organisation originating the message, expressed as a URN.</t>
  </si>
  <si>
    <t>A cancel request is effectively an update to a prescription, expressed through a MedicationRequest resource for each line item that is being cancelled.</t>
  </si>
  <si>
    <t>resourceType*: enum</t>
  </si>
  <si>
    <t>Allowed: MedicationRequest</t>
  </si>
  <si>
    <t>statusReason*: {</t>
  </si>
  <si>
    <t xml:space="preserve">The reason the line item is being cancelled. The reason must be in line with the cancellation reasons vocabulary </t>
  </si>
  <si>
    <t>codesystem URL for the cancellation reason.</t>
  </si>
  <si>
    <r>
      <rPr>
        <sz val="8"/>
        <rFont val="Courier New"/>
      </rPr>
      <t xml:space="preserve">Allowed: </t>
    </r>
    <r>
      <rPr>
        <u/>
        <sz val="8"/>
        <color rgb="FF1155CC"/>
        <rFont val="Courier New"/>
      </rPr>
      <t>https://fhir.nhs.uk/CodeSystem/medicationrequest-status-reason</t>
    </r>
  </si>
  <si>
    <t>cancel reason code.</t>
  </si>
  <si>
    <t>Allowed: 0001┃0002┃0003┃0004┃0005┃0006┃0007┃0008┃0009</t>
  </si>
  <si>
    <t>the display accompanying the cancel reason code.</t>
  </si>
  <si>
    <t>Allowed: Prescribing error┃Clinical contra-indication┃Change to medication treatment regime┃Clinical grounds┃At the Patient's request┃At the Pharmacist's request┃Notification of Death┃Patient deducted - other reason┃Patient deducted- registered with new practice</t>
  </si>
  <si>
    <t>A reference to the responsible party of a prescription, where they are distinct to the prescriber who authored the prescription.</t>
  </si>
  <si>
    <r>
      <rPr>
        <sz val="8"/>
        <rFont val="Courier New"/>
      </rPr>
      <t xml:space="preserve">Allowed: </t>
    </r>
    <r>
      <rPr>
        <u/>
        <sz val="8"/>
        <color rgb="FF1155CC"/>
        <rFont val="Courier New"/>
      </rPr>
      <t>https://fhir.nhs.uk/StructureDefinition/Extension-DM-ResponsiblePractitioner</t>
    </r>
  </si>
  <si>
    <r>
      <rPr>
        <sz val="8"/>
        <rFont val="Courier New"/>
      </rPr>
      <t xml:space="preserve">Allowed: </t>
    </r>
    <r>
      <rPr>
        <u/>
        <sz val="8"/>
        <color rgb="FF1155CC"/>
        <rFont val="Courier New"/>
      </rPr>
      <t>https://fhir.nhs.uk/Id/prescription-order-item-number</t>
    </r>
    <r>
      <rPr>
        <sz val="8"/>
        <rFont val="Courier New"/>
      </rPr>
      <t xml:space="preserve"> </t>
    </r>
  </si>
  <si>
    <r>
      <rPr>
        <sz val="8"/>
        <rFont val="Courier New"/>
      </rPr>
      <t xml:space="preserve">Allowed: </t>
    </r>
    <r>
      <rPr>
        <u/>
        <sz val="8"/>
        <color rgb="FF1155CC"/>
        <rFont val="Courier New"/>
      </rPr>
      <t>http://terminology.hl7.org/CodeSystem/medicationrequest-category</t>
    </r>
  </si>
  <si>
    <t>The medication that is being cancelled. This must be represented as a VMP or AMP concept from the dm+d.</t>
  </si>
  <si>
    <r>
      <rPr>
        <sz val="8"/>
        <rFont val="Courier New"/>
      </rPr>
      <t xml:space="preserve">Allowed: </t>
    </r>
    <r>
      <rPr>
        <u/>
        <sz val="8"/>
        <color rgb="FF1155CC"/>
        <rFont val="Courier New"/>
      </rPr>
      <t>http://snomed.info/sct</t>
    </r>
  </si>
  <si>
    <r>
      <rPr>
        <sz val="8"/>
        <rFont val="Courier New"/>
      </rPr>
      <t xml:space="preserve">Allowed: </t>
    </r>
    <r>
      <rPr>
        <u/>
        <sz val="8"/>
        <color rgb="FF1155CC"/>
        <rFont val="Courier New"/>
      </rPr>
      <t>https://fhir.nhs.uk/Id/prescription-order-number</t>
    </r>
    <r>
      <rPr>
        <sz val="8"/>
        <rFont val="Courier New"/>
      </rPr>
      <t xml:space="preserve"> </t>
    </r>
  </si>
  <si>
    <r>
      <rPr>
        <sz val="8"/>
        <rFont val="Courier New"/>
      </rPr>
      <t xml:space="preserve">Allowed: </t>
    </r>
    <r>
      <rPr>
        <u/>
        <sz val="8"/>
        <color rgb="FF1155CC"/>
        <rFont val="Courier New"/>
      </rPr>
      <t>https://fhir.nhs.uk/StructureDefinition/Extension-DM-PrescriptionId</t>
    </r>
    <r>
      <rPr>
        <sz val="8"/>
        <rFont val="Courier New"/>
      </rPr>
      <t xml:space="preserve"> </t>
    </r>
  </si>
  <si>
    <r>
      <rPr>
        <sz val="8"/>
        <rFont val="Courier New"/>
      </rPr>
      <t xml:space="preserve">Allowed: </t>
    </r>
    <r>
      <rPr>
        <u/>
        <sz val="8"/>
        <color rgb="FF1155CC"/>
        <rFont val="Courier New"/>
      </rPr>
      <t>https://fhir.nhs.uk/Id/prescription</t>
    </r>
    <r>
      <rPr>
        <sz val="8"/>
        <rFont val="Courier New"/>
      </rPr>
      <t xml:space="preserve"> </t>
    </r>
  </si>
  <si>
    <r>
      <rPr>
        <sz val="8"/>
        <rFont val="Courier New"/>
      </rPr>
      <t xml:space="preserve">Allowed: </t>
    </r>
    <r>
      <rPr>
        <u/>
        <sz val="8"/>
        <color rgb="FF1155CC"/>
        <rFont val="Courier New"/>
      </rPr>
      <t>http://terminology.hl7.org/CodeSystem/medicationrequest-course-of-therapy</t>
    </r>
    <r>
      <rPr>
        <sz val="8"/>
        <rFont val="Courier New"/>
      </rPr>
      <t xml:space="preserve"> </t>
    </r>
  </si>
  <si>
    <r>
      <rPr>
        <sz val="8"/>
        <rFont val="Courier New"/>
      </rPr>
      <t xml:space="preserve">Allowed: </t>
    </r>
    <r>
      <rPr>
        <u/>
        <sz val="8"/>
        <color rgb="FF1155CC"/>
        <rFont val="Courier New"/>
      </rPr>
      <t>http://snomed.info/sct</t>
    </r>
    <r>
      <rPr>
        <sz val="8"/>
        <rFont val="Courier New"/>
      </rPr>
      <t xml:space="preserve"> </t>
    </r>
  </si>
  <si>
    <r>
      <rPr>
        <sz val="8"/>
        <rFont val="Courier New"/>
      </rPr>
      <t xml:space="preserve">Allowed: </t>
    </r>
    <r>
      <rPr>
        <u/>
        <sz val="8"/>
        <color rgb="FF1155CC"/>
        <rFont val="Courier New"/>
      </rPr>
      <t>http://snomed.info/sct</t>
    </r>
    <r>
      <rPr>
        <sz val="8"/>
        <rFont val="Courier New"/>
      </rPr>
      <t xml:space="preserve"> </t>
    </r>
  </si>
  <si>
    <r>
      <rPr>
        <sz val="8"/>
        <rFont val="Courier New"/>
      </rPr>
      <t xml:space="preserve">Allowed: </t>
    </r>
    <r>
      <rPr>
        <u/>
        <sz val="8"/>
        <color rgb="FF1155CC"/>
        <rFont val="Courier New"/>
      </rPr>
      <t>http://snomed.info/sct</t>
    </r>
    <r>
      <rPr>
        <sz val="8"/>
        <rFont val="Courier New"/>
      </rPr>
      <t xml:space="preserve"> </t>
    </r>
  </si>
  <si>
    <r>
      <rPr>
        <sz val="8"/>
        <rFont val="Courier New"/>
      </rPr>
      <t xml:space="preserve">Allowed: </t>
    </r>
    <r>
      <rPr>
        <u/>
        <sz val="8"/>
        <color rgb="FF1155CC"/>
        <rFont val="Courier New"/>
      </rPr>
      <t>http://snomed.info/sct</t>
    </r>
  </si>
  <si>
    <r>
      <rPr>
        <sz val="8"/>
        <rFont val="Courier New"/>
      </rPr>
      <t xml:space="preserve">Allowed: </t>
    </r>
    <r>
      <rPr>
        <u/>
        <sz val="8"/>
        <color rgb="FF1155CC"/>
        <rFont val="Courier New"/>
      </rPr>
      <t>https://fhir.nhs.uk/StructureDefinition/Extension-DM-PerformerSiteType</t>
    </r>
  </si>
  <si>
    <r>
      <rPr>
        <sz val="8"/>
        <rFont val="Courier New"/>
      </rPr>
      <t xml:space="preserve">Allowed: </t>
    </r>
    <r>
      <rPr>
        <u/>
        <sz val="8"/>
        <color rgb="FF1155CC"/>
        <rFont val="Courier New"/>
      </rPr>
      <t>https://fhir.nhs.uk/CodeSystem/dispensing-site-preference</t>
    </r>
    <r>
      <rPr>
        <sz val="8"/>
        <rFont val="Courier New"/>
      </rPr>
      <t xml:space="preserve"> </t>
    </r>
  </si>
  <si>
    <r>
      <rPr>
        <sz val="8"/>
        <rFont val="Courier New"/>
      </rPr>
      <t xml:space="preserve">Allowed: </t>
    </r>
    <r>
      <rPr>
        <u/>
        <sz val="8"/>
        <color rgb="FF1155CC"/>
        <rFont val="Courier New"/>
      </rPr>
      <t>http://unitsofmeasure.org</t>
    </r>
  </si>
  <si>
    <r>
      <rPr>
        <sz val="8"/>
        <rFont val="Courier New"/>
      </rPr>
      <t xml:space="preserve">Allowed: </t>
    </r>
    <r>
      <rPr>
        <u/>
        <sz val="8"/>
        <color rgb="FF1155CC"/>
        <rFont val="Courier New"/>
      </rPr>
      <t>https://fhir.nhs.uk/Id/ods-organization-code</t>
    </r>
  </si>
  <si>
    <r>
      <rPr>
        <sz val="8"/>
        <rFont val="Courier New"/>
      </rPr>
      <t xml:space="preserve">Allowed: </t>
    </r>
    <r>
      <rPr>
        <u/>
        <sz val="8"/>
        <color rgb="FF1155CC"/>
        <rFont val="Courier New"/>
      </rPr>
      <t>https://fhir.nhs.uk/Id/ods-organization-code</t>
    </r>
  </si>
  <si>
    <r>
      <rPr>
        <sz val="8"/>
        <rFont val="Courier New"/>
      </rPr>
      <t xml:space="preserve">Allowed: </t>
    </r>
    <r>
      <rPr>
        <u/>
        <sz val="8"/>
        <color rgb="FF1155CC"/>
        <rFont val="Courier New"/>
      </rPr>
      <t>http://snomed.info/sct</t>
    </r>
  </si>
  <si>
    <r>
      <rPr>
        <sz val="8"/>
        <rFont val="Courier New"/>
      </rPr>
      <t xml:space="preserve">Allowed: </t>
    </r>
    <r>
      <rPr>
        <u/>
        <sz val="8"/>
        <color rgb="FF1155CC"/>
        <rFont val="Courier New"/>
      </rPr>
      <t>https://fhir.nhs.uk/Id/nhs-number</t>
    </r>
  </si>
  <si>
    <r>
      <rPr>
        <sz val="8"/>
        <rFont val="Courier New"/>
      </rPr>
      <t xml:space="preserve">Allowed: </t>
    </r>
    <r>
      <rPr>
        <u/>
        <sz val="8"/>
        <color rgb="FF1155CC"/>
        <rFont val="Courier New"/>
      </rPr>
      <t>https://fhir.nhs.uk/Id/ods-organization-code</t>
    </r>
  </si>
  <si>
    <r>
      <rPr>
        <sz val="8"/>
        <rFont val="Courier New"/>
      </rPr>
      <t xml:space="preserve">Allowed: </t>
    </r>
    <r>
      <rPr>
        <u/>
        <sz val="8"/>
        <color rgb="FF1155CC"/>
        <rFont val="Courier New"/>
      </rPr>
      <t>https://fhir.nhs.uk/Id/ods-organization-code</t>
    </r>
  </si>
  <si>
    <r>
      <rPr>
        <sz val="8"/>
        <rFont val="Courier New"/>
      </rPr>
      <t xml:space="preserve">Allowed: </t>
    </r>
    <r>
      <rPr>
        <u/>
        <sz val="8"/>
        <color rgb="FF1155CC"/>
        <rFont val="Courier New"/>
      </rPr>
      <t>https://fhir.nhs.uk/Id/ods-organization-code</t>
    </r>
  </si>
  <si>
    <r>
      <rPr>
        <sz val="8"/>
        <rFont val="Courier New"/>
      </rPr>
      <t xml:space="preserve">Allowed: </t>
    </r>
    <r>
      <rPr>
        <u/>
        <sz val="8"/>
        <color rgb="FF1155CC"/>
        <rFont val="Courier New"/>
      </rPr>
      <t>https://fhir.nhs.uk/Id/nhs-number</t>
    </r>
  </si>
  <si>
    <r>
      <rPr>
        <sz val="8"/>
        <rFont val="Courier New"/>
      </rPr>
      <t xml:space="preserve">Allowed: </t>
    </r>
    <r>
      <rPr>
        <u/>
        <sz val="8"/>
        <color rgb="FF1155CC"/>
        <rFont val="Courier New"/>
      </rPr>
      <t>https://fhir.nhs.uk/Id/sds-role-profile-id</t>
    </r>
  </si>
  <si>
    <r>
      <rPr>
        <sz val="8"/>
        <rFont val="Courier New"/>
      </rPr>
      <t xml:space="preserve">Allowed: </t>
    </r>
    <r>
      <rPr>
        <u/>
        <sz val="8"/>
        <color rgb="FF1155CC"/>
        <rFont val="Courier New"/>
      </rPr>
      <t>https://fhir.nhs.uk/CodeSystem/NHSDigital-SDS-JobRoleCode</t>
    </r>
  </si>
  <si>
    <t>UNIQUE_ID</t>
  </si>
  <si>
    <t>NHS_NO</t>
  </si>
  <si>
    <t>DOB</t>
  </si>
  <si>
    <t>DOD</t>
  </si>
  <si>
    <t>FAMILY_NAME</t>
  </si>
  <si>
    <t>GIVEN_NAME</t>
  </si>
  <si>
    <t>OTHER_GIVEN_NAME</t>
  </si>
  <si>
    <t>TITLE</t>
  </si>
  <si>
    <t>GENDER</t>
  </si>
  <si>
    <t>ADDR1</t>
  </si>
  <si>
    <t>ADDR2</t>
  </si>
  <si>
    <t>ADDR3</t>
  </si>
  <si>
    <t>ADDR4</t>
  </si>
  <si>
    <t>ADDR5</t>
  </si>
  <si>
    <t>POST_CODE</t>
  </si>
  <si>
    <t>SENSITIVE_FLAG</t>
  </si>
  <si>
    <t>GPP</t>
  </si>
  <si>
    <t>SCENARIO</t>
  </si>
  <si>
    <t>HOPLEY</t>
  </si>
  <si>
    <t>Flora</t>
  </si>
  <si>
    <t>Gwen</t>
  </si>
  <si>
    <t>MRS</t>
  </si>
  <si>
    <t>Female</t>
  </si>
  <si>
    <t>1 WARES WAY</t>
  </si>
  <si>
    <t>GUNNESS</t>
  </si>
  <si>
    <t>SCUNTHORPE</t>
  </si>
  <si>
    <t>S HUMBERSIDE</t>
  </si>
  <si>
    <t>DN15 8DU</t>
  </si>
  <si>
    <t>A20047</t>
  </si>
  <si>
    <t>ScenarioOne_MotherOver18withUCPP</t>
  </si>
  <si>
    <t>VALE</t>
  </si>
  <si>
    <t>Zoe</t>
  </si>
  <si>
    <t>Mrs</t>
  </si>
  <si>
    <t>NEW HOUSE</t>
  </si>
  <si>
    <t>HOOK ROAD</t>
  </si>
  <si>
    <t>AMCOTTS</t>
  </si>
  <si>
    <t>DN17 4AZ</t>
  </si>
  <si>
    <t>ScenarioTwo_MotherEquals18</t>
  </si>
  <si>
    <t>Mary</t>
  </si>
  <si>
    <t>Connie</t>
  </si>
  <si>
    <t>Miss</t>
  </si>
  <si>
    <t>ScenarioTwo_ChildOnewithCPP</t>
  </si>
  <si>
    <t>Bert</t>
  </si>
  <si>
    <t>Mr</t>
  </si>
  <si>
    <t>Male</t>
  </si>
  <si>
    <t>ScenarioTwo_ChildTwoNoCPP</t>
  </si>
  <si>
    <t>Lloyd</t>
  </si>
  <si>
    <t>Alec</t>
  </si>
  <si>
    <t>ScenarioTwo_ChildThreeNoCPP</t>
  </si>
  <si>
    <t>CANNON</t>
  </si>
  <si>
    <t>Bob</t>
  </si>
  <si>
    <t>Dwayne</t>
  </si>
  <si>
    <t>1 WUDATON COURT</t>
  </si>
  <si>
    <t>WOOTTON</t>
  </si>
  <si>
    <t>ULCEBY</t>
  </si>
  <si>
    <t>DN39 6SQ</t>
  </si>
  <si>
    <t>ScenarioThree_FosterFatherOver18</t>
  </si>
  <si>
    <t>Ramona</t>
  </si>
  <si>
    <t>Hattie</t>
  </si>
  <si>
    <t>ScenarioThree_LAC</t>
  </si>
  <si>
    <t>LEE</t>
  </si>
  <si>
    <t>Rhoda</t>
  </si>
  <si>
    <t>Lizzie</t>
  </si>
  <si>
    <t>1 ST. JOANS DRIVE</t>
  </si>
  <si>
    <t>SCAWBY</t>
  </si>
  <si>
    <t>BRIGG</t>
  </si>
  <si>
    <t>DN20 9BE</t>
  </si>
  <si>
    <t>ScenarioFour_FatherUnder18</t>
  </si>
  <si>
    <t>Roland</t>
  </si>
  <si>
    <t>ScenarioFour_LAC</t>
  </si>
  <si>
    <t>PEENEY</t>
  </si>
  <si>
    <t>Olive</t>
  </si>
  <si>
    <t>Anne</t>
  </si>
  <si>
    <t>MISS</t>
  </si>
  <si>
    <t>2 STATION ROAD</t>
  </si>
  <si>
    <t>BURRINGHAM</t>
  </si>
  <si>
    <t>DN17 3LU</t>
  </si>
  <si>
    <t>ScenarioFive_FemaleChildCPP_LAC_UCPP</t>
  </si>
  <si>
    <t>ROGERS</t>
  </si>
  <si>
    <t>Megan</t>
  </si>
  <si>
    <t>2 FAIRFIELD CLOSE</t>
  </si>
  <si>
    <t>BROUGHTON</t>
  </si>
  <si>
    <t>DN20 0TT</t>
  </si>
  <si>
    <t>ScenarioSix_FemaleChildCPP_UCPP</t>
  </si>
  <si>
    <t>NIXON</t>
  </si>
  <si>
    <t>Keith</t>
  </si>
  <si>
    <t>1 SOMERSET DRIVE</t>
  </si>
  <si>
    <t>BURTON-UPON-STATHER</t>
  </si>
  <si>
    <t>DN15 9HN</t>
  </si>
  <si>
    <t>ScenarioSeven_RelativeOver18</t>
  </si>
  <si>
    <t>Winnie</t>
  </si>
  <si>
    <t>Tammy</t>
  </si>
  <si>
    <t>ScenarioSeven_FemaleChild_LAC_UCPP</t>
  </si>
  <si>
    <t>DAWBER</t>
  </si>
  <si>
    <t>Sandra</t>
  </si>
  <si>
    <t>Viola</t>
  </si>
  <si>
    <t>10 DALE STREET</t>
  </si>
  <si>
    <t>DN15 7LW</t>
  </si>
  <si>
    <t>ScenarioEight_FemaleChild_UCPP</t>
  </si>
  <si>
    <t>TWIST</t>
  </si>
  <si>
    <t>Penny</t>
  </si>
  <si>
    <t>Peggy</t>
  </si>
  <si>
    <t>36 WHARF ROAD</t>
  </si>
  <si>
    <t>CROWLE</t>
  </si>
  <si>
    <t>DN17 4HU</t>
  </si>
  <si>
    <t>ScenarioOne_MotherOver18withUCPP-expired</t>
  </si>
  <si>
    <t>SYKES</t>
  </si>
  <si>
    <t>Mandy</t>
  </si>
  <si>
    <t>Elaine</t>
  </si>
  <si>
    <t>5 HIGH STREET</t>
  </si>
  <si>
    <t>KIRMINGTON</t>
  </si>
  <si>
    <t>DN39 6YZ</t>
  </si>
  <si>
    <t>ScenarioTwo_MotherEquals18-expired</t>
  </si>
  <si>
    <t>Isobel</t>
  </si>
  <si>
    <t>Sara</t>
  </si>
  <si>
    <t>ScenarioTwo_ChildOnewithCPP-expired</t>
  </si>
  <si>
    <t>Neil</t>
  </si>
  <si>
    <t>Edmund</t>
  </si>
  <si>
    <t>ScenarioTwo_ChildTwoNoCPP-expired</t>
  </si>
  <si>
    <t>Randal</t>
  </si>
  <si>
    <t>Ted</t>
  </si>
  <si>
    <t>ScenarioTwo_ChildThreeNoCPP-expired</t>
  </si>
  <si>
    <t>STRONG</t>
  </si>
  <si>
    <t>Herman</t>
  </si>
  <si>
    <t>1 CAISTOR ROAD</t>
  </si>
  <si>
    <t>BARTON-UPON-HUMBER</t>
  </si>
  <si>
    <t>DN18 6AH</t>
  </si>
  <si>
    <t>ScenarioThree_FosterFatherOver18-expired</t>
  </si>
  <si>
    <t>Liddy</t>
  </si>
  <si>
    <t>Heidi</t>
  </si>
  <si>
    <t>ScenarioThree_LAC-expired</t>
  </si>
  <si>
    <t>WELSH</t>
  </si>
  <si>
    <t>Zenia</t>
  </si>
  <si>
    <t>Sibyl</t>
  </si>
  <si>
    <t>5 LINTON CLOSE</t>
  </si>
  <si>
    <t>WESTWOODSIDE</t>
  </si>
  <si>
    <t>DONCASTER</t>
  </si>
  <si>
    <t>DN9 2FS</t>
  </si>
  <si>
    <t>ScenarioFour_FatherUnder18-expired</t>
  </si>
  <si>
    <t>George</t>
  </si>
  <si>
    <t>Josh</t>
  </si>
  <si>
    <t>ScenarioFour_LAC-expired</t>
  </si>
  <si>
    <t>MANGAN</t>
  </si>
  <si>
    <t>Kristi</t>
  </si>
  <si>
    <t>Diane</t>
  </si>
  <si>
    <t>THE CHESTNUTS</t>
  </si>
  <si>
    <t>DN17 4BW</t>
  </si>
  <si>
    <t>ScenarioFive_FemaleChildCPP_LAC_UCPP-expired</t>
  </si>
  <si>
    <t>MARSH</t>
  </si>
  <si>
    <t>Elisa</t>
  </si>
  <si>
    <t>MS</t>
  </si>
  <si>
    <t>5 NEWPORT DRIVE</t>
  </si>
  <si>
    <t>WINTERTON</t>
  </si>
  <si>
    <t>DN15 9RG</t>
  </si>
  <si>
    <t>ScenarioSix_FemaleChildCPP_UCPP-expired</t>
  </si>
  <si>
    <t>DOPSON</t>
  </si>
  <si>
    <t>Isaac</t>
  </si>
  <si>
    <t>Shaun</t>
  </si>
  <si>
    <t>ANDREW</t>
  </si>
  <si>
    <t>FRONT STREET</t>
  </si>
  <si>
    <t>ALKBOROUGH</t>
  </si>
  <si>
    <t>DN15 9JW</t>
  </si>
  <si>
    <t>ScenarioSeven_RelativeOver18-expired</t>
  </si>
  <si>
    <t>Roslyn</t>
  </si>
  <si>
    <t>ScenarioSeven_FemaleChild_LAC_UCPP-expired</t>
  </si>
  <si>
    <t>DAWN</t>
  </si>
  <si>
    <t>10 WEST COMMON LANE</t>
  </si>
  <si>
    <t>DN17 1DX</t>
  </si>
  <si>
    <t>ScenarioEight_FemaleChild_UCPP-expired</t>
  </si>
  <si>
    <t>MENEAR</t>
  </si>
  <si>
    <t>June</t>
  </si>
  <si>
    <t>Lynne</t>
  </si>
  <si>
    <t>COMMON FARM</t>
  </si>
  <si>
    <t>SANDTOFT ROAD</t>
  </si>
  <si>
    <t>BELTON</t>
  </si>
  <si>
    <t>S YORKSHIRE</t>
  </si>
  <si>
    <t>DN9 1RX</t>
  </si>
  <si>
    <t>ScenarioNine_LAC-25views</t>
  </si>
  <si>
    <t>GRAVES</t>
  </si>
  <si>
    <t>Evan</t>
  </si>
  <si>
    <t>Edward</t>
  </si>
  <si>
    <t>MR</t>
  </si>
  <si>
    <t>31 STATION ROAD</t>
  </si>
  <si>
    <t>DN15 8TQ</t>
  </si>
  <si>
    <t>ScenarioNine_LAC-26views</t>
  </si>
  <si>
    <t>RISLEY</t>
  </si>
  <si>
    <t>Martin</t>
  </si>
  <si>
    <t>10 GLEBE WAY</t>
  </si>
  <si>
    <t>DN18 6LB</t>
  </si>
  <si>
    <t>ScenarioNine_LAC-25views-expired</t>
  </si>
  <si>
    <t>COOK</t>
  </si>
  <si>
    <t>Abby</t>
  </si>
  <si>
    <t>Leah</t>
  </si>
  <si>
    <t>1 GROSVENOR STREET</t>
  </si>
  <si>
    <t>DN15 6BE</t>
  </si>
  <si>
    <t>ScenarioNine_LAC-26views-expired</t>
  </si>
  <si>
    <t>BOW</t>
  </si>
  <si>
    <t>Nancy</t>
  </si>
  <si>
    <t>Gloria</t>
  </si>
  <si>
    <t>100 VALLEY VIEW DRIVE</t>
  </si>
  <si>
    <t>DN16 3TB</t>
  </si>
  <si>
    <t>HISLOP</t>
  </si>
  <si>
    <t>Millie</t>
  </si>
  <si>
    <t>Helene</t>
  </si>
  <si>
    <t>188 WARLEY ROAD</t>
  </si>
  <si>
    <t>DN16 1PP</t>
  </si>
  <si>
    <t>RAFFLE</t>
  </si>
  <si>
    <t>Grace</t>
  </si>
  <si>
    <t>Lela</t>
  </si>
  <si>
    <t>11 SOUTH VIEW</t>
  </si>
  <si>
    <t>DN20 0EE</t>
  </si>
  <si>
    <t>RODDY</t>
  </si>
  <si>
    <t>Phoebe</t>
  </si>
  <si>
    <t>Maxine</t>
  </si>
  <si>
    <t>CLIFF HOUSE</t>
  </si>
  <si>
    <t>WHITTON</t>
  </si>
  <si>
    <t>DN15 9LJ</t>
  </si>
  <si>
    <t>LUNDON</t>
  </si>
  <si>
    <t>Linda</t>
  </si>
  <si>
    <t>GREENGATES</t>
  </si>
  <si>
    <t>SILVERSIDES LANE</t>
  </si>
  <si>
    <t>SCAWBY BROOK</t>
  </si>
  <si>
    <t>DN20 9JP</t>
  </si>
  <si>
    <t>ERVING</t>
  </si>
  <si>
    <t>Gladys</t>
  </si>
  <si>
    <t>1 POPLAR GARDENS</t>
  </si>
  <si>
    <t>DN16 2HG</t>
  </si>
  <si>
    <t>MCVEY</t>
  </si>
  <si>
    <t>Marian</t>
  </si>
  <si>
    <t>Diana</t>
  </si>
  <si>
    <t>1 GOODHAND CLOSE</t>
  </si>
  <si>
    <t>DN18 6JX</t>
  </si>
  <si>
    <t>LANDO</t>
  </si>
  <si>
    <t>Mavis</t>
  </si>
  <si>
    <t>6 POTTERS CLOSE</t>
  </si>
  <si>
    <t>GOXHILL</t>
  </si>
  <si>
    <t>BARROW-UPON-HUMBER</t>
  </si>
  <si>
    <t>DN19 7UP</t>
  </si>
  <si>
    <t>STUART</t>
  </si>
  <si>
    <t>Helena</t>
  </si>
  <si>
    <t>10 SALISBURY CLOSE</t>
  </si>
  <si>
    <t>DN17 1PZ</t>
  </si>
  <si>
    <t>Alicia</t>
  </si>
  <si>
    <t>Polly</t>
  </si>
  <si>
    <t>39 AXHOLME ROAD</t>
  </si>
  <si>
    <t>DN15 7HJ</t>
  </si>
  <si>
    <t>ChildwithCPP_noAccesses</t>
  </si>
  <si>
    <t>PENDRY</t>
  </si>
  <si>
    <t>Angela</t>
  </si>
  <si>
    <t>MOUNT PLEASANT FARM COTTAGE</t>
  </si>
  <si>
    <t>NORTH CLIFF ROAD</t>
  </si>
  <si>
    <t>KIRTON LINDSEY</t>
  </si>
  <si>
    <t>GAINSBOROUGH</t>
  </si>
  <si>
    <t>LINCS</t>
  </si>
  <si>
    <t>DN21 4LB</t>
  </si>
  <si>
    <t>CASH</t>
  </si>
  <si>
    <t>10 STUART CLOSE</t>
  </si>
  <si>
    <t>DN17 2RL</t>
  </si>
  <si>
    <t>ORME</t>
  </si>
  <si>
    <t>Verena</t>
  </si>
  <si>
    <t>10 QUEENS CRESCENT</t>
  </si>
  <si>
    <t>KEADBY</t>
  </si>
  <si>
    <t>DN17 3DJ</t>
  </si>
  <si>
    <t>STYCHE</t>
  </si>
  <si>
    <t>Sally</t>
  </si>
  <si>
    <t>12 CLIFF CLOSES ROAD</t>
  </si>
  <si>
    <t>DN15 7HU</t>
  </si>
  <si>
    <t>KURTZ</t>
  </si>
  <si>
    <t>Jodi</t>
  </si>
  <si>
    <t>1 BELTON GATE VILLAS</t>
  </si>
  <si>
    <t>BELTON ROAD</t>
  </si>
  <si>
    <t>EPWORTH</t>
  </si>
  <si>
    <t>DN9 1JW</t>
  </si>
  <si>
    <t>BARKER</t>
  </si>
  <si>
    <t>Hariot</t>
  </si>
  <si>
    <t>Vicki</t>
  </si>
  <si>
    <t>10 NORTH STREET</t>
  </si>
  <si>
    <t>DN17 4NB</t>
  </si>
  <si>
    <t>GOFF</t>
  </si>
  <si>
    <t>Kari</t>
  </si>
  <si>
    <t>1 CAISTOR AVENUE</t>
  </si>
  <si>
    <t>DN16 3QZ</t>
  </si>
  <si>
    <t>NORTON</t>
  </si>
  <si>
    <t>Tara</t>
  </si>
  <si>
    <t>Selena</t>
  </si>
  <si>
    <t>12 ASHBY HIGH STREET</t>
  </si>
  <si>
    <t>DN16 2NL</t>
  </si>
  <si>
    <t>PETERS</t>
  </si>
  <si>
    <t>Zelma</t>
  </si>
  <si>
    <t>Lauren</t>
  </si>
  <si>
    <t>1 WEST SQUARE</t>
  </si>
  <si>
    <t>DN20 8QQ</t>
  </si>
  <si>
    <t>CREAN</t>
  </si>
  <si>
    <t>Holly</t>
  </si>
  <si>
    <t>MIss</t>
  </si>
  <si>
    <t>51 SUNNINGDALE ROAD</t>
  </si>
  <si>
    <t>DN17 2TW</t>
  </si>
  <si>
    <t>Child &lt; 17 years with a CPP that has start date only</t>
  </si>
  <si>
    <t>MANTON</t>
  </si>
  <si>
    <t>Sylvia</t>
  </si>
  <si>
    <t>Serena</t>
  </si>
  <si>
    <t>1 LOWER MEADOWS</t>
  </si>
  <si>
    <t>DN18 5RY</t>
  </si>
  <si>
    <t>Child &lt; 17 years with both a CPP and LAC that have start dates only</t>
  </si>
  <si>
    <t>ANWYLL</t>
  </si>
  <si>
    <t>Janet</t>
  </si>
  <si>
    <t>Agnes</t>
  </si>
  <si>
    <t>11 FULBECK ROAD</t>
  </si>
  <si>
    <t>DN16 2LL</t>
  </si>
  <si>
    <t>Child &lt; 17 years with a CPP that has a start and end date and a LAC with only a start date. Both also have future delete dates</t>
  </si>
  <si>
    <t>HAYDEN</t>
  </si>
  <si>
    <t>Glenda</t>
  </si>
  <si>
    <t>Ellen</t>
  </si>
  <si>
    <t>Mss</t>
  </si>
  <si>
    <t>MANOR FARM</t>
  </si>
  <si>
    <t>SCHOOL LANE</t>
  </si>
  <si>
    <t>APPLEBY</t>
  </si>
  <si>
    <t>DN15 0AW</t>
  </si>
  <si>
    <t>mother &lt; 17 years with a LAC with no end date and also a UCPP (which must have an end date, but do not include a delete date).</t>
  </si>
  <si>
    <t>RAY</t>
  </si>
  <si>
    <t>Annie</t>
  </si>
  <si>
    <t>Yvette</t>
  </si>
  <si>
    <t>10 ASHFIELD PARK</t>
  </si>
  <si>
    <t>DN17 2AS</t>
  </si>
  <si>
    <t>Child &lt; 17 years with a CPP with Local Authority A and also one with Local Authority B. Differing start and end dates with both start dates in the past and both end dates in the future i.e. both plans need to be active.</t>
  </si>
  <si>
    <t>WOOD</t>
  </si>
  <si>
    <t>2 PARKLANDS MOBILE HOMES</t>
  </si>
  <si>
    <t>DN17 1SQ</t>
  </si>
  <si>
    <t>Child &lt; 17 years with a CPP with Local Authority A and also one with Local Authority B. Differing start and end dates. Both start dates in the past, and one end date also in the (very recent) past i.e. only one of the plans is active.</t>
  </si>
  <si>
    <r>
      <rPr>
        <b/>
        <sz val="12"/>
        <rFont val="Calibri"/>
      </rPr>
      <t xml:space="preserve">SECTION 1 - Patients that exist on the NHS-D Consumer System Demonstrator - </t>
    </r>
    <r>
      <rPr>
        <b/>
        <u/>
        <sz val="12"/>
        <color rgb="FF1155CC"/>
        <rFont val="Calibri"/>
      </rPr>
      <t>https://orange.testlab.nhs.uk/demonstrator-v0.html</t>
    </r>
  </si>
  <si>
    <t>Cells containing a '0' should not have any data for that section
Cells containing an 'x' should have data for that section 
Cells containing brackets and a date range should contain data for that section within the date range
Cells containing a '?' can have data or no data as this does not matter for the test scenario</t>
  </si>
  <si>
    <t>Administrative Items</t>
  </si>
  <si>
    <t>Current Allergies</t>
  </si>
  <si>
    <t>Historical Allergies</t>
  </si>
  <si>
    <t>Clinical Items</t>
  </si>
  <si>
    <t>Immunisations</t>
  </si>
  <si>
    <t>Acute Medication (Last 12 Months)</t>
  </si>
  <si>
    <t>Current Repeat Medication</t>
  </si>
  <si>
    <t>Discontinued Repeat Medication</t>
  </si>
  <si>
    <t>All Medication</t>
  </si>
  <si>
    <t>All Medication Issues</t>
  </si>
  <si>
    <t>Observations</t>
  </si>
  <si>
    <t>Active Problems</t>
  </si>
  <si>
    <t>Major Inactive Problems</t>
  </si>
  <si>
    <t>Other Inactive Problems</t>
  </si>
  <si>
    <t>Referrals</t>
  </si>
  <si>
    <t>Other Requirements</t>
  </si>
  <si>
    <t>Patient 1</t>
  </si>
  <si>
    <t>Don't use Jase...</t>
  </si>
  <si>
    <t>Patient 2</t>
  </si>
  <si>
    <t>( 01/05/2015 - 01/07/2016 )</t>
  </si>
  <si>
    <t xml:space="preserve">Patient must have at least 4 unique medication issues and also the same medication issued at least 2 times. (this is for checking the "All Medication" table on Meds correctly counts and groups)  </t>
  </si>
  <si>
    <t>Patient 3</t>
  </si>
  <si>
    <t>?</t>
  </si>
  <si>
    <t>Patient 4</t>
  </si>
  <si>
    <t>Patient 5</t>
  </si>
  <si>
    <t>Patient 6</t>
  </si>
  <si>
    <t>Patient 7</t>
  </si>
  <si>
    <t>Patient 8</t>
  </si>
  <si>
    <t>Patient 9</t>
  </si>
  <si>
    <t>Sensitive Flag</t>
  </si>
  <si>
    <t>Patient 10</t>
  </si>
  <si>
    <t>Patient 11</t>
  </si>
  <si>
    <t>Superseded NHS Number</t>
  </si>
  <si>
    <t>Patient 12</t>
  </si>
  <si>
    <t>Merged patient record</t>
  </si>
  <si>
    <t>Demographic difference in dob</t>
  </si>
  <si>
    <t>Patient 13</t>
  </si>
  <si>
    <t>Patient in transit</t>
  </si>
  <si>
    <t>Demographic difference in given name</t>
  </si>
  <si>
    <t>Patient 14</t>
  </si>
  <si>
    <t>Patient not on spine but in provider system (i.e. no PDS)</t>
  </si>
  <si>
    <t>Weird data =&gt; not usable for demo</t>
  </si>
  <si>
    <t>Patient 15</t>
  </si>
  <si>
    <t>Patient which has opted out of data sharing agreement</t>
  </si>
  <si>
    <t>SECTION 2 - Patients that exist on the EMIS test demonstrator system</t>
  </si>
  <si>
    <t>Notes on patient data on record</t>
  </si>
  <si>
    <t>24/02/1923</t>
  </si>
  <si>
    <t>WEBBER</t>
  </si>
  <si>
    <t>Horton</t>
  </si>
  <si>
    <t>Jules</t>
  </si>
  <si>
    <t>23 RICHARDSHAW LANE</t>
  </si>
  <si>
    <t>PUDSEY</t>
  </si>
  <si>
    <t>LS28 7NB</t>
  </si>
  <si>
    <t>B86071</t>
  </si>
  <si>
    <t>Data covering all areas of HTML views, including RCGP exclusion codes. Sceanrios include diagnosis and referral for an allergy
Mobile Nu,ber Added</t>
  </si>
  <si>
    <t>16/07/1942</t>
  </si>
  <si>
    <t>MCEVOY</t>
  </si>
  <si>
    <t>Otto</t>
  </si>
  <si>
    <t>1 CARR HILL RISE</t>
  </si>
  <si>
    <t>CALVERLEY</t>
  </si>
  <si>
    <t>W YORKSHIRE</t>
  </si>
  <si>
    <t>LS28 5QD</t>
  </si>
  <si>
    <t>Single problem with multiple medications</t>
  </si>
  <si>
    <t>17/07/1950</t>
  </si>
  <si>
    <t>PETTIT</t>
  </si>
  <si>
    <t>Milo</t>
  </si>
  <si>
    <t>Karl</t>
  </si>
  <si>
    <t>2 ACRES HALL DRIVE</t>
  </si>
  <si>
    <t>LS28 9DX</t>
  </si>
  <si>
    <t>Series of consultations relating to chest cold with a past problem of a cold</t>
  </si>
  <si>
    <t>17/03/1933</t>
  </si>
  <si>
    <t>POLE</t>
  </si>
  <si>
    <t>Archie</t>
  </si>
  <si>
    <t>Tim</t>
  </si>
  <si>
    <t>1 HORTON CLOSE</t>
  </si>
  <si>
    <t>RODLEY</t>
  </si>
  <si>
    <t>LEEDS</t>
  </si>
  <si>
    <t>LS13 1PJ</t>
  </si>
  <si>
    <t>Only referral data, no specific scenarios</t>
  </si>
  <si>
    <t>02/02/1937</t>
  </si>
  <si>
    <t>SAMUAL</t>
  </si>
  <si>
    <t>Darren</t>
  </si>
  <si>
    <t>Ramon</t>
  </si>
  <si>
    <t>1 CROSS BATH ROAD</t>
  </si>
  <si>
    <t>LS13 3BH</t>
  </si>
  <si>
    <t>Only problem data, mixture of current, past, significant and minor problems</t>
  </si>
  <si>
    <t>17/05/1931</t>
  </si>
  <si>
    <t>EAUDE</t>
  </si>
  <si>
    <t>Rufus</t>
  </si>
  <si>
    <t>Max</t>
  </si>
  <si>
    <t>30 RADCLIFFE LANE</t>
  </si>
  <si>
    <t>LS28 8BE</t>
  </si>
  <si>
    <t>Only allergy data, no specific scenarios</t>
  </si>
  <si>
    <t>31/07/1920</t>
  </si>
  <si>
    <t>SHARP</t>
  </si>
  <si>
    <t>Albert</t>
  </si>
  <si>
    <t>2 CRIMBLES ROAD</t>
  </si>
  <si>
    <t>LS28 9BQ</t>
  </si>
  <si>
    <t>Only observations data, no specific scenarios</t>
  </si>
  <si>
    <t>23/12/1935</t>
  </si>
  <si>
    <t>HEALD</t>
  </si>
  <si>
    <t>Daren</t>
  </si>
  <si>
    <t>Amos</t>
  </si>
  <si>
    <t>1 RUSHOLME DRIVE</t>
  </si>
  <si>
    <t>FARSLEY</t>
  </si>
  <si>
    <t>LS28 5HQ</t>
  </si>
  <si>
    <t>Single consultation with a problem relating to smoking advice and a subsequent referral</t>
  </si>
  <si>
    <t>02/02/1931</t>
  </si>
  <si>
    <t>TOWNE</t>
  </si>
  <si>
    <t>Howard</t>
  </si>
  <si>
    <t>Brett</t>
  </si>
  <si>
    <t>11 GALLOWAY LANE</t>
  </si>
  <si>
    <t>LS28 7UG</t>
  </si>
  <si>
    <t>Single consultation with observations, separately issued repeat dispensing medication</t>
  </si>
  <si>
    <t>10/01/1932</t>
  </si>
  <si>
    <t>EUSTON</t>
  </si>
  <si>
    <t>Roy</t>
  </si>
  <si>
    <t>Jon</t>
  </si>
  <si>
    <t>11 PINFOLD LANE</t>
  </si>
  <si>
    <t>ARMLEY</t>
  </si>
  <si>
    <t>LS12 3LL</t>
  </si>
  <si>
    <t>Two consultations with medication entered in both as well as problems</t>
  </si>
  <si>
    <t>04/07/1939</t>
  </si>
  <si>
    <t>LAFONE</t>
  </si>
  <si>
    <t>4 STRADBROKE WAY</t>
  </si>
  <si>
    <t>LS12 4NB</t>
  </si>
  <si>
    <t>5 codes on record all on RCGP exclusion list</t>
  </si>
  <si>
    <t>05/05/1933</t>
  </si>
  <si>
    <t>KEENAN</t>
  </si>
  <si>
    <t>Elsie</t>
  </si>
  <si>
    <t>Sharon</t>
  </si>
  <si>
    <t>10 BROOKFIELD COURT</t>
  </si>
  <si>
    <t>LS13 1ND</t>
  </si>
  <si>
    <t>Asthma consultations, meds, problem and referral</t>
  </si>
  <si>
    <t>28/03/1940</t>
  </si>
  <si>
    <t>JACK</t>
  </si>
  <si>
    <t>Tamsyn</t>
  </si>
  <si>
    <t>Jane</t>
  </si>
  <si>
    <t>10 STONECLIFFE WALK</t>
  </si>
  <si>
    <t>LS12 5BG</t>
  </si>
  <si>
    <t>Prescription with a subsequent allergy to the prescription</t>
  </si>
  <si>
    <t>15/03/1923</t>
  </si>
  <si>
    <t>Stella</t>
  </si>
  <si>
    <t>742 WHITEHALL ROAD</t>
  </si>
  <si>
    <t>LS12 5HP</t>
  </si>
  <si>
    <t>Large amount of data with no specific scenarios</t>
  </si>
  <si>
    <t>02/02/1922</t>
  </si>
  <si>
    <t>GEE</t>
  </si>
  <si>
    <t>Debbie</t>
  </si>
  <si>
    <t>1 KIRKLAND VILLAS</t>
  </si>
  <si>
    <t>LS28 8PD</t>
  </si>
  <si>
    <t>Small amount of data with no specific scenarios</t>
  </si>
  <si>
    <t>18/07/1994</t>
  </si>
  <si>
    <t>BAND</t>
  </si>
  <si>
    <t>David</t>
  </si>
  <si>
    <t>Justin</t>
  </si>
  <si>
    <t>2 NORTHWOOD CLOSE</t>
  </si>
  <si>
    <t>LS28 9LP</t>
  </si>
  <si>
    <t>I</t>
  </si>
  <si>
    <t>Single depression consultation</t>
  </si>
  <si>
    <t>11/06/1966</t>
  </si>
  <si>
    <t>DOYLE</t>
  </si>
  <si>
    <t>Dean</t>
  </si>
  <si>
    <t>FLAT 2</t>
  </si>
  <si>
    <t>16 HOUGH LANE</t>
  </si>
  <si>
    <t>LS13 3NE</t>
  </si>
  <si>
    <t>B</t>
  </si>
  <si>
    <t>Problem and meds within patient consultation</t>
  </si>
  <si>
    <t>21/11/1979</t>
  </si>
  <si>
    <t>MAY</t>
  </si>
  <si>
    <t>Jeanne</t>
  </si>
  <si>
    <t>Kirsty</t>
  </si>
  <si>
    <t>14 DICK LANE</t>
  </si>
  <si>
    <t>THORNBURY</t>
  </si>
  <si>
    <t>BRADFORD</t>
  </si>
  <si>
    <t>BD3 7AT</t>
  </si>
  <si>
    <t>S</t>
  </si>
  <si>
    <t>Single consultation with various observations, no particular scenarios</t>
  </si>
  <si>
    <t>SECTION 3 - Patients that exist on the TPP test demonstrator system</t>
  </si>
  <si>
    <t>PatientName</t>
  </si>
  <si>
    <t>NHSNumber</t>
  </si>
  <si>
    <t>DateOfBirth</t>
  </si>
  <si>
    <t>NationalPracticeCode</t>
  </si>
  <si>
    <t xml:space="preserve">944 450 0764 </t>
  </si>
  <si>
    <t xml:space="preserve">Ms Orpha Gracie </t>
  </si>
  <si>
    <t>J82132</t>
  </si>
  <si>
    <t>Test Patient has a Revised Mobile Number</t>
  </si>
  <si>
    <t xml:space="preserve">945 006 3869 </t>
  </si>
  <si>
    <t xml:space="preserve">Mr Yi Yeh </t>
  </si>
  <si>
    <t>Configured of 0.7.3</t>
  </si>
  <si>
    <t xml:space="preserve">945 005 6234 </t>
  </si>
  <si>
    <t>Ms Adelle Gregor</t>
  </si>
  <si>
    <t>This patient has not consented to share out her data.</t>
  </si>
  <si>
    <t>Age (for Foundry tests)</t>
  </si>
  <si>
    <t>AGE (in words)</t>
  </si>
  <si>
    <t>NHS_NUMBER</t>
  </si>
  <si>
    <t>DATE_OF_BIRTH</t>
  </si>
  <si>
    <t>ADDRESS_LINE_1</t>
  </si>
  <si>
    <t>ADDRESS_LINE_2</t>
  </si>
  <si>
    <t>ADDRESS_LINE_3</t>
  </si>
  <si>
    <t>ADDRESS_LINE_4</t>
  </si>
  <si>
    <t>ADDRESS_LINE_5</t>
  </si>
  <si>
    <t>PAF_KEY</t>
  </si>
  <si>
    <t>PRIMARY_CARE_CODE</t>
  </si>
  <si>
    <t>REF_ID</t>
  </si>
  <si>
    <t>Notes</t>
  </si>
  <si>
    <t>01/01/1850</t>
  </si>
  <si>
    <t>Derek</t>
  </si>
  <si>
    <t>Graham</t>
  </si>
  <si>
    <t>LESLIE</t>
  </si>
  <si>
    <t>STUDLEY HOUSE</t>
  </si>
  <si>
    <t>GARSDALE AVENUE</t>
  </si>
  <si>
    <t>BD10 9DB</t>
  </si>
  <si>
    <t>DoB - Too small</t>
  </si>
  <si>
    <t>WAFEEQ</t>
  </si>
  <si>
    <t>SADI</t>
  </si>
  <si>
    <t>AL-SHOWAIER</t>
  </si>
  <si>
    <t>1 STONELEIGH COURT</t>
  </si>
  <si>
    <t>STATION ROAD</t>
  </si>
  <si>
    <t>STOKE D'ABERNON</t>
  </si>
  <si>
    <t>COBHAM</t>
  </si>
  <si>
    <t>SURREY</t>
  </si>
  <si>
    <t>H81109</t>
  </si>
  <si>
    <t>KT11 3BT</t>
  </si>
  <si>
    <t>MICAH</t>
  </si>
  <si>
    <t>ALAN</t>
  </si>
  <si>
    <t>BALDING</t>
  </si>
  <si>
    <t>10 CHETWODE DRIVE</t>
  </si>
  <si>
    <t>EPSOM</t>
  </si>
  <si>
    <t>KT18 5TL</t>
  </si>
  <si>
    <t>DROGO</t>
  </si>
  <si>
    <t>SACHIE</t>
  </si>
  <si>
    <t>MACCURRACH</t>
  </si>
  <si>
    <t>1 PRINCES DRIVE</t>
  </si>
  <si>
    <t>OXSHOTT</t>
  </si>
  <si>
    <t>LEATHERHEAD</t>
  </si>
  <si>
    <t>KT22 0UL</t>
  </si>
  <si>
    <t>MARGO</t>
  </si>
  <si>
    <t>BUTCHER</t>
  </si>
  <si>
    <t>26 THE AVENUE</t>
  </si>
  <si>
    <t>WORCESTER PARK</t>
  </si>
  <si>
    <t>KT4 7EY</t>
  </si>
  <si>
    <t>DOLPH</t>
  </si>
  <si>
    <t>WINSLOW</t>
  </si>
  <si>
    <t>HULSE</t>
  </si>
  <si>
    <t>10 MERRILYN CLOSE</t>
  </si>
  <si>
    <t>CLAYGATE</t>
  </si>
  <si>
    <t>ESHER</t>
  </si>
  <si>
    <t>KT10 0EQ</t>
  </si>
  <si>
    <t>LYLE</t>
  </si>
  <si>
    <t>RAWNSLEY</t>
  </si>
  <si>
    <t>100 WALSINGHAM GARDENS</t>
  </si>
  <si>
    <t>KT19 0ND</t>
  </si>
  <si>
    <t>REGENA</t>
  </si>
  <si>
    <t>CHANEL</t>
  </si>
  <si>
    <t>LALAU</t>
  </si>
  <si>
    <t>2 CALVERT CLOSE</t>
  </si>
  <si>
    <t>KT19 8AB</t>
  </si>
  <si>
    <t>ZOE</t>
  </si>
  <si>
    <t>KRISTAL</t>
  </si>
  <si>
    <t>MIDDLECOTE</t>
  </si>
  <si>
    <t>11 OLDFIELD GARDENS</t>
  </si>
  <si>
    <t>ASHTEAD</t>
  </si>
  <si>
    <t>KT21 2NA</t>
  </si>
  <si>
    <t>IESHA</t>
  </si>
  <si>
    <t>MICHELLE</t>
  </si>
  <si>
    <t>LION</t>
  </si>
  <si>
    <t>BERWICK COURT</t>
  </si>
  <si>
    <t>31 THE AVENUE</t>
  </si>
  <si>
    <t>KT4 7HE</t>
  </si>
  <si>
    <t>TRACE</t>
  </si>
  <si>
    <t>LEWINGTON</t>
  </si>
  <si>
    <t>1 NETHERNE LANE</t>
  </si>
  <si>
    <t>COULSDON</t>
  </si>
  <si>
    <t>CR5 1NR</t>
  </si>
  <si>
    <t>KYLER</t>
  </si>
  <si>
    <t>DORIS</t>
  </si>
  <si>
    <t>KHICHEN-HOCHE</t>
  </si>
  <si>
    <t>WELLBOTTOM COTTAGE</t>
  </si>
  <si>
    <t>THE DOWNS</t>
  </si>
  <si>
    <t>KT22 8JZ</t>
  </si>
  <si>
    <t>ALEXANDRINA</t>
  </si>
  <si>
    <t>MERIDITH</t>
  </si>
  <si>
    <t>MCBRYDE</t>
  </si>
  <si>
    <t>27 KINGSTON ROAD</t>
  </si>
  <si>
    <t>KT17 2EG</t>
  </si>
  <si>
    <t>CLEVELAND</t>
  </si>
  <si>
    <t>RINGROSE</t>
  </si>
  <si>
    <t>1 PADDOCK CLOSE</t>
  </si>
  <si>
    <t>BEARE GREEN</t>
  </si>
  <si>
    <t>DORKING</t>
  </si>
  <si>
    <t>RH5 4QZ</t>
  </si>
  <si>
    <t>BRENTON</t>
  </si>
  <si>
    <t>EARLE</t>
  </si>
  <si>
    <t>RATLEY</t>
  </si>
  <si>
    <t>112A</t>
  </si>
  <si>
    <t>HIGH STREET</t>
  </si>
  <si>
    <t>RH4 1BA</t>
  </si>
  <si>
    <t>MARCIE</t>
  </si>
  <si>
    <t>PATEY</t>
  </si>
  <si>
    <t>2 CAIRN COURT</t>
  </si>
  <si>
    <t>WEST STREET</t>
  </si>
  <si>
    <t>EWELL</t>
  </si>
  <si>
    <t>KT17 1XQ</t>
  </si>
  <si>
    <t>BLAKE</t>
  </si>
  <si>
    <t>SAMMY</t>
  </si>
  <si>
    <t>PATRICK</t>
  </si>
  <si>
    <t>2 LONGWOOD COURT</t>
  </si>
  <si>
    <t>THE AVENUE</t>
  </si>
  <si>
    <t>KT4 7EJ</t>
  </si>
  <si>
    <t>SEBASTIAN</t>
  </si>
  <si>
    <t>MOYOMBO</t>
  </si>
  <si>
    <t>STAFFORD COURT</t>
  </si>
  <si>
    <t>KINGSCROFT ROAD</t>
  </si>
  <si>
    <t>BANSTEAD</t>
  </si>
  <si>
    <t>SM7 3NE</t>
  </si>
  <si>
    <t>RAIN</t>
  </si>
  <si>
    <t>MCTAGUE</t>
  </si>
  <si>
    <t>1 PIXHOLME GROVE</t>
  </si>
  <si>
    <t>RH4 1PJ</t>
  </si>
  <si>
    <t>PULKITA</t>
  </si>
  <si>
    <t>SANMUGASUNDERAM</t>
  </si>
  <si>
    <t>1 THE LAURELS</t>
  </si>
  <si>
    <t>SM7 2HG</t>
  </si>
  <si>
    <t>KELSEY</t>
  </si>
  <si>
    <t>BRANDE</t>
  </si>
  <si>
    <t>PICTON-CLARK</t>
  </si>
  <si>
    <t>WILLOW COTTAGE</t>
  </si>
  <si>
    <t>WORPLE ROAD</t>
  </si>
  <si>
    <t>KT22 8HG</t>
  </si>
  <si>
    <t>NEVILLE</t>
  </si>
  <si>
    <t>TERRANCE</t>
  </si>
  <si>
    <t>LAURENCE</t>
  </si>
  <si>
    <t>1 PETERSMEAD CLOSE</t>
  </si>
  <si>
    <t>TADWORTH</t>
  </si>
  <si>
    <t>KT20 5AR</t>
  </si>
  <si>
    <t>DANI</t>
  </si>
  <si>
    <t>RINA</t>
  </si>
  <si>
    <t>RUBENSTEIN</t>
  </si>
  <si>
    <t>SERVITE HOUSE</t>
  </si>
  <si>
    <t>KT4 7HU</t>
  </si>
  <si>
    <t>RYAN</t>
  </si>
  <si>
    <t>COTY</t>
  </si>
  <si>
    <t>WOODHALL</t>
  </si>
  <si>
    <t>DEERLEAP</t>
  </si>
  <si>
    <t>WEARE STREET</t>
  </si>
  <si>
    <t>CAPEL</t>
  </si>
  <si>
    <t>RH5 5JA</t>
  </si>
  <si>
    <t>SHANNON</t>
  </si>
  <si>
    <t>BOSSETT</t>
  </si>
  <si>
    <t>1 TOWER ROAD</t>
  </si>
  <si>
    <t>KT20 5QY</t>
  </si>
  <si>
    <t>HILDA</t>
  </si>
  <si>
    <t>PAGE</t>
  </si>
  <si>
    <t>MAS</t>
  </si>
  <si>
    <t>150A</t>
  </si>
  <si>
    <t>KINGSTON ROAD</t>
  </si>
  <si>
    <t>KT22 7PZ</t>
  </si>
  <si>
    <t>MALEAH</t>
  </si>
  <si>
    <t>DUNSTONE</t>
  </si>
  <si>
    <t>Indeterminate</t>
  </si>
  <si>
    <t>10 MEADOW WALK</t>
  </si>
  <si>
    <t>KT17 2EB</t>
  </si>
  <si>
    <t>RUDY</t>
  </si>
  <si>
    <t>BADDELEY</t>
  </si>
  <si>
    <t>WHITE LODGE</t>
  </si>
  <si>
    <t>HOGSHILL LANE</t>
  </si>
  <si>
    <t>KT11 2AL</t>
  </si>
  <si>
    <t>FENGGE</t>
  </si>
  <si>
    <t>LONGWEI</t>
  </si>
  <si>
    <t>LEONG</t>
  </si>
  <si>
    <t>DRYBARN COTTAGE</t>
  </si>
  <si>
    <t>HEADLEY ROAD</t>
  </si>
  <si>
    <t>KT22 8QF</t>
  </si>
  <si>
    <t>KENNEDY</t>
  </si>
  <si>
    <t>FINNEGAN</t>
  </si>
  <si>
    <t>JOHNCOCKS</t>
  </si>
  <si>
    <t>JEPSON</t>
  </si>
  <si>
    <t>SHAE</t>
  </si>
  <si>
    <t>HAZELL</t>
  </si>
  <si>
    <t>1 LOWER SAWLEY WOOD</t>
  </si>
  <si>
    <t>SM7 2DB</t>
  </si>
  <si>
    <t>SILVER</t>
  </si>
  <si>
    <t>KYNASTON</t>
  </si>
  <si>
    <t>CARTRET</t>
  </si>
  <si>
    <t>WELL HOUSE</t>
  </si>
  <si>
    <t>THE MARLD</t>
  </si>
  <si>
    <t>KT21 1RW</t>
  </si>
  <si>
    <t>FRAZIER</t>
  </si>
  <si>
    <t>JUSTIN</t>
  </si>
  <si>
    <t>BOAMAH</t>
  </si>
  <si>
    <t>28 DORKING ROAD</t>
  </si>
  <si>
    <t>KT18 7NH</t>
  </si>
  <si>
    <t>ELAINE</t>
  </si>
  <si>
    <t>GWENDOLINE</t>
  </si>
  <si>
    <t>DARGAN</t>
  </si>
  <si>
    <t>1 STERRY DRIVE</t>
  </si>
  <si>
    <t>KT19 0TG</t>
  </si>
  <si>
    <t>SINCLAIR</t>
  </si>
  <si>
    <t>FARRAR</t>
  </si>
  <si>
    <t>2 OAKDENE CLOSE</t>
  </si>
  <si>
    <t>BOOKHAM</t>
  </si>
  <si>
    <t>KT23 4PT</t>
  </si>
  <si>
    <t>WASHINGTON</t>
  </si>
  <si>
    <t>CROMBIE</t>
  </si>
  <si>
    <t>COPPERWOOD</t>
  </si>
  <si>
    <t>PARK LANE</t>
  </si>
  <si>
    <t>KT21 1EJ</t>
  </si>
  <si>
    <t>TAMMARA</t>
  </si>
  <si>
    <t>BRITTAIN</t>
  </si>
  <si>
    <t>11 DANETREE ROAD</t>
  </si>
  <si>
    <t>KT19 9SA</t>
  </si>
  <si>
    <t>MINDY</t>
  </si>
  <si>
    <t>EPPIE</t>
  </si>
  <si>
    <t>TWOMEY</t>
  </si>
  <si>
    <t>CHARTFIELD</t>
  </si>
  <si>
    <t>GUILDFORD ROAD</t>
  </si>
  <si>
    <t>WESTCOTT</t>
  </si>
  <si>
    <t>RH4 3LG</t>
  </si>
  <si>
    <t>VAUGHAN</t>
  </si>
  <si>
    <t>FREDDIE</t>
  </si>
  <si>
    <t>ALLCOCK</t>
  </si>
  <si>
    <t>12 SHAWLEY CRESCENT</t>
  </si>
  <si>
    <t>KT18 5PH</t>
  </si>
  <si>
    <t>RAJSHRI</t>
  </si>
  <si>
    <t>SHARVARI</t>
  </si>
  <si>
    <t>TARANG</t>
  </si>
  <si>
    <t>2 SIMONS COURT</t>
  </si>
  <si>
    <t>RANDALLS ROAD</t>
  </si>
  <si>
    <t>KT22 7TE</t>
  </si>
  <si>
    <t>XIAOLING</t>
  </si>
  <si>
    <t>YUE YING</t>
  </si>
  <si>
    <t>LUNG</t>
  </si>
  <si>
    <t>11 EASTMONT ROAD</t>
  </si>
  <si>
    <t>KT10 9AY</t>
  </si>
  <si>
    <t>TRACEY</t>
  </si>
  <si>
    <t>DUAL</t>
  </si>
  <si>
    <t>10 SEVERN DRIVE</t>
  </si>
  <si>
    <t>KT10 0AN</t>
  </si>
  <si>
    <t>MAJDIYYA</t>
  </si>
  <si>
    <t>FAWZIA</t>
  </si>
  <si>
    <t>10 HERMITAGE CLOSE</t>
  </si>
  <si>
    <t>KT10 0HH</t>
  </si>
  <si>
    <t>BARTON-COOKE</t>
  </si>
  <si>
    <t>Not known</t>
  </si>
  <si>
    <t>12 WINKWORTH ROAD</t>
  </si>
  <si>
    <t>SM7 2QE</t>
  </si>
  <si>
    <t>ELLIS</t>
  </si>
  <si>
    <t>ORA</t>
  </si>
  <si>
    <t>ON</t>
  </si>
  <si>
    <t>10 MELTON PLACE</t>
  </si>
  <si>
    <t>KT19 9EE</t>
  </si>
  <si>
    <t>GODRIC</t>
  </si>
  <si>
    <t>DOUBLE</t>
  </si>
  <si>
    <t>62 COMMON ROAD</t>
  </si>
  <si>
    <t>KT10 0HW</t>
  </si>
  <si>
    <t>Used for multiple matches</t>
  </si>
  <si>
    <t>SPIKE</t>
  </si>
  <si>
    <t>GUY</t>
  </si>
  <si>
    <t>30 FIRS CLOSE</t>
  </si>
  <si>
    <t>KT10 0NW</t>
  </si>
  <si>
    <t>EDWARD</t>
  </si>
  <si>
    <t>QUICK-INVALID-POSTCODE</t>
  </si>
  <si>
    <t>1 BETTS WAY</t>
  </si>
  <si>
    <t>LONG DITTON</t>
  </si>
  <si>
    <t>SURBITON</t>
  </si>
  <si>
    <t>LS14HY</t>
  </si>
  <si>
    <t>No space in Postcode</t>
  </si>
  <si>
    <t>ALISHA</t>
  </si>
  <si>
    <t>QUICK-INVALID-GEN</t>
  </si>
  <si>
    <t>BAILIFFS COTTAGE</t>
  </si>
  <si>
    <t>POLESDEN LACEY</t>
  </si>
  <si>
    <t>RH5 6BB</t>
  </si>
  <si>
    <t>ROMY</t>
  </si>
  <si>
    <t>LILAC</t>
  </si>
  <si>
    <t>APPLEGATE</t>
  </si>
  <si>
    <t>REEVETHORPE HOUSE</t>
  </si>
  <si>
    <t>LONDON ROAD</t>
  </si>
  <si>
    <t>KT17 2BN</t>
  </si>
  <si>
    <t>SUSAN</t>
  </si>
  <si>
    <t>BAYLEE</t>
  </si>
  <si>
    <t>RIDDELL</t>
  </si>
  <si>
    <t>CONISTON</t>
  </si>
  <si>
    <t>FETCHAM</t>
  </si>
  <si>
    <t>KT22 9DY</t>
  </si>
  <si>
    <t>MARGARET</t>
  </si>
  <si>
    <t>RHYS</t>
  </si>
  <si>
    <t>25 IMBER CLOSE</t>
  </si>
  <si>
    <t>KT10 8ED</t>
  </si>
  <si>
    <t>JOSSLYN</t>
  </si>
  <si>
    <t>STAPLES</t>
  </si>
  <si>
    <t>1 CHESTERFIELD ROAD</t>
  </si>
  <si>
    <t>KT19 9QR</t>
  </si>
  <si>
    <t>ELDREDA</t>
  </si>
  <si>
    <t>LAWMAN</t>
  </si>
  <si>
    <t>103 PRESTON LANE</t>
  </si>
  <si>
    <t>KT20 5HJ</t>
  </si>
  <si>
    <t>SHAQEEQA</t>
  </si>
  <si>
    <t>SUHAILA</t>
  </si>
  <si>
    <t>ZANDI</t>
  </si>
  <si>
    <t>2 HAZEL WALK</t>
  </si>
  <si>
    <t>NORTH HOLMWOOD</t>
  </si>
  <si>
    <t>RH5 4TQ</t>
  </si>
  <si>
    <t>CARLA</t>
  </si>
  <si>
    <t>IDONEA</t>
  </si>
  <si>
    <t>GILLEENEY</t>
  </si>
  <si>
    <t>2 LISSOMS ROAD</t>
  </si>
  <si>
    <t>CHIPSTEAD</t>
  </si>
  <si>
    <t>CR5 3LE</t>
  </si>
  <si>
    <t>DARIUS</t>
  </si>
  <si>
    <t>GEOFF</t>
  </si>
  <si>
    <t>DWYER</t>
  </si>
  <si>
    <t>19 EAST STREET</t>
  </si>
  <si>
    <t>KT17 1BD</t>
  </si>
  <si>
    <t>CHONGLIN</t>
  </si>
  <si>
    <t>XIAOJIAN</t>
  </si>
  <si>
    <t>PANG</t>
  </si>
  <si>
    <t>1 WILLIAM EVANS ROAD</t>
  </si>
  <si>
    <t>KT19 7DE</t>
  </si>
  <si>
    <t>COMFORT</t>
  </si>
  <si>
    <t>ZULA</t>
  </si>
  <si>
    <t>AINDOW</t>
  </si>
  <si>
    <t>41 THE KINGSWAY</t>
  </si>
  <si>
    <t>KT17 1NA</t>
  </si>
  <si>
    <t>12 character DOB</t>
  </si>
  <si>
    <t>AMBERLEY</t>
  </si>
  <si>
    <t>AKANKSHA</t>
  </si>
  <si>
    <t>JINEN</t>
  </si>
  <si>
    <t>101 COLLEGE ROAD</t>
  </si>
  <si>
    <t>KT17 4HY</t>
  </si>
  <si>
    <t>CYMBELINE</t>
  </si>
  <si>
    <t>DOMENIC</t>
  </si>
  <si>
    <t>WAGGOTT</t>
  </si>
  <si>
    <t>2 LOSEBERRY ROAD</t>
  </si>
  <si>
    <t>KT10 9DQ</t>
  </si>
  <si>
    <t>NAWAAL</t>
  </si>
  <si>
    <t>MARJAANA</t>
  </si>
  <si>
    <t>KORICHI</t>
  </si>
  <si>
    <t>1 THE CHASE</t>
  </si>
  <si>
    <t>KT21 2JN</t>
  </si>
  <si>
    <t>NEELY</t>
  </si>
  <si>
    <t>WILTON</t>
  </si>
  <si>
    <t>SCULLION</t>
  </si>
  <si>
    <t>35 THE AVENUE</t>
  </si>
  <si>
    <t>KT20 5DG</t>
  </si>
  <si>
    <t>NORBERT</t>
  </si>
  <si>
    <t>BRENDON</t>
  </si>
  <si>
    <t>PARKES</t>
  </si>
  <si>
    <t>HIGH TREES HOUSE</t>
  </si>
  <si>
    <t>PARKGATE ROAD</t>
  </si>
  <si>
    <t>NEWDIGATE</t>
  </si>
  <si>
    <t>RH5 5DZ</t>
  </si>
  <si>
    <t>HAL</t>
  </si>
  <si>
    <t>SEWELL-RUTTER</t>
  </si>
  <si>
    <t>100 TARTAR ROAD</t>
  </si>
  <si>
    <t>KT11 2AT</t>
  </si>
  <si>
    <t>MISTY</t>
  </si>
  <si>
    <t>MADELYN</t>
  </si>
  <si>
    <t>BERGAN</t>
  </si>
  <si>
    <t>10 THE ISLAND</t>
  </si>
  <si>
    <t>THAMES DITTON</t>
  </si>
  <si>
    <t>KT7 0SH</t>
  </si>
  <si>
    <t>GARRETT</t>
  </si>
  <si>
    <t>BOOTH</t>
  </si>
  <si>
    <t>12 ARAGON AVENUE</t>
  </si>
  <si>
    <t>KT17 2QG</t>
  </si>
  <si>
    <t>WAN</t>
  </si>
  <si>
    <t>RUILING</t>
  </si>
  <si>
    <t>IO</t>
  </si>
  <si>
    <t>GREENS FARM COTTAGE</t>
  </si>
  <si>
    <t>KINGSLAND</t>
  </si>
  <si>
    <t>RH5 5DD</t>
  </si>
  <si>
    <t>GLANVILLE</t>
  </si>
  <si>
    <t>BUCKLIN</t>
  </si>
  <si>
    <t>12 WEST END LANE</t>
  </si>
  <si>
    <t>KT10 8LA</t>
  </si>
  <si>
    <t>PHOEBE</t>
  </si>
  <si>
    <t>EILEEN</t>
  </si>
  <si>
    <t>SMITHAM</t>
  </si>
  <si>
    <t>28 KENNEL LANE</t>
  </si>
  <si>
    <t>KT22 9PJ</t>
  </si>
  <si>
    <t>CRYSTAL</t>
  </si>
  <si>
    <t>ZOWIE</t>
  </si>
  <si>
    <t>TAWSE</t>
  </si>
  <si>
    <t>1 POST HOUSE LANE</t>
  </si>
  <si>
    <t>KT23 3EA</t>
  </si>
  <si>
    <t>This patient now has no address on PDS</t>
  </si>
  <si>
    <t>STACEY</t>
  </si>
  <si>
    <t>MARISA</t>
  </si>
  <si>
    <t>TWITCHETT</t>
  </si>
  <si>
    <t>10 HEATHFIELD</t>
  </si>
  <si>
    <t>KT11 2QY</t>
  </si>
  <si>
    <t>SEWARD</t>
  </si>
  <si>
    <t>ROLPH</t>
  </si>
  <si>
    <t>WHITEFORD</t>
  </si>
  <si>
    <t>1 SANDES PLACE</t>
  </si>
  <si>
    <t>KT22 7QW</t>
  </si>
  <si>
    <t>XUE</t>
  </si>
  <si>
    <t>KANG</t>
  </si>
  <si>
    <t>CHEVIN HOUSE</t>
  </si>
  <si>
    <t>WOODPECKER LANE</t>
  </si>
  <si>
    <t>RH5 5DT</t>
  </si>
  <si>
    <t>CHUNTAO</t>
  </si>
  <si>
    <t>SOVEREIGN HOUSE</t>
  </si>
  <si>
    <t>1 BRIDGE ROAD</t>
  </si>
  <si>
    <t>EAST MOLESEY</t>
  </si>
  <si>
    <t>KT8 9EP</t>
  </si>
  <si>
    <t>CHERI</t>
  </si>
  <si>
    <t>LARYN</t>
  </si>
  <si>
    <t>SOBOLA</t>
  </si>
  <si>
    <t>FAIRING</t>
  </si>
  <si>
    <t>WARREN DRIVE</t>
  </si>
  <si>
    <t>KINGSWOOD</t>
  </si>
  <si>
    <t>KT20 6PT</t>
  </si>
  <si>
    <t>ABDUT TAWWAB</t>
  </si>
  <si>
    <t>BEI</t>
  </si>
  <si>
    <t>10 CHURCH LANE AVENUE</t>
  </si>
  <si>
    <t>CR5 3RT</t>
  </si>
  <si>
    <t>JANAE</t>
  </si>
  <si>
    <t>YSABEL</t>
  </si>
  <si>
    <t>BRADY</t>
  </si>
  <si>
    <t>THE PAVILLION</t>
  </si>
  <si>
    <t>OUTWOOD LANE</t>
  </si>
  <si>
    <t>KT20 6JP</t>
  </si>
  <si>
    <t>MARWAAN</t>
  </si>
  <si>
    <t>AL-SHAHRY</t>
  </si>
  <si>
    <t>10 LYNWOOD ROAD</t>
  </si>
  <si>
    <t>KT17 4LD</t>
  </si>
  <si>
    <t>ARIVALAGAN</t>
  </si>
  <si>
    <t>AGHARNA</t>
  </si>
  <si>
    <t>VEDATI</t>
  </si>
  <si>
    <t>1 NORMAN AVENUE</t>
  </si>
  <si>
    <t>KT17 3AB</t>
  </si>
  <si>
    <t>SAURA</t>
  </si>
  <si>
    <t>DAMINI</t>
  </si>
  <si>
    <t>SWANIMATHAN</t>
  </si>
  <si>
    <t>12 AVON CLOSE</t>
  </si>
  <si>
    <t>KT4 7AH</t>
  </si>
  <si>
    <t>TETTY</t>
  </si>
  <si>
    <t>PIMPL</t>
  </si>
  <si>
    <t>COPTHORNE</t>
  </si>
  <si>
    <t>BURNHAMS ROAD</t>
  </si>
  <si>
    <t>KT23 3BB</t>
  </si>
  <si>
    <t>SEPTEMBER</t>
  </si>
  <si>
    <t>ROBBY</t>
  </si>
  <si>
    <t>TITMUS</t>
  </si>
  <si>
    <t>1 MOSPEY CRESCENT</t>
  </si>
  <si>
    <t>KT17 4LZ</t>
  </si>
  <si>
    <t>CAILYN</t>
  </si>
  <si>
    <t>JOANDRA</t>
  </si>
  <si>
    <t>MASLING</t>
  </si>
  <si>
    <t>138 FRANCIS CLOSE</t>
  </si>
  <si>
    <t>KT19 0JT</t>
  </si>
  <si>
    <t>RAYMUND</t>
  </si>
  <si>
    <t>OMAR</t>
  </si>
  <si>
    <t>11 COMMON ROAD</t>
  </si>
  <si>
    <t>KT10 0HG</t>
  </si>
  <si>
    <t>TIMMY</t>
  </si>
  <si>
    <t>BENNETT</t>
  </si>
  <si>
    <t>OTTON</t>
  </si>
  <si>
    <t>2 LYNWOOD ROAD</t>
  </si>
  <si>
    <t>KT7 0DN</t>
  </si>
  <si>
    <t>NONA</t>
  </si>
  <si>
    <t>KENZIE</t>
  </si>
  <si>
    <t>SHIRVELL</t>
  </si>
  <si>
    <t>10 ALLUM GROVE</t>
  </si>
  <si>
    <t>KT20 5HX</t>
  </si>
  <si>
    <t>SUMANTRA</t>
  </si>
  <si>
    <t>EKALAVYA</t>
  </si>
  <si>
    <t>RAMADHIN</t>
  </si>
  <si>
    <t>1 DURLESTON PARK DRIVE</t>
  </si>
  <si>
    <t>KT23 4AJ</t>
  </si>
  <si>
    <t>JAYNE</t>
  </si>
  <si>
    <t>DELIA</t>
  </si>
  <si>
    <t>BAZIN</t>
  </si>
  <si>
    <t>1 PARK RISE CLOSE</t>
  </si>
  <si>
    <t>KT22 7JA</t>
  </si>
  <si>
    <t>KIT</t>
  </si>
  <si>
    <t>TREY</t>
  </si>
  <si>
    <t>ESKANDARIZADEH</t>
  </si>
  <si>
    <t>1 CHILMANS DRIVE</t>
  </si>
  <si>
    <t>KT23 4BX</t>
  </si>
  <si>
    <t>BABETTE</t>
  </si>
  <si>
    <t>MARINDA</t>
  </si>
  <si>
    <t>SIROPOULOS</t>
  </si>
  <si>
    <t>100 SPEER ROAD</t>
  </si>
  <si>
    <t>KT7 0PP</t>
  </si>
  <si>
    <t>LULA</t>
  </si>
  <si>
    <t>HAVEN</t>
  </si>
  <si>
    <t>BUCKLAND</t>
  </si>
  <si>
    <t>292 KINGSTON ROAD</t>
  </si>
  <si>
    <t>KT22 7QE</t>
  </si>
  <si>
    <t>ROSALYN</t>
  </si>
  <si>
    <t>LILLIA</t>
  </si>
  <si>
    <t>DESTE</t>
  </si>
  <si>
    <t>10 HIGHLANDS AVENUE</t>
  </si>
  <si>
    <t>KT22 8NN</t>
  </si>
  <si>
    <t>TIFFANI</t>
  </si>
  <si>
    <t>KHARPAL</t>
  </si>
  <si>
    <t>1 TILT ROAD</t>
  </si>
  <si>
    <t>KT11 3HP</t>
  </si>
  <si>
    <t>KRISTEEN</t>
  </si>
  <si>
    <t>LANNIGAN</t>
  </si>
  <si>
    <t>30 THORKHILL ROAD</t>
  </si>
  <si>
    <t>KT7 0UG</t>
  </si>
  <si>
    <t>FORTUNE</t>
  </si>
  <si>
    <t>PELHAM</t>
  </si>
  <si>
    <t>ALL SEVENS</t>
  </si>
  <si>
    <t>TATTENHAM CRESCENT</t>
  </si>
  <si>
    <t>KT18 5NU</t>
  </si>
  <si>
    <t>BRITANNIA</t>
  </si>
  <si>
    <t>MACGILVRA</t>
  </si>
  <si>
    <t>CHARWYL</t>
  </si>
  <si>
    <t>HORSHAM ROAD</t>
  </si>
  <si>
    <t>RH5 5LF</t>
  </si>
  <si>
    <t>BRITTANI</t>
  </si>
  <si>
    <t>TAMEKA</t>
  </si>
  <si>
    <t>HANDFORD</t>
  </si>
  <si>
    <t>10 WEST HILL</t>
  </si>
  <si>
    <t>KT19 8HR</t>
  </si>
  <si>
    <t>LOVELL</t>
  </si>
  <si>
    <t>HUBERT</t>
  </si>
  <si>
    <t>MCANUFF</t>
  </si>
  <si>
    <t>ELVEDEN COURT</t>
  </si>
  <si>
    <t>EPSOM ROAD</t>
  </si>
  <si>
    <t>KT22 8TD</t>
  </si>
  <si>
    <t>CAREEN</t>
  </si>
  <si>
    <t>BAILEY</t>
  </si>
  <si>
    <t>BURDIS</t>
  </si>
  <si>
    <t>102 ALBERT ROAD</t>
  </si>
  <si>
    <t>KT17 4EL</t>
  </si>
  <si>
    <t>SERAFINE</t>
  </si>
  <si>
    <t>LISA</t>
  </si>
  <si>
    <t>SUSSKIND</t>
  </si>
  <si>
    <t>28 AGATES LANE</t>
  </si>
  <si>
    <t>KT21 2ND</t>
  </si>
  <si>
    <t>MURPHY</t>
  </si>
  <si>
    <t>CAMPBELLHENRY</t>
  </si>
  <si>
    <t>BOX COTTAGE</t>
  </si>
  <si>
    <t>TOT HILL</t>
  </si>
  <si>
    <t>HEADLEY</t>
  </si>
  <si>
    <t>KT18 6PY</t>
  </si>
  <si>
    <t>TAWNY</t>
  </si>
  <si>
    <t>ALFREDA</t>
  </si>
  <si>
    <t>HIER</t>
  </si>
  <si>
    <t>1 LADYEGATE CLOSE</t>
  </si>
  <si>
    <t>RH5 4AX</t>
  </si>
  <si>
    <t>PEERS</t>
  </si>
  <si>
    <t>PETER</t>
  </si>
  <si>
    <t>KANZA</t>
  </si>
  <si>
    <t>10 BADINGHAM DRIVE</t>
  </si>
  <si>
    <t>KT22 9ES</t>
  </si>
  <si>
    <t>ROYDON</t>
  </si>
  <si>
    <t>CHIP</t>
  </si>
  <si>
    <t>AKRASI</t>
  </si>
  <si>
    <t>35 STEVENS LANE</t>
  </si>
  <si>
    <t>KT10 0TQ</t>
  </si>
  <si>
    <t>GURKIRAN</t>
  </si>
  <si>
    <t>KAUR</t>
  </si>
  <si>
    <t>JAMMU</t>
  </si>
  <si>
    <t>10 UPLANDS</t>
  </si>
  <si>
    <t>KT21 2TN</t>
  </si>
  <si>
    <t>PARAMVEER</t>
  </si>
  <si>
    <t>SINGH</t>
  </si>
  <si>
    <t>VISWANATH</t>
  </si>
  <si>
    <t>12 ROUNDWOOD WAY</t>
  </si>
  <si>
    <t>SM7 1EF</t>
  </si>
  <si>
    <t>KEIRA</t>
  </si>
  <si>
    <t>MERLA</t>
  </si>
  <si>
    <t>JOLLIFF</t>
  </si>
  <si>
    <t>2 PERRYLANDS</t>
  </si>
  <si>
    <t>CHARLWOOD</t>
  </si>
  <si>
    <t>HORLEY</t>
  </si>
  <si>
    <t>RH6 0BP</t>
  </si>
  <si>
    <t>DOROTHEA</t>
  </si>
  <si>
    <t>EVETTE</t>
  </si>
  <si>
    <t>LEFEUVRE-RODGERS</t>
  </si>
  <si>
    <t>MICHAELAS COTTAGE</t>
  </si>
  <si>
    <t>MICKLEHAM</t>
  </si>
  <si>
    <t>RH5 6DE</t>
  </si>
  <si>
    <t>RHETT</t>
  </si>
  <si>
    <t>STEF</t>
  </si>
  <si>
    <t>HILLSDEN</t>
  </si>
  <si>
    <t>HILL COTTAGE</t>
  </si>
  <si>
    <t>LOGMORE LANE</t>
  </si>
  <si>
    <t>RH4 3JY</t>
  </si>
  <si>
    <t>SUMANA</t>
  </si>
  <si>
    <t>BHAGWANTI</t>
  </si>
  <si>
    <t>SHANBHAG</t>
  </si>
  <si>
    <t>PINEWOOD</t>
  </si>
  <si>
    <t>PARK ROAD</t>
  </si>
  <si>
    <t>KT21 2QP</t>
  </si>
  <si>
    <t>DARIN</t>
  </si>
  <si>
    <t>FORTESCUE</t>
  </si>
  <si>
    <t>11 SPINDLEWOODS</t>
  </si>
  <si>
    <t>KT20 5AU</t>
  </si>
  <si>
    <t>BRITTON</t>
  </si>
  <si>
    <t>MONTE</t>
  </si>
  <si>
    <t>GOVE</t>
  </si>
  <si>
    <t>128 PORTNALLS ROAD</t>
  </si>
  <si>
    <t>CR5 3DX</t>
  </si>
  <si>
    <t>NICK</t>
  </si>
  <si>
    <t>ANDERTON</t>
  </si>
  <si>
    <t>10 ST. JAMES COURT</t>
  </si>
  <si>
    <t>WOODFIELD CLOSE</t>
  </si>
  <si>
    <t>KT21 2RU</t>
  </si>
  <si>
    <t>FAREED</t>
  </si>
  <si>
    <t>MUJAHID</t>
  </si>
  <si>
    <t>ISHKANIAN</t>
  </si>
  <si>
    <t>11 HURST LANE</t>
  </si>
  <si>
    <t>KT8 9EA</t>
  </si>
  <si>
    <t>THOM</t>
  </si>
  <si>
    <t>MINETTE</t>
  </si>
  <si>
    <t>10 NORK RISE</t>
  </si>
  <si>
    <t>SM7 1JN</t>
  </si>
  <si>
    <t>GWENEVERE</t>
  </si>
  <si>
    <t>SHERRY</t>
  </si>
  <si>
    <t>NEWLEY</t>
  </si>
  <si>
    <t>14 MORE LANE</t>
  </si>
  <si>
    <t>KT10 8AN</t>
  </si>
  <si>
    <t>SPINKS</t>
  </si>
  <si>
    <t>1 WORPLE ROAD</t>
  </si>
  <si>
    <t>KT22 8HQ</t>
  </si>
  <si>
    <t>ABIGAYLE</t>
  </si>
  <si>
    <t>ALIVIA</t>
  </si>
  <si>
    <t>CORNFORD</t>
  </si>
  <si>
    <t>ARDEN</t>
  </si>
  <si>
    <t>CHAPEL LANE</t>
  </si>
  <si>
    <t>WESTHUMBLE</t>
  </si>
  <si>
    <t>RH5 6AH</t>
  </si>
  <si>
    <t>PAM</t>
  </si>
  <si>
    <t>ARYANA</t>
  </si>
  <si>
    <t>CROQUENOIS</t>
  </si>
  <si>
    <t>1 THE SYCAMORES</t>
  </si>
  <si>
    <t>KT23 4AP</t>
  </si>
  <si>
    <t>DERRICK</t>
  </si>
  <si>
    <t>BEIRNE</t>
  </si>
  <si>
    <t>1 ERNEST COTTAGES</t>
  </si>
  <si>
    <t>KT17 2DS</t>
  </si>
  <si>
    <t>MARY JANE</t>
  </si>
  <si>
    <t>O'MY GOODNESS</t>
  </si>
  <si>
    <t>FLATS LANE</t>
  </si>
  <si>
    <t>BARWICK-IN-ELMET</t>
  </si>
  <si>
    <t>WEST YORKSHIRE</t>
  </si>
  <si>
    <t>LS15 4LJ</t>
  </si>
  <si>
    <t>RIKKI</t>
  </si>
  <si>
    <t>KENDRA</t>
  </si>
  <si>
    <t>ARLOW</t>
  </si>
  <si>
    <t>18 GUILDFORD ROAD</t>
  </si>
  <si>
    <t>KT23 4JH</t>
  </si>
  <si>
    <t>POPPY</t>
  </si>
  <si>
    <t>JODI</t>
  </si>
  <si>
    <t>ROBERTS</t>
  </si>
  <si>
    <t>1 CANADA ROAD</t>
  </si>
  <si>
    <t>Previously Joan Jodie Robertson</t>
  </si>
  <si>
    <t>PAULINE</t>
  </si>
  <si>
    <t>SAVANNA</t>
  </si>
  <si>
    <t>10 WESTWOOD CLOSE</t>
  </si>
  <si>
    <t>LA12 7HG</t>
  </si>
  <si>
    <t>JORDAN</t>
  </si>
  <si>
    <t>1 NIGHTINGALE ROAD</t>
  </si>
  <si>
    <t>E4 7RD</t>
  </si>
  <si>
    <t>NAAZIM</t>
  </si>
  <si>
    <t>HUSNI</t>
  </si>
  <si>
    <t>APPIAH-KUBI</t>
  </si>
  <si>
    <t>2 SAYERS CLOSE</t>
  </si>
  <si>
    <t>KT22 9PE</t>
  </si>
  <si>
    <t>BRIAN</t>
  </si>
  <si>
    <t>EVERETTE</t>
  </si>
  <si>
    <t>BLESSED</t>
  </si>
  <si>
    <t>3 BLUE CEDARS PLACE</t>
  </si>
  <si>
    <t>WS2 0LJ</t>
  </si>
  <si>
    <t>BRYANT</t>
  </si>
  <si>
    <t>SINJIN</t>
  </si>
  <si>
    <t>COLDHAM</t>
  </si>
  <si>
    <t>1 RANDOLPH ROAD</t>
  </si>
  <si>
    <t>KT17 4LA</t>
  </si>
  <si>
    <t>APRIL</t>
  </si>
  <si>
    <t>NATASHA</t>
  </si>
  <si>
    <t>FOOL</t>
  </si>
  <si>
    <t>11 EATON PARK</t>
  </si>
  <si>
    <t>KT11 2JF</t>
  </si>
  <si>
    <t>CINCO</t>
  </si>
  <si>
    <t>INDIANA</t>
  </si>
  <si>
    <t>DEMAYO</t>
  </si>
  <si>
    <t>17 BANSTEAD ROAD</t>
  </si>
  <si>
    <t>KT17 3EZ</t>
  </si>
  <si>
    <t>FIRST</t>
  </si>
  <si>
    <t>SONNIE</t>
  </si>
  <si>
    <t>JUNE</t>
  </si>
  <si>
    <t>10 LONGDOWN LANE NORTH</t>
  </si>
  <si>
    <t>KT17 3JQ</t>
  </si>
  <si>
    <t>RAE</t>
  </si>
  <si>
    <t>PENE</t>
  </si>
  <si>
    <t>LEATHER</t>
  </si>
  <si>
    <t>10 HAWTHORNE PLACE</t>
  </si>
  <si>
    <t>KT17 4AA</t>
  </si>
  <si>
    <t>JULY</t>
  </si>
  <si>
    <t>1 PROVIDENCE PLACE</t>
  </si>
  <si>
    <t>KT17 4BB</t>
  </si>
  <si>
    <t>IDONY</t>
  </si>
  <si>
    <t>CARDEN</t>
  </si>
  <si>
    <t>102 CHAPEL WAY</t>
  </si>
  <si>
    <t>KT18 5SY</t>
  </si>
  <si>
    <t>NESSA</t>
  </si>
  <si>
    <t>EMMY</t>
  </si>
  <si>
    <t>WINGAR</t>
  </si>
  <si>
    <t>2 GRANGE CLOSE</t>
  </si>
  <si>
    <t>KT22 7JX</t>
  </si>
  <si>
    <t>XUI LI</t>
  </si>
  <si>
    <t>XENIA</t>
  </si>
  <si>
    <t>ZHOU ZHU</t>
  </si>
  <si>
    <t>41 ARUNDEL AVENUE</t>
  </si>
  <si>
    <t>KT17 2RJ</t>
  </si>
  <si>
    <t>ABDUL JALEEL</t>
  </si>
  <si>
    <t>NAWFAL</t>
  </si>
  <si>
    <t>ALRABICI</t>
  </si>
  <si>
    <t>BRIDGE PLACE 16-20</t>
  </si>
  <si>
    <t>BRIDGE STREET</t>
  </si>
  <si>
    <t>KT22 8BF</t>
  </si>
  <si>
    <t>JACKIE</t>
  </si>
  <si>
    <t>MONA</t>
  </si>
  <si>
    <t>SETTER</t>
  </si>
  <si>
    <t>CHESTERS</t>
  </si>
  <si>
    <t>CROYDON LANE</t>
  </si>
  <si>
    <t>SM7 3BJ</t>
  </si>
  <si>
    <t>QIANG</t>
  </si>
  <si>
    <t>SAM</t>
  </si>
  <si>
    <t>76 SOUTH TERRACE</t>
  </si>
  <si>
    <t>RH4 2AQ</t>
  </si>
  <si>
    <t>RIANNON</t>
  </si>
  <si>
    <t>LILYBET</t>
  </si>
  <si>
    <t>LOMMIS</t>
  </si>
  <si>
    <t>1 FERRY ROAD</t>
  </si>
  <si>
    <t>KT7 0YA</t>
  </si>
  <si>
    <t>ARCHIBALD</t>
  </si>
  <si>
    <t>EDSALL</t>
  </si>
  <si>
    <t>10 NIMBUS ROAD</t>
  </si>
  <si>
    <t>KT19 9BJ</t>
  </si>
  <si>
    <t>TAEGAN</t>
  </si>
  <si>
    <t>OLYVIA</t>
  </si>
  <si>
    <t>PERCHEHAY</t>
  </si>
  <si>
    <t>15 KINGSTON ROAD</t>
  </si>
  <si>
    <t>KT17 2DX</t>
  </si>
  <si>
    <t>CASS</t>
  </si>
  <si>
    <t>COLUMBINE</t>
  </si>
  <si>
    <t>STREETON</t>
  </si>
  <si>
    <t>22 MILL LANE</t>
  </si>
  <si>
    <t>RH4 1DX</t>
  </si>
  <si>
    <t>BALVAN</t>
  </si>
  <si>
    <t>LATA</t>
  </si>
  <si>
    <t>11 CHERRY ORCHARD ROAD</t>
  </si>
  <si>
    <t>WEST MOLESEY</t>
  </si>
  <si>
    <t>KT8 1QZ</t>
  </si>
  <si>
    <t>NADIA</t>
  </si>
  <si>
    <t>HILLAKER</t>
  </si>
  <si>
    <t>11 CHESTERFIELD ROAD</t>
  </si>
  <si>
    <t>GEELAN</t>
  </si>
  <si>
    <t>CUILLINS</t>
  </si>
  <si>
    <t>DORKING ROAD</t>
  </si>
  <si>
    <t>WALTON ON THE HILL</t>
  </si>
  <si>
    <t>KT20 7RH</t>
  </si>
  <si>
    <t>ANISE</t>
  </si>
  <si>
    <t>CAPALDI</t>
  </si>
  <si>
    <t>1 ST. ANDREWS WALK</t>
  </si>
  <si>
    <t>KT11 3EQ</t>
  </si>
  <si>
    <t>PATSY</t>
  </si>
  <si>
    <t>MACY</t>
  </si>
  <si>
    <t>MACKILLOP</t>
  </si>
  <si>
    <t>1 CORONATION COTTAGES</t>
  </si>
  <si>
    <t>VICTORIA PLACE</t>
  </si>
  <si>
    <t>KT17 1BZ</t>
  </si>
  <si>
    <t>MARCUS</t>
  </si>
  <si>
    <t>PAULIE</t>
  </si>
  <si>
    <t>CALVERT</t>
  </si>
  <si>
    <t>GADSDEN VILLA</t>
  </si>
  <si>
    <t>GRAFTON ROAD</t>
  </si>
  <si>
    <t>KT4 7JW</t>
  </si>
  <si>
    <t>KACEY</t>
  </si>
  <si>
    <t>REDDINGS</t>
  </si>
  <si>
    <t>DUKES WOOD</t>
  </si>
  <si>
    <t>BOXHILL ROAD</t>
  </si>
  <si>
    <t>KT20 7PQ</t>
  </si>
  <si>
    <t>ELIOTT</t>
  </si>
  <si>
    <t>DOM</t>
  </si>
  <si>
    <t>RUTTER</t>
  </si>
  <si>
    <t>1 LAMMAS HOUSE</t>
  </si>
  <si>
    <t>SPEER ROAD</t>
  </si>
  <si>
    <t>KT7 0PL</t>
  </si>
  <si>
    <t>MACKENZIE</t>
  </si>
  <si>
    <t>LAILA</t>
  </si>
  <si>
    <t>PLASTED</t>
  </si>
  <si>
    <t>BEN LEVEL</t>
  </si>
  <si>
    <t>POND PIECE</t>
  </si>
  <si>
    <t>KT22 0QZ</t>
  </si>
  <si>
    <t>ZENA</t>
  </si>
  <si>
    <t>MAGEE</t>
  </si>
  <si>
    <t>1 SPURFIELD</t>
  </si>
  <si>
    <t>KT8 1RR</t>
  </si>
  <si>
    <t>DEACON</t>
  </si>
  <si>
    <t>OTIS</t>
  </si>
  <si>
    <t>SHARROCK</t>
  </si>
  <si>
    <t>BRYONY</t>
  </si>
  <si>
    <t>BUNCE COMMON ROAD</t>
  </si>
  <si>
    <t>LEIGH</t>
  </si>
  <si>
    <t>REIGATE</t>
  </si>
  <si>
    <t>RH2 8NS</t>
  </si>
  <si>
    <t>BERTINA</t>
  </si>
  <si>
    <t>KARLY</t>
  </si>
  <si>
    <t>TOWARD</t>
  </si>
  <si>
    <t>101 WALSINGHAM GARDENS</t>
  </si>
  <si>
    <t>KT19 0LZ</t>
  </si>
  <si>
    <t>JUNJIE</t>
  </si>
  <si>
    <t>U</t>
  </si>
  <si>
    <t>10 FINSLEY WALK</t>
  </si>
  <si>
    <t>DERBY</t>
  </si>
  <si>
    <t>DERBYSHIRE</t>
  </si>
  <si>
    <t>DE23 1RF</t>
  </si>
  <si>
    <t>LUANN</t>
  </si>
  <si>
    <t>QUALIE</t>
  </si>
  <si>
    <t>10 MILLHEDGE CLOSE</t>
  </si>
  <si>
    <t>KT11 3BE</t>
  </si>
  <si>
    <t>MASON</t>
  </si>
  <si>
    <t>HITCHCOX</t>
  </si>
  <si>
    <t>1 TARTAR ROAD</t>
  </si>
  <si>
    <t>KT11 2AP</t>
  </si>
  <si>
    <t>JANICE</t>
  </si>
  <si>
    <t>DELORA</t>
  </si>
  <si>
    <t>COMMINS</t>
  </si>
  <si>
    <t>18 COBHAM ROAD</t>
  </si>
  <si>
    <t>KT22 9AR</t>
  </si>
  <si>
    <t>POLLIE</t>
  </si>
  <si>
    <t>BOST</t>
  </si>
  <si>
    <t>1 KINROSS AVENUE</t>
  </si>
  <si>
    <t>KT4 7AJ</t>
  </si>
  <si>
    <t>TYLAR</t>
  </si>
  <si>
    <t>PIASKO</t>
  </si>
  <si>
    <t>7 HIGH STREET</t>
  </si>
  <si>
    <t>KT10 0JN</t>
  </si>
  <si>
    <t>LAUNCE</t>
  </si>
  <si>
    <t>MACCAMMOND</t>
  </si>
  <si>
    <t>13 SHRUBLAND ROAD</t>
  </si>
  <si>
    <t>SM7 2ES</t>
  </si>
  <si>
    <t>NIGELIA</t>
  </si>
  <si>
    <t>PETA</t>
  </si>
  <si>
    <t>QUICK-INVALIDNHSNO</t>
  </si>
  <si>
    <t>BOLANDS</t>
  </si>
  <si>
    <t>RAIKES HOLLOW</t>
  </si>
  <si>
    <t>ABINGER HAMMER</t>
  </si>
  <si>
    <t>RH5 6PU</t>
  </si>
  <si>
    <t>LINSAY</t>
  </si>
  <si>
    <t>WHITNEY</t>
  </si>
  <si>
    <t>HAWKER</t>
  </si>
  <si>
    <t>12 EASTMONT ROAD</t>
  </si>
  <si>
    <t>KT10 9AZ</t>
  </si>
  <si>
    <t>COURTNEY</t>
  </si>
  <si>
    <t>OHIKHUARE</t>
  </si>
  <si>
    <t>151 TILT ROAD</t>
  </si>
  <si>
    <t>KT11 3HT</t>
  </si>
  <si>
    <t>PERCE</t>
  </si>
  <si>
    <t>MORTON</t>
  </si>
  <si>
    <t>WARISO</t>
  </si>
  <si>
    <t>1 CUMBERLAND CLOSE</t>
  </si>
  <si>
    <t>KT19 9JP</t>
  </si>
  <si>
    <t>SLOAN</t>
  </si>
  <si>
    <t>CAMRON</t>
  </si>
  <si>
    <t>COMPLIN</t>
  </si>
  <si>
    <t>UNIT 9</t>
  </si>
  <si>
    <t>KILN LANE</t>
  </si>
  <si>
    <t>KT17 1DH</t>
  </si>
  <si>
    <t>TARAH</t>
  </si>
  <si>
    <t>JANETTE</t>
  </si>
  <si>
    <t>BORIANIFISHER</t>
  </si>
  <si>
    <t>1 HOOKWOOD COTTAGES</t>
  </si>
  <si>
    <t>HURST LANE</t>
  </si>
  <si>
    <t>KT18 6EA</t>
  </si>
  <si>
    <t>KYRSTEN</t>
  </si>
  <si>
    <t>SHELENA</t>
  </si>
  <si>
    <t>BHALLA</t>
  </si>
  <si>
    <t>13 BREECH LANE</t>
  </si>
  <si>
    <t>KT20 7SJ</t>
  </si>
  <si>
    <t>REBA</t>
  </si>
  <si>
    <t>COREEN</t>
  </si>
  <si>
    <t>DERRETT</t>
  </si>
  <si>
    <t>HAZELDENE</t>
  </si>
  <si>
    <t>KT22 7AA</t>
  </si>
  <si>
    <t>SUKIE</t>
  </si>
  <si>
    <t>JAYLYN</t>
  </si>
  <si>
    <t>ARCHBOLD</t>
  </si>
  <si>
    <t>WEST HILL COURT</t>
  </si>
  <si>
    <t>COURT LANE</t>
  </si>
  <si>
    <t>KT19 8JF</t>
  </si>
  <si>
    <t>MARYANN</t>
  </si>
  <si>
    <t>MINNIE</t>
  </si>
  <si>
    <t>SINHA</t>
  </si>
  <si>
    <t>1 WARWICK GARDENS</t>
  </si>
  <si>
    <t>KT21 2HR</t>
  </si>
  <si>
    <t>ANGELICA</t>
  </si>
  <si>
    <t>JONI</t>
  </si>
  <si>
    <t>RAMUNDO</t>
  </si>
  <si>
    <t>1 ARAGON AVENUE</t>
  </si>
  <si>
    <t>KT7 0PY</t>
  </si>
  <si>
    <t>IKJOT</t>
  </si>
  <si>
    <t>UDDIN</t>
  </si>
  <si>
    <t>2 NUTWOOD CLOSE</t>
  </si>
  <si>
    <t>BROCKHAM</t>
  </si>
  <si>
    <t>BETCHWORTH</t>
  </si>
  <si>
    <t>RH3 7LU</t>
  </si>
  <si>
    <t>HILLIAR</t>
  </si>
  <si>
    <t>1 CUDAS CLOSE</t>
  </si>
  <si>
    <t>KT19 0QF</t>
  </si>
  <si>
    <t>CLYDE</t>
  </si>
  <si>
    <t>STANDFIELD</t>
  </si>
  <si>
    <t>319 KINGSTON ROAD</t>
  </si>
  <si>
    <t>KT19 0BP</t>
  </si>
  <si>
    <t>MEREDITH</t>
  </si>
  <si>
    <t>FULLICK</t>
  </si>
  <si>
    <t>14 UPLAND WAY</t>
  </si>
  <si>
    <t>KT18 5ST</t>
  </si>
  <si>
    <t>ALEXANDER</t>
  </si>
  <si>
    <t>GILDERT</t>
  </si>
  <si>
    <t>102 BRIGHTON ROAD</t>
  </si>
  <si>
    <t>SM7 1BU</t>
  </si>
  <si>
    <t>JENN</t>
  </si>
  <si>
    <t>VIVIANNE</t>
  </si>
  <si>
    <t>JEFFREY</t>
  </si>
  <si>
    <t>2 FOUNTAIN COTTAGES</t>
  </si>
  <si>
    <t>KT21 1RF</t>
  </si>
  <si>
    <t>JAIMIE</t>
  </si>
  <si>
    <t>FINA</t>
  </si>
  <si>
    <t>SNOWDEN</t>
  </si>
  <si>
    <t>WELLESLEY HOUSE</t>
  </si>
  <si>
    <t>HORTON CRESCENT</t>
  </si>
  <si>
    <t>KT19 8BQ</t>
  </si>
  <si>
    <t>RONI</t>
  </si>
  <si>
    <t>LAURESSA</t>
  </si>
  <si>
    <t>GALVAOCOSTASUMMERS</t>
  </si>
  <si>
    <t>10 GATLEY AVENUE</t>
  </si>
  <si>
    <t>KT19 9NG</t>
  </si>
  <si>
    <t>BALRAJ</t>
  </si>
  <si>
    <t>MALHOTRA</t>
  </si>
  <si>
    <t>DEVON HOUSE</t>
  </si>
  <si>
    <t>THE WARREN</t>
  </si>
  <si>
    <t>KT20 6PQ</t>
  </si>
  <si>
    <t>HERMAN</t>
  </si>
  <si>
    <t>PAWAR</t>
  </si>
  <si>
    <t>108 HOOK ROAD</t>
  </si>
  <si>
    <t>KT19 8TX</t>
  </si>
  <si>
    <t>MARIUS</t>
  </si>
  <si>
    <t>MURRAY</t>
  </si>
  <si>
    <t>LUCKES</t>
  </si>
  <si>
    <t>ALPINES</t>
  </si>
  <si>
    <t>WOODLAND WAY</t>
  </si>
  <si>
    <t>KT20 6NU</t>
  </si>
  <si>
    <t>NICODEMUS</t>
  </si>
  <si>
    <t>ZACKERY</t>
  </si>
  <si>
    <t>LEGASSICK</t>
  </si>
  <si>
    <t>11 LITTLEHEATH LANE</t>
  </si>
  <si>
    <t>KT11 2QG</t>
  </si>
  <si>
    <t>SOPHRONIA</t>
  </si>
  <si>
    <t>DALTON-GOLDSPINK</t>
  </si>
  <si>
    <t>1 CROYDON LANE SOUTH</t>
  </si>
  <si>
    <t>SM7 3AF</t>
  </si>
  <si>
    <t>HAYLEE</t>
  </si>
  <si>
    <t>BETTINA</t>
  </si>
  <si>
    <t>OHUPHONGWATTHANA</t>
  </si>
  <si>
    <t>10 WATERSEDGE</t>
  </si>
  <si>
    <t>KT19 9QA</t>
  </si>
  <si>
    <t>SYDNIE</t>
  </si>
  <si>
    <t>HUMBERSTONE</t>
  </si>
  <si>
    <t>80 FAIRMILE LANE</t>
  </si>
  <si>
    <t>KT11 2DA</t>
  </si>
  <si>
    <t>VARINDRA</t>
  </si>
  <si>
    <t>SHASHIKANT</t>
  </si>
  <si>
    <t>SATAYU</t>
  </si>
  <si>
    <t>100A</t>
  </si>
  <si>
    <t>EWELL BY PASS</t>
  </si>
  <si>
    <t>KT17 2PP</t>
  </si>
  <si>
    <t>OTTOLINE</t>
  </si>
  <si>
    <t>KWAKU</t>
  </si>
  <si>
    <t>1 HELEN CLOSE</t>
  </si>
  <si>
    <t>KT8 2PU</t>
  </si>
  <si>
    <t>MARIGOLD</t>
  </si>
  <si>
    <t>KAYLIN</t>
  </si>
  <si>
    <t>COCKSHOTT</t>
  </si>
  <si>
    <t>10 DOWN STREET</t>
  </si>
  <si>
    <t>KT8 2TG</t>
  </si>
  <si>
    <t>CORTNEY</t>
  </si>
  <si>
    <t>JANE</t>
  </si>
  <si>
    <t>WOLODARSKY</t>
  </si>
  <si>
    <t>7 WOODEND</t>
  </si>
  <si>
    <t>KT22 8LN</t>
  </si>
  <si>
    <t>HEDLEY</t>
  </si>
  <si>
    <t>NIKOLAS</t>
  </si>
  <si>
    <t>CHANDARIA</t>
  </si>
  <si>
    <t>PALMERSTON HOUSE</t>
  </si>
  <si>
    <t>BASING ROAD</t>
  </si>
  <si>
    <t>SM7 2AH</t>
  </si>
  <si>
    <t>STU</t>
  </si>
  <si>
    <t>BRENNAN</t>
  </si>
  <si>
    <t>BAKHAI</t>
  </si>
  <si>
    <t>11 FAIRMILE AVENUE</t>
  </si>
  <si>
    <t>KT11 2JA</t>
  </si>
  <si>
    <t>ALIX</t>
  </si>
  <si>
    <t>MELBA</t>
  </si>
  <si>
    <t>FARRAGHER</t>
  </si>
  <si>
    <t>LONGWOOD</t>
  </si>
  <si>
    <t>KT21 2QR</t>
  </si>
  <si>
    <t>MURIEL</t>
  </si>
  <si>
    <t>ZILLAH</t>
  </si>
  <si>
    <t>WREFORD</t>
  </si>
  <si>
    <t>1 WOOLPACK COTTAGES</t>
  </si>
  <si>
    <t>RYERSH LANE</t>
  </si>
  <si>
    <t>RH5 5LH</t>
  </si>
  <si>
    <t>GEORGINA</t>
  </si>
  <si>
    <t>CHRISTIANNE</t>
  </si>
  <si>
    <t>RIMMER</t>
  </si>
  <si>
    <t>12 BROCKHAM LANE</t>
  </si>
  <si>
    <t>RH3 7EL</t>
  </si>
  <si>
    <t>IDRIS</t>
  </si>
  <si>
    <t>TREVETT-PRITCHARD</t>
  </si>
  <si>
    <t>10 HAZEL MEAD</t>
  </si>
  <si>
    <t>KT17 1PW</t>
  </si>
  <si>
    <t>LEYTON</t>
  </si>
  <si>
    <t>NAVARATNAM</t>
  </si>
  <si>
    <t>LYNE HOUSE</t>
  </si>
  <si>
    <t>RUSPER ROAD</t>
  </si>
  <si>
    <t>RH5 5HQ</t>
  </si>
  <si>
    <t>DENA</t>
  </si>
  <si>
    <t>XYLINA</t>
  </si>
  <si>
    <t>KEER</t>
  </si>
  <si>
    <t>MARTLETS</t>
  </si>
  <si>
    <t>RIDGEWAY ROAD</t>
  </si>
  <si>
    <t>RH4 3AY</t>
  </si>
  <si>
    <t>QUINLAN</t>
  </si>
  <si>
    <t>RASHAWN</t>
  </si>
  <si>
    <t>MCCARREN</t>
  </si>
  <si>
    <t>37 GLORY MEAD</t>
  </si>
  <si>
    <t>RH4 2ND</t>
  </si>
  <si>
    <t>LENARD</t>
  </si>
  <si>
    <t>EASEMAN</t>
  </si>
  <si>
    <t>LA SELVA</t>
  </si>
  <si>
    <t>PORTSMOUTH ROAD</t>
  </si>
  <si>
    <t>KT10 9JQ</t>
  </si>
  <si>
    <t>BOOKER</t>
  </si>
  <si>
    <t>DEWHIRST</t>
  </si>
  <si>
    <t>21 APPROACH ROAD</t>
  </si>
  <si>
    <t>KT8 2LL</t>
  </si>
  <si>
    <t>CEDRIC</t>
  </si>
  <si>
    <t>CADE</t>
  </si>
  <si>
    <t>HASKELL</t>
  </si>
  <si>
    <t>1 TABARIN WAY</t>
  </si>
  <si>
    <t>KT17 3NZ</t>
  </si>
  <si>
    <t>VINCENT</t>
  </si>
  <si>
    <t>ZACHARIAH</t>
  </si>
  <si>
    <t>HEWITT</t>
  </si>
  <si>
    <t>103 ROSEBERY ROAD</t>
  </si>
  <si>
    <t>KT18 6AB</t>
  </si>
  <si>
    <t>BROOK</t>
  </si>
  <si>
    <t>MEGHAN</t>
  </si>
  <si>
    <t>COMLEY</t>
  </si>
  <si>
    <t>4A</t>
  </si>
  <si>
    <t>ALEXANDRA ROAD</t>
  </si>
  <si>
    <t>KT17 4BJ</t>
  </si>
  <si>
    <t>COLTON</t>
  </si>
  <si>
    <t>ANTHONYPILLAI</t>
  </si>
  <si>
    <t>FOUR CORNERS</t>
  </si>
  <si>
    <t>REIGATE ROAD</t>
  </si>
  <si>
    <t>HOOKWOOD</t>
  </si>
  <si>
    <t>RH6 0AR</t>
  </si>
  <si>
    <t>JODIE</t>
  </si>
  <si>
    <t>BREDENHAGEN</t>
  </si>
  <si>
    <t>103 SPEER ROAD</t>
  </si>
  <si>
    <t>KT7 0PT</t>
  </si>
  <si>
    <t>ARIDATHA</t>
  </si>
  <si>
    <t>JACOBA</t>
  </si>
  <si>
    <t>STRAUSS</t>
  </si>
  <si>
    <t>CORNERWAYS</t>
  </si>
  <si>
    <t>HEATH ROAD</t>
  </si>
  <si>
    <t>KT22 0NN</t>
  </si>
  <si>
    <t>DIANN</t>
  </si>
  <si>
    <t>STAR</t>
  </si>
  <si>
    <t>ILLIDGE</t>
  </si>
  <si>
    <t>20 POOLE ROAD</t>
  </si>
  <si>
    <t>KT19 9SH</t>
  </si>
  <si>
    <t>ALLISON</t>
  </si>
  <si>
    <t>KEZIA</t>
  </si>
  <si>
    <t>TOTHILL</t>
  </si>
  <si>
    <t>2 THE BYWAY</t>
  </si>
  <si>
    <t>KT19 0PA</t>
  </si>
  <si>
    <t>BRION</t>
  </si>
  <si>
    <t>MANZOORI</t>
  </si>
  <si>
    <t>6 PORTLAND COTTAGES</t>
  </si>
  <si>
    <t>PORTLAND ROAD</t>
  </si>
  <si>
    <t>RH4 1DL</t>
  </si>
  <si>
    <t>EMMERSON</t>
  </si>
  <si>
    <t>FORD</t>
  </si>
  <si>
    <t>WILDERMUTH</t>
  </si>
  <si>
    <t>ELM GROVE LODGE</t>
  </si>
  <si>
    <t>COACH ROAD</t>
  </si>
  <si>
    <t>RH3 7JW</t>
  </si>
  <si>
    <t>IVOR</t>
  </si>
  <si>
    <t>KYLE</t>
  </si>
  <si>
    <t>LANDON</t>
  </si>
  <si>
    <t>CASTLEMAINE LODGE</t>
  </si>
  <si>
    <t>KT17 2DN</t>
  </si>
  <si>
    <t>TESS</t>
  </si>
  <si>
    <t>DOVUCU</t>
  </si>
  <si>
    <t>2 ST. MARTINS AVENUE</t>
  </si>
  <si>
    <t>KT18 5HY</t>
  </si>
  <si>
    <t>JODY</t>
  </si>
  <si>
    <t>SUBBU</t>
  </si>
  <si>
    <t>10 MAYBURY CLOSE</t>
  </si>
  <si>
    <t>KT20 6BZ</t>
  </si>
  <si>
    <t>CYAN</t>
  </si>
  <si>
    <t>ROXANNA</t>
  </si>
  <si>
    <t>BOSCH</t>
  </si>
  <si>
    <t>STANHILL COURT LODGE</t>
  </si>
  <si>
    <t>STAN HILL</t>
  </si>
  <si>
    <t>RH6 0EP</t>
  </si>
  <si>
    <t>GILLIAN</t>
  </si>
  <si>
    <t>O'HERN</t>
  </si>
  <si>
    <t>2 WOODLANDS CLOSE</t>
  </si>
  <si>
    <t>KT10 0JF</t>
  </si>
  <si>
    <t>SLY</t>
  </si>
  <si>
    <t>CLITUS</t>
  </si>
  <si>
    <t>BASFORD</t>
  </si>
  <si>
    <t>1 THE RIDINGS</t>
  </si>
  <si>
    <t>KT20 6HJ</t>
  </si>
  <si>
    <t>EBEN</t>
  </si>
  <si>
    <t>PENNEBRYGG</t>
  </si>
  <si>
    <t>11 DOWNLAND WAY</t>
  </si>
  <si>
    <t>KT18 5SL</t>
  </si>
  <si>
    <t>CHESTERMAN</t>
  </si>
  <si>
    <t>100 GATLEY AVENUE</t>
  </si>
  <si>
    <t>KT19 9NF</t>
  </si>
  <si>
    <t>JOHNNY</t>
  </si>
  <si>
    <t>NAFZGER</t>
  </si>
  <si>
    <t>1 BISHOPS COTTAGES</t>
  </si>
  <si>
    <t>CHALKPIT LANE</t>
  </si>
  <si>
    <t>RH3 7HA</t>
  </si>
  <si>
    <t>AMILIA</t>
  </si>
  <si>
    <t>MALANDRA</t>
  </si>
  <si>
    <t>MINDANG</t>
  </si>
  <si>
    <t>2 HEATHCOTE ROAD</t>
  </si>
  <si>
    <t>KT18 5EB</t>
  </si>
  <si>
    <t>BELLA</t>
  </si>
  <si>
    <t>GILL</t>
  </si>
  <si>
    <t>WATHALL</t>
  </si>
  <si>
    <t>1 THE BARTON</t>
  </si>
  <si>
    <t>KT11 2NJ</t>
  </si>
  <si>
    <t>CORA</t>
  </si>
  <si>
    <t>CHERICE</t>
  </si>
  <si>
    <t>ABRAM</t>
  </si>
  <si>
    <t>SHOOTLANDS</t>
  </si>
  <si>
    <t>ABINGER COMMON</t>
  </si>
  <si>
    <t>RH5 6JX</t>
  </si>
  <si>
    <t>HUWAIDA</t>
  </si>
  <si>
    <t>AASIMA</t>
  </si>
  <si>
    <t>ALIZADEH</t>
  </si>
  <si>
    <t>1 CRANBROOK DRIVE</t>
  </si>
  <si>
    <t>KT10 8DL</t>
  </si>
  <si>
    <t>PURDIE</t>
  </si>
  <si>
    <t>JADA</t>
  </si>
  <si>
    <t>BERTIE</t>
  </si>
  <si>
    <t>HYNDFORD</t>
  </si>
  <si>
    <t>CLIFTONVILLE</t>
  </si>
  <si>
    <t>RH4 2JF</t>
  </si>
  <si>
    <t>BLAINE</t>
  </si>
  <si>
    <t>SHARMAN</t>
  </si>
  <si>
    <t>1 THE CLOSE</t>
  </si>
  <si>
    <t>STROOD GREEN</t>
  </si>
  <si>
    <t>RH3 7JE</t>
  </si>
  <si>
    <t>WALT</t>
  </si>
  <si>
    <t>MERRY</t>
  </si>
  <si>
    <t>BRIDLE LANE HOUSE</t>
  </si>
  <si>
    <t>WRENS HILL</t>
  </si>
  <si>
    <t>KT22 0HJ</t>
  </si>
  <si>
    <t>DAMION</t>
  </si>
  <si>
    <t>HORATIO</t>
  </si>
  <si>
    <t>SANGMUAH</t>
  </si>
  <si>
    <t>ANDORRA</t>
  </si>
  <si>
    <t>CECILY</t>
  </si>
  <si>
    <t>DARCY</t>
  </si>
  <si>
    <t>FISHBURN</t>
  </si>
  <si>
    <t>13 POUND ROAD</t>
  </si>
  <si>
    <t>SM7 2HS</t>
  </si>
  <si>
    <t>TOMMIE</t>
  </si>
  <si>
    <t>SAGE</t>
  </si>
  <si>
    <t>GOODLIFFE</t>
  </si>
  <si>
    <t>2 UPLANDS DRIVE</t>
  </si>
  <si>
    <t>KT22 0JD</t>
  </si>
  <si>
    <t>BAGE</t>
  </si>
  <si>
    <t>1 HAZEL WAY</t>
  </si>
  <si>
    <t>KT22 9QF</t>
  </si>
  <si>
    <t>DETTA</t>
  </si>
  <si>
    <t>MCPHEE</t>
  </si>
  <si>
    <t>50 CRADDOCKS AVENUE</t>
  </si>
  <si>
    <t>KT21 1PG</t>
  </si>
  <si>
    <t>SIDONY</t>
  </si>
  <si>
    <t>MIRABELLE</t>
  </si>
  <si>
    <t>BARRATT</t>
  </si>
  <si>
    <t>10 PHOENIX COURT</t>
  </si>
  <si>
    <t>DEPOT ROAD</t>
  </si>
  <si>
    <t>KT17 4RN</t>
  </si>
  <si>
    <t>ALVAR</t>
  </si>
  <si>
    <t>RANDOLPH</t>
  </si>
  <si>
    <t>COLLETT</t>
  </si>
  <si>
    <t>10 HOWARD ROAD</t>
  </si>
  <si>
    <t>RH4 3HR</t>
  </si>
  <si>
    <t>FLYNN</t>
  </si>
  <si>
    <t>HUGH</t>
  </si>
  <si>
    <t>NICOLINI</t>
  </si>
  <si>
    <t>PEGASUS COURT</t>
  </si>
  <si>
    <t>21 EPSOM ROAD</t>
  </si>
  <si>
    <t>KT22 8SY</t>
  </si>
  <si>
    <t>MUTHANNA</t>
  </si>
  <si>
    <t>ABID</t>
  </si>
  <si>
    <t>DIJON</t>
  </si>
  <si>
    <t>CRAMPSHAW LANE</t>
  </si>
  <si>
    <t>KT21 2TX</t>
  </si>
  <si>
    <t>MASTVEER</t>
  </si>
  <si>
    <t>BAGHA</t>
  </si>
  <si>
    <t>10 OAKS COURT</t>
  </si>
  <si>
    <t>OAKS CLOSE</t>
  </si>
  <si>
    <t>KT22 7SJ</t>
  </si>
  <si>
    <t>JOHNNA</t>
  </si>
  <si>
    <t>BIGGIN</t>
  </si>
  <si>
    <t>CORNER COTTAGE</t>
  </si>
  <si>
    <t>THE CAUSEWAY</t>
  </si>
  <si>
    <t>KT10 0NH</t>
  </si>
  <si>
    <t>ISRAEL</t>
  </si>
  <si>
    <t>JANCSI</t>
  </si>
  <si>
    <t>SHAPIRO</t>
  </si>
  <si>
    <t>10 TEDDINGTON CLOSE</t>
  </si>
  <si>
    <t>KT19 9DW</t>
  </si>
  <si>
    <t>QUINTIN</t>
  </si>
  <si>
    <t>LIENGME</t>
  </si>
  <si>
    <t>1 LANG CLOSE</t>
  </si>
  <si>
    <t>KT22 9NL</t>
  </si>
  <si>
    <t>INDY</t>
  </si>
  <si>
    <t>ELWYN</t>
  </si>
  <si>
    <t>RAYNSFORD</t>
  </si>
  <si>
    <t>22 ENNISMORE GARDENS</t>
  </si>
  <si>
    <t>KT7 0YR</t>
  </si>
  <si>
    <t>DAMON</t>
  </si>
  <si>
    <t>BENJ</t>
  </si>
  <si>
    <t>WAITING</t>
  </si>
  <si>
    <t>1 FARM VIEW</t>
  </si>
  <si>
    <t>KT11 3HL</t>
  </si>
  <si>
    <t>TERA</t>
  </si>
  <si>
    <t>KATELYNN</t>
  </si>
  <si>
    <t>BAZELEY</t>
  </si>
  <si>
    <t>1 ELMSLIE CLOSE</t>
  </si>
  <si>
    <t>KT18 7JT</t>
  </si>
  <si>
    <t>LATIF</t>
  </si>
  <si>
    <t>ALAZAWI</t>
  </si>
  <si>
    <t>31B</t>
  </si>
  <si>
    <t>KT11 3DP</t>
  </si>
  <si>
    <t>PHEOBE</t>
  </si>
  <si>
    <t>SHRAPNELL</t>
  </si>
  <si>
    <t>10 MILTON AVENUE</t>
  </si>
  <si>
    <t>RH4 3QA</t>
  </si>
  <si>
    <t>KORINNA</t>
  </si>
  <si>
    <t>COLESHILL</t>
  </si>
  <si>
    <t>CALVIA</t>
  </si>
  <si>
    <t>COBHAM ROAD</t>
  </si>
  <si>
    <t>KT22 9SH</t>
  </si>
  <si>
    <t>VENJAMIN</t>
  </si>
  <si>
    <t>BLUM</t>
  </si>
  <si>
    <t>1 BANKSIDE DRIVE</t>
  </si>
  <si>
    <t>KT7 0AJ</t>
  </si>
  <si>
    <t>CARLYLE</t>
  </si>
  <si>
    <t>CHOWNE</t>
  </si>
  <si>
    <t>SUNNY PATCH</t>
  </si>
  <si>
    <t>HAZEL WAY</t>
  </si>
  <si>
    <t>CR5 3PJ</t>
  </si>
  <si>
    <t>JOOLS</t>
  </si>
  <si>
    <t>MORDIKAI</t>
  </si>
  <si>
    <t>BOCHENEK</t>
  </si>
  <si>
    <t>2 CLAYHILL CLOSE</t>
  </si>
  <si>
    <t>RH2 8DN</t>
  </si>
  <si>
    <t>REAVILL</t>
  </si>
  <si>
    <t>10 MOLESWORTH ROAD</t>
  </si>
  <si>
    <t>KT11 1BA</t>
  </si>
  <si>
    <t>ROS</t>
  </si>
  <si>
    <t>METHERALL</t>
  </si>
  <si>
    <t>10 GREENACRES</t>
  </si>
  <si>
    <t>KT23 3NG</t>
  </si>
  <si>
    <t>AMITABHA</t>
  </si>
  <si>
    <t>KEVALKISHORE</t>
  </si>
  <si>
    <t>SHABI</t>
  </si>
  <si>
    <t>10 PORTWAY</t>
  </si>
  <si>
    <t>KT17 1SU</t>
  </si>
  <si>
    <t>GERVASE</t>
  </si>
  <si>
    <t>CLASH</t>
  </si>
  <si>
    <t>1 THE STARLINGS</t>
  </si>
  <si>
    <t>KT22 0QN</t>
  </si>
  <si>
    <t>VICKIE</t>
  </si>
  <si>
    <t>RAINE</t>
  </si>
  <si>
    <t>GOUTZIAMANIS</t>
  </si>
  <si>
    <t>4 BRIDGE ROAD</t>
  </si>
  <si>
    <t>KT17 4AL</t>
  </si>
  <si>
    <t>KEEFE</t>
  </si>
  <si>
    <t>CLEVE</t>
  </si>
  <si>
    <t>AFRAM</t>
  </si>
  <si>
    <t>16 UPLAND WAY</t>
  </si>
  <si>
    <t>GEOFFREY</t>
  </si>
  <si>
    <t>NAGANO</t>
  </si>
  <si>
    <t>1 CHERWELL COURT</t>
  </si>
  <si>
    <t>KT19 9QB</t>
  </si>
  <si>
    <t>JANUARY</t>
  </si>
  <si>
    <t>MILLENNIUM</t>
  </si>
  <si>
    <t>HENHURST HOUSE</t>
  </si>
  <si>
    <t>BEARE GREEN ROAD</t>
  </si>
  <si>
    <t>RH5 4PX</t>
  </si>
  <si>
    <t>CHAOXIANG</t>
  </si>
  <si>
    <t>SHIU</t>
  </si>
  <si>
    <t>1 LONGMEADOW</t>
  </si>
  <si>
    <t>KT23 3AL</t>
  </si>
  <si>
    <t>LUANNA</t>
  </si>
  <si>
    <t>WISDOM</t>
  </si>
  <si>
    <t>HANNIBAL</t>
  </si>
  <si>
    <t>16 GREVILLE PARK ROAD</t>
  </si>
  <si>
    <t>KT21 2QT</t>
  </si>
  <si>
    <t>DAPHNE</t>
  </si>
  <si>
    <t>MORROW</t>
  </si>
  <si>
    <t>1 TAYLOR CLOSE</t>
  </si>
  <si>
    <t>KT19 7DH</t>
  </si>
  <si>
    <t>HUILANG</t>
  </si>
  <si>
    <t>XIU JUAN</t>
  </si>
  <si>
    <t>CHEN</t>
  </si>
  <si>
    <t>KT11 3EZ</t>
  </si>
  <si>
    <t>LILIBETH</t>
  </si>
  <si>
    <t>ALDERSON</t>
  </si>
  <si>
    <t>12 SPRING GROVE</t>
  </si>
  <si>
    <t>KT22 9NH</t>
  </si>
  <si>
    <t>CANDICE</t>
  </si>
  <si>
    <t>BOWNELL</t>
  </si>
  <si>
    <t>12 HILLSIDE</t>
  </si>
  <si>
    <t>SM7 1HF</t>
  </si>
  <si>
    <t>KAETY</t>
  </si>
  <si>
    <t>ALAINA</t>
  </si>
  <si>
    <t>NOOR</t>
  </si>
  <si>
    <t>261 LONDON ROAD</t>
  </si>
  <si>
    <t>KT17 2BZ</t>
  </si>
  <si>
    <t>LINSEY</t>
  </si>
  <si>
    <t>BARRIOSMARTINEZ</t>
  </si>
  <si>
    <t>1 VALE CROFT</t>
  </si>
  <si>
    <t>KT10 0NX</t>
  </si>
  <si>
    <t>SUNSHINE</t>
  </si>
  <si>
    <t>EULA</t>
  </si>
  <si>
    <t>GOWER</t>
  </si>
  <si>
    <t>1 WILLOWBANK GARDENS</t>
  </si>
  <si>
    <t>KT20 5DS</t>
  </si>
  <si>
    <t>DECEMBER</t>
  </si>
  <si>
    <t>33 EASTWICK PARK AVENUE</t>
  </si>
  <si>
    <t>KT23 3LZ</t>
  </si>
  <si>
    <t>JAIME</t>
  </si>
  <si>
    <t>ASHRAF</t>
  </si>
  <si>
    <t>2 CHESTNUT PLACE</t>
  </si>
  <si>
    <t>KT17 3BL</t>
  </si>
  <si>
    <t>DEMELZA</t>
  </si>
  <si>
    <t>SEO</t>
  </si>
  <si>
    <t>2 PINTMERE</t>
  </si>
  <si>
    <t>HEATH DRIVE</t>
  </si>
  <si>
    <t>KT20 7QS</t>
  </si>
  <si>
    <t>JERROD</t>
  </si>
  <si>
    <t>CHATIZEMBWA</t>
  </si>
  <si>
    <t>2 LIME TREE CLOSE</t>
  </si>
  <si>
    <t>KT23 3PJ</t>
  </si>
  <si>
    <t>TYRON</t>
  </si>
  <si>
    <t>ROBBIE</t>
  </si>
  <si>
    <t>CRONEY</t>
  </si>
  <si>
    <t>ILEX HOUSE</t>
  </si>
  <si>
    <t>KT22 8LX</t>
  </si>
  <si>
    <t>RANDI</t>
  </si>
  <si>
    <t>DEVITT</t>
  </si>
  <si>
    <t>2 HOME MEADOW</t>
  </si>
  <si>
    <t>SM7 2DX</t>
  </si>
  <si>
    <t>EMMET</t>
  </si>
  <si>
    <t>KHAMTORN</t>
  </si>
  <si>
    <t>100 ARDROSSAN GARDENS</t>
  </si>
  <si>
    <t>KT4 7AY</t>
  </si>
  <si>
    <t>PRYDERI</t>
  </si>
  <si>
    <t>YORATH</t>
  </si>
  <si>
    <t>WARNFORD-DAVIS</t>
  </si>
  <si>
    <t>1 CRANLEIGH ROAD</t>
  </si>
  <si>
    <t>KT10 8DF</t>
  </si>
  <si>
    <t>TREASURE</t>
  </si>
  <si>
    <t>OLIVIA</t>
  </si>
  <si>
    <t>GRONOW</t>
  </si>
  <si>
    <t>THE GREEN</t>
  </si>
  <si>
    <t>WESTCOTT STREET</t>
  </si>
  <si>
    <t>RH4 3NH</t>
  </si>
  <si>
    <t>LIBERTY</t>
  </si>
  <si>
    <t>LINNIE</t>
  </si>
  <si>
    <t>NAILER</t>
  </si>
  <si>
    <t>OAK TREE COTTAGE</t>
  </si>
  <si>
    <t>CLEEVE ROAD</t>
  </si>
  <si>
    <t>KT22 7TJ</t>
  </si>
  <si>
    <t>BARRIE</t>
  </si>
  <si>
    <t>KELSALL</t>
  </si>
  <si>
    <t>TOTHILL COTTAGE</t>
  </si>
  <si>
    <t>TUMBER STREET</t>
  </si>
  <si>
    <t>KT18 6PP</t>
  </si>
  <si>
    <t>RYANNE</t>
  </si>
  <si>
    <t>GWENDOLEN</t>
  </si>
  <si>
    <t>BOULDER</t>
  </si>
  <si>
    <t>58 EASTWICK PARK AVENUE</t>
  </si>
  <si>
    <t>KT23 3NP</t>
  </si>
  <si>
    <t>NEVADA</t>
  </si>
  <si>
    <t>SARKAR</t>
  </si>
  <si>
    <t>10 SHERE CLOSE</t>
  </si>
  <si>
    <t>RH5 4TT</t>
  </si>
  <si>
    <t>ARUNIMA</t>
  </si>
  <si>
    <t>UJWALA</t>
  </si>
  <si>
    <t>KAUSHIK</t>
  </si>
  <si>
    <t>10 WALNUT CLOSE</t>
  </si>
  <si>
    <t>KT18 5JL</t>
  </si>
  <si>
    <t>AMREN</t>
  </si>
  <si>
    <t>TRAHAEARN</t>
  </si>
  <si>
    <t>CAM</t>
  </si>
  <si>
    <t>ATKINSON HOUSE</t>
  </si>
  <si>
    <t>OLD REIGATE ROAD</t>
  </si>
  <si>
    <t>RH3 7LJ</t>
  </si>
  <si>
    <t>CAMRYN</t>
  </si>
  <si>
    <t>QUICK-POSTCODELONG</t>
  </si>
  <si>
    <t>1 HOWARD ROAD</t>
  </si>
  <si>
    <t>KALEY</t>
  </si>
  <si>
    <t>AMETHYST</t>
  </si>
  <si>
    <t>MAGUIRE</t>
  </si>
  <si>
    <t>87 RUXLEY LANE</t>
  </si>
  <si>
    <t>KT19 9HB</t>
  </si>
  <si>
    <t>WING MANN</t>
  </si>
  <si>
    <t>O'SIX-O'CLOCK</t>
  </si>
  <si>
    <t>1 WHITEHALL</t>
  </si>
  <si>
    <t>WHITEHALL ROAD</t>
  </si>
  <si>
    <t>LS1 4HR</t>
  </si>
  <si>
    <t>HUNTER</t>
  </si>
  <si>
    <t>SAYED</t>
  </si>
  <si>
    <t>9 THE MOUNT</t>
  </si>
  <si>
    <t>KT10 8LQ</t>
  </si>
  <si>
    <t>CRAIG</t>
  </si>
  <si>
    <t>FREEN</t>
  </si>
  <si>
    <t>6 WEST ACRES</t>
  </si>
  <si>
    <t>KT10 9JE</t>
  </si>
  <si>
    <t>DALTON</t>
  </si>
  <si>
    <t>DILLOWAY</t>
  </si>
  <si>
    <t>3 KINGS WARREN</t>
  </si>
  <si>
    <t>KT22 0PE</t>
  </si>
  <si>
    <t>JABAR</t>
  </si>
  <si>
    <t>IMBA</t>
  </si>
  <si>
    <t>KT23 4JW</t>
  </si>
  <si>
    <t>SATKEERAT</t>
  </si>
  <si>
    <t>RAJANI</t>
  </si>
  <si>
    <t>1 HEREFORD CLOSE</t>
  </si>
  <si>
    <t>KT18 5DZ</t>
  </si>
  <si>
    <t>OZZIE</t>
  </si>
  <si>
    <t>WALLACE</t>
  </si>
  <si>
    <t>KINGHORN</t>
  </si>
  <si>
    <t>1 HILL VIEW CLOSE</t>
  </si>
  <si>
    <t>KT20 5QA</t>
  </si>
  <si>
    <t>CLEM</t>
  </si>
  <si>
    <t>COTTERRILL</t>
  </si>
  <si>
    <t>12 FAIRMILE LANE</t>
  </si>
  <si>
    <t>KT11 2DJ</t>
  </si>
  <si>
    <t>WILBUR</t>
  </si>
  <si>
    <t>KELMAN</t>
  </si>
  <si>
    <t>1 ANDOVER CLOSE</t>
  </si>
  <si>
    <t>KT19 9DA</t>
  </si>
  <si>
    <t>CECELIA</t>
  </si>
  <si>
    <t>RATCLIFFE</t>
  </si>
  <si>
    <t>28 STONELEIGH BROADWAY</t>
  </si>
  <si>
    <t>KT17 2HU</t>
  </si>
  <si>
    <t>TOURT</t>
  </si>
  <si>
    <t>12 DEEPDENE VALE</t>
  </si>
  <si>
    <t>RH4 1NL</t>
  </si>
  <si>
    <t>MANGLA</t>
  </si>
  <si>
    <t>PRAHARAJ</t>
  </si>
  <si>
    <t>14 CHURCH STREET</t>
  </si>
  <si>
    <t>KT11 3EG</t>
  </si>
  <si>
    <t>BERNADINE</t>
  </si>
  <si>
    <t>EGBULEFU</t>
  </si>
  <si>
    <t>APRIL COTTAGE</t>
  </si>
  <si>
    <t>DAWES GREEN</t>
  </si>
  <si>
    <t>RH2 8NP</t>
  </si>
  <si>
    <t>FELICITY</t>
  </si>
  <si>
    <t>CALANTHIA</t>
  </si>
  <si>
    <t>OUSAKOVA</t>
  </si>
  <si>
    <t>10 PRESTON GROVE</t>
  </si>
  <si>
    <t>KT21 2HG</t>
  </si>
  <si>
    <t>GARNET</t>
  </si>
  <si>
    <t>VINECOMBE</t>
  </si>
  <si>
    <t>COOMBE DOWN</t>
  </si>
  <si>
    <t>HOGSCROSS LANE</t>
  </si>
  <si>
    <t>CR5 3SJ</t>
  </si>
  <si>
    <t>LUCETTA</t>
  </si>
  <si>
    <t>TEMPLE</t>
  </si>
  <si>
    <t>BELBECK</t>
  </si>
  <si>
    <t>FITZALAN HOUSE</t>
  </si>
  <si>
    <t>KT17 1RQ</t>
  </si>
  <si>
    <t>SHAUN</t>
  </si>
  <si>
    <t>ODUFUYE</t>
  </si>
  <si>
    <t>LILACS</t>
  </si>
  <si>
    <t>STANE STREET</t>
  </si>
  <si>
    <t>OCKLEY</t>
  </si>
  <si>
    <t>RH5 5LU</t>
  </si>
  <si>
    <t>ROYAL</t>
  </si>
  <si>
    <t>LAWRANCE</t>
  </si>
  <si>
    <t>11 OAKDENE ROAD</t>
  </si>
  <si>
    <t>RH3 7JU</t>
  </si>
  <si>
    <t>KAUSAR</t>
  </si>
  <si>
    <t>NIRUPAMA</t>
  </si>
  <si>
    <t>34 EWELL ROAD</t>
  </si>
  <si>
    <t>KT6 5LF</t>
  </si>
  <si>
    <t>FANNIE</t>
  </si>
  <si>
    <t>CRAM</t>
  </si>
  <si>
    <t>GLADE CROFT</t>
  </si>
  <si>
    <t>THE GLADE</t>
  </si>
  <si>
    <t>KT20 6LH</t>
  </si>
  <si>
    <t>BAXTER</t>
  </si>
  <si>
    <t>CROUCH</t>
  </si>
  <si>
    <t>10 FOLLYFIELD ROAD</t>
  </si>
  <si>
    <t>SM7 2LA</t>
  </si>
  <si>
    <t>TATIANA</t>
  </si>
  <si>
    <t>MUNGHAM</t>
  </si>
  <si>
    <t>21 WALTON STREET</t>
  </si>
  <si>
    <t>KT20 7RR</t>
  </si>
  <si>
    <t>STUCKE</t>
  </si>
  <si>
    <t>NYETIMBER</t>
  </si>
  <si>
    <t>WOODEND</t>
  </si>
  <si>
    <t>MAHFOOZ</t>
  </si>
  <si>
    <t>FAISAL</t>
  </si>
  <si>
    <t>ABDELHAMID</t>
  </si>
  <si>
    <t>1 JUNIPER WALK</t>
  </si>
  <si>
    <t>RH3 7LB</t>
  </si>
  <si>
    <t>AMBER</t>
  </si>
  <si>
    <t>REBEKAH</t>
  </si>
  <si>
    <t>FIACANOVA</t>
  </si>
  <si>
    <t>100 BROCKHAM LANE</t>
  </si>
  <si>
    <t>RH3 7EQ</t>
  </si>
  <si>
    <t>KIAN</t>
  </si>
  <si>
    <t>WOOLHOUSE</t>
  </si>
  <si>
    <t>BURGHURST</t>
  </si>
  <si>
    <t>RH5 5AH</t>
  </si>
  <si>
    <t>ULAND</t>
  </si>
  <si>
    <t>SHIPTON</t>
  </si>
  <si>
    <t>11 HIGHER GREEN</t>
  </si>
  <si>
    <t>KT17 3BB</t>
  </si>
  <si>
    <t>RODGE</t>
  </si>
  <si>
    <t>TIGER</t>
  </si>
  <si>
    <t>FOGDEN</t>
  </si>
  <si>
    <t>PATCHAN COTTAGE</t>
  </si>
  <si>
    <t>FAIROAK LANE</t>
  </si>
  <si>
    <t>KT22 0TW</t>
  </si>
  <si>
    <t>ADELA</t>
  </si>
  <si>
    <t>WENDEN</t>
  </si>
  <si>
    <t>SOPERS COTTAGE</t>
  </si>
  <si>
    <t>MARKEDGE LANE</t>
  </si>
  <si>
    <t>CR5 3SL</t>
  </si>
  <si>
    <t>CONNER</t>
  </si>
  <si>
    <t>BRAYDEN</t>
  </si>
  <si>
    <t>DAROLD</t>
  </si>
  <si>
    <t>10 LAKESIDE DRIVE</t>
  </si>
  <si>
    <t>KT10 9EZ</t>
  </si>
  <si>
    <t>SHAUNA</t>
  </si>
  <si>
    <t>CHARLIER</t>
  </si>
  <si>
    <t>22 ASHLEY ROAD</t>
  </si>
  <si>
    <t>KT18 5BB</t>
  </si>
  <si>
    <t>FARHAANA</t>
  </si>
  <si>
    <t>KIYANFAR</t>
  </si>
  <si>
    <t>12 SCHOOL LANE</t>
  </si>
  <si>
    <t>KT22 9JU</t>
  </si>
  <si>
    <t>DION</t>
  </si>
  <si>
    <t>LACEY</t>
  </si>
  <si>
    <t>SANSOM</t>
  </si>
  <si>
    <t>FAIRLAWN HOUSE</t>
  </si>
  <si>
    <t>KT20 6JN</t>
  </si>
  <si>
    <t>ROSANNA</t>
  </si>
  <si>
    <t>MCELDERRY</t>
  </si>
  <si>
    <t>20 CHRIST CHURCH MOUNT</t>
  </si>
  <si>
    <t>KT19 8NB</t>
  </si>
  <si>
    <t>GORDON</t>
  </si>
  <si>
    <t>QUICK-FIRSTNAMELONG</t>
  </si>
  <si>
    <t>1 THE WARREN</t>
  </si>
  <si>
    <t>KT21 2RY</t>
  </si>
  <si>
    <t>LEVI</t>
  </si>
  <si>
    <t>BRAND</t>
  </si>
  <si>
    <t>LAKOJU</t>
  </si>
  <si>
    <t>10 CHERRY ORCHARD GARDENS</t>
  </si>
  <si>
    <t>KT8 1QY</t>
  </si>
  <si>
    <t>LOUISA</t>
  </si>
  <si>
    <t>MADDISON</t>
  </si>
  <si>
    <t>WYKES</t>
  </si>
  <si>
    <t>36 LITTLEHEATH LANE</t>
  </si>
  <si>
    <t>KT11 2QQ</t>
  </si>
  <si>
    <t>YAGO</t>
  </si>
  <si>
    <t>AUERBACH</t>
  </si>
  <si>
    <t>11 RICHMOND WAY</t>
  </si>
  <si>
    <t>KT22 9NP</t>
  </si>
  <si>
    <t>GINNIE</t>
  </si>
  <si>
    <t>SUMMER</t>
  </si>
  <si>
    <t>MOODY</t>
  </si>
  <si>
    <t>1 HOLLYHEDGE ROAD</t>
  </si>
  <si>
    <t>KT11 3DE</t>
  </si>
  <si>
    <t>MAHDEEYA</t>
  </si>
  <si>
    <t>RAZEENA</t>
  </si>
  <si>
    <t>AKIWUMI</t>
  </si>
  <si>
    <t>3 DEEPDENE WOOD</t>
  </si>
  <si>
    <t>RH5 4BH</t>
  </si>
  <si>
    <t>LEROY</t>
  </si>
  <si>
    <t>CROCKETT</t>
  </si>
  <si>
    <t>THE BOTHY</t>
  </si>
  <si>
    <t>CHABAH</t>
  </si>
  <si>
    <t>TALOR</t>
  </si>
  <si>
    <t>ABRAVANEL</t>
  </si>
  <si>
    <t>1 LYNNE WALK</t>
  </si>
  <si>
    <t>KT10 9DZ</t>
  </si>
  <si>
    <t>DESIRAE</t>
  </si>
  <si>
    <t>SHAVONNE</t>
  </si>
  <si>
    <t>CHRISP</t>
  </si>
  <si>
    <t>394 KINGSTON ROAD</t>
  </si>
  <si>
    <t>KT19 0DW</t>
  </si>
  <si>
    <t>DANNI</t>
  </si>
  <si>
    <t>LESLEY</t>
  </si>
  <si>
    <t>TOMSETT</t>
  </si>
  <si>
    <t>72 LONGDOWN LANE NORTH</t>
  </si>
  <si>
    <t>KT17 3JF</t>
  </si>
  <si>
    <t>CHEROKEE</t>
  </si>
  <si>
    <t>JAYLEE</t>
  </si>
  <si>
    <t>MWENYA</t>
  </si>
  <si>
    <t>1 SEAFORTH GARDENS</t>
  </si>
  <si>
    <t>KT19 0LR</t>
  </si>
  <si>
    <t>RIHANA</t>
  </si>
  <si>
    <t>TAALIBA</t>
  </si>
  <si>
    <t>KARIMI</t>
  </si>
  <si>
    <t>5 SUMMERFIELD</t>
  </si>
  <si>
    <t>KT21 2LF</t>
  </si>
  <si>
    <t>ALMAS</t>
  </si>
  <si>
    <t>SANY</t>
  </si>
  <si>
    <t>NAIMESH</t>
  </si>
  <si>
    <t>10 LAMMAS LANE</t>
  </si>
  <si>
    <t>KT10 8NY</t>
  </si>
  <si>
    <t>ROYALE</t>
  </si>
  <si>
    <t>CROZIER</t>
  </si>
  <si>
    <t>25 BETWEEN STREETS</t>
  </si>
  <si>
    <t>KT11 1AA</t>
  </si>
  <si>
    <t>DALY</t>
  </si>
  <si>
    <t>KRIS</t>
  </si>
  <si>
    <t>AMHERST</t>
  </si>
  <si>
    <t>ROYSTON</t>
  </si>
  <si>
    <t>EAST STREET</t>
  </si>
  <si>
    <t>KT23 4QZ</t>
  </si>
  <si>
    <t>CHINA</t>
  </si>
  <si>
    <t>MONTANA</t>
  </si>
  <si>
    <t>BOOMSA</t>
  </si>
  <si>
    <t>11 FAIRFAX AVENUE</t>
  </si>
  <si>
    <t>KT17 2QN</t>
  </si>
  <si>
    <t>MEIR</t>
  </si>
  <si>
    <t>ANAH</t>
  </si>
  <si>
    <t>LIEBERMAN</t>
  </si>
  <si>
    <t>1 SPINNEY CLOSE</t>
  </si>
  <si>
    <t>KT4 7BS</t>
  </si>
  <si>
    <t>BRANDY</t>
  </si>
  <si>
    <t>WINTERS</t>
  </si>
  <si>
    <t>1 RICHMOND CLOSE</t>
  </si>
  <si>
    <t>KT18 5EY</t>
  </si>
  <si>
    <t>MCKIBBEN</t>
  </si>
  <si>
    <t>36 HAZON WAY</t>
  </si>
  <si>
    <t>KT19 8HN</t>
  </si>
  <si>
    <t>FFOWC</t>
  </si>
  <si>
    <t>CIYDE</t>
  </si>
  <si>
    <t>10 MERTON WAY</t>
  </si>
  <si>
    <t>KT22 7QY</t>
  </si>
  <si>
    <t>HARTLEY</t>
  </si>
  <si>
    <t>MARLEY</t>
  </si>
  <si>
    <t>GRINDLEY</t>
  </si>
  <si>
    <t>39 CHURCH ROAD</t>
  </si>
  <si>
    <t>KT22 8BA</t>
  </si>
  <si>
    <t>THAD</t>
  </si>
  <si>
    <t>COLIN</t>
  </si>
  <si>
    <t>KAHAWITA</t>
  </si>
  <si>
    <t>39 SOUTH STREET</t>
  </si>
  <si>
    <t>KT18 7PN</t>
  </si>
  <si>
    <t>SHELL</t>
  </si>
  <si>
    <t>ELEONOR</t>
  </si>
  <si>
    <t>WOOLDRIDGE</t>
  </si>
  <si>
    <t>1 BELFIELD ROAD</t>
  </si>
  <si>
    <t>KT19 9TF</t>
  </si>
  <si>
    <t>TANZI</t>
  </si>
  <si>
    <t>LAUGHTON</t>
  </si>
  <si>
    <t>HAZELWOOD</t>
  </si>
  <si>
    <t>LITTLE BOOKHAM COMMON</t>
  </si>
  <si>
    <t>KT23 3HU</t>
  </si>
  <si>
    <t>LEWIN</t>
  </si>
  <si>
    <t>TALBOTT</t>
  </si>
  <si>
    <t>ELM COTTAGE</t>
  </si>
  <si>
    <t>RECTORY ROAD</t>
  </si>
  <si>
    <t>CR5 3SY</t>
  </si>
  <si>
    <t>SAPAN</t>
  </si>
  <si>
    <t>RAJNISH</t>
  </si>
  <si>
    <t>RITULA</t>
  </si>
  <si>
    <t>14 BRIGHTON ROAD</t>
  </si>
  <si>
    <t>LOWER KINGSWOOD</t>
  </si>
  <si>
    <t>KT20 6SY</t>
  </si>
  <si>
    <t>HEATHER</t>
  </si>
  <si>
    <t>CLARINDA</t>
  </si>
  <si>
    <t>CLIST</t>
  </si>
  <si>
    <t>20 ASHLEY ROAD</t>
  </si>
  <si>
    <t>KULTHUM</t>
  </si>
  <si>
    <t>KAMEELA</t>
  </si>
  <si>
    <t>AL-QASSABI</t>
  </si>
  <si>
    <t>2 BROOKLANDS CLOSE</t>
  </si>
  <si>
    <t>KT11 2DR</t>
  </si>
  <si>
    <t>IRA</t>
  </si>
  <si>
    <t>GUNTUPALLI</t>
  </si>
  <si>
    <t>1 SOUTHVILLE ROAD</t>
  </si>
  <si>
    <t>KT7 0UL</t>
  </si>
  <si>
    <t>JENI</t>
  </si>
  <si>
    <t>CHICHESTER</t>
  </si>
  <si>
    <t>BROOMELLS</t>
  </si>
  <si>
    <t>NEWDIGATE ROAD</t>
  </si>
  <si>
    <t>RH5 4QG</t>
  </si>
  <si>
    <t>MAXWELL</t>
  </si>
  <si>
    <t>LUCEY-BUTLER</t>
  </si>
  <si>
    <t>MANOR COTTAGE</t>
  </si>
  <si>
    <t>HORTON LANE</t>
  </si>
  <si>
    <t>KT19 8PF</t>
  </si>
  <si>
    <t>TRAVION</t>
  </si>
  <si>
    <t>DEWEY</t>
  </si>
  <si>
    <t>IVER</t>
  </si>
  <si>
    <t>1 CHADACRE ROAD</t>
  </si>
  <si>
    <t>KT17 2HD</t>
  </si>
  <si>
    <t>WALKER</t>
  </si>
  <si>
    <t>DRAKE</t>
  </si>
  <si>
    <t>HANCHARD</t>
  </si>
  <si>
    <t>11 ARCHWAY PLACE</t>
  </si>
  <si>
    <t>RH4 1DR</t>
  </si>
  <si>
    <t>JEREMY</t>
  </si>
  <si>
    <t>ZION</t>
  </si>
  <si>
    <t>BLACK</t>
  </si>
  <si>
    <t>3 THE SYCAMORES</t>
  </si>
  <si>
    <t>ANNALEE</t>
  </si>
  <si>
    <t>INNES-MACINTOSH</t>
  </si>
  <si>
    <t>25 BURNEY ROAD</t>
  </si>
  <si>
    <t>RH5 6AX</t>
  </si>
  <si>
    <t>LAREYNA</t>
  </si>
  <si>
    <t>EIREANN</t>
  </si>
  <si>
    <t>MOLONY</t>
  </si>
  <si>
    <t>2 WATTS MEAD</t>
  </si>
  <si>
    <t>KT20 5RL</t>
  </si>
  <si>
    <t>MACLYMONT</t>
  </si>
  <si>
    <t>10 ELMWOOD CLOSE</t>
  </si>
  <si>
    <t>KT17 2NS</t>
  </si>
  <si>
    <t>LISE</t>
  </si>
  <si>
    <t>J</t>
  </si>
  <si>
    <t>HEBRON</t>
  </si>
  <si>
    <t>153 CRADDOCKS AVENUE</t>
  </si>
  <si>
    <t>KT21 1NT</t>
  </si>
  <si>
    <t>Superseded</t>
  </si>
  <si>
    <t>BRITTNY</t>
  </si>
  <si>
    <t>YINGJIE</t>
  </si>
  <si>
    <t>BOLIN</t>
  </si>
  <si>
    <t>SHAN</t>
  </si>
  <si>
    <t>EWOOD LODGE</t>
  </si>
  <si>
    <t>EWOOD LANE</t>
  </si>
  <si>
    <t>RH5 5AP</t>
  </si>
  <si>
    <t>BAALOUD</t>
  </si>
  <si>
    <t>10 THE GREEN</t>
  </si>
  <si>
    <t>KT17 3JN</t>
  </si>
  <si>
    <t>CUTHBERT</t>
  </si>
  <si>
    <t>JUMP</t>
  </si>
  <si>
    <t>1 DANETREE CLOSE</t>
  </si>
  <si>
    <t>KT19 9SU</t>
  </si>
  <si>
    <t>MONTY</t>
  </si>
  <si>
    <t>NEEDHAM</t>
  </si>
  <si>
    <t>12 GARRICK GARDENS</t>
  </si>
  <si>
    <t>KT8 1SJ</t>
  </si>
  <si>
    <t>DUNCAN</t>
  </si>
  <si>
    <t>MELVILLE</t>
  </si>
  <si>
    <t>GUERZONI</t>
  </si>
  <si>
    <t>392 KINGSTON ROAD</t>
  </si>
  <si>
    <t>SAMMI</t>
  </si>
  <si>
    <t>JILLIAN</t>
  </si>
  <si>
    <t>QUICK-ADDRESSMISSINGMAN</t>
  </si>
  <si>
    <t>25 CASTLEMAINE AVENUE</t>
  </si>
  <si>
    <t>KT17 2QY</t>
  </si>
  <si>
    <t>GEREMIA</t>
  </si>
  <si>
    <t>MELECH</t>
  </si>
  <si>
    <t>GOLD</t>
  </si>
  <si>
    <t>50 STEVENS LANE</t>
  </si>
  <si>
    <t>KT10 0TT</t>
  </si>
  <si>
    <t>MARYLU</t>
  </si>
  <si>
    <t>KORA</t>
  </si>
  <si>
    <t>CONSTANTINIDOU</t>
  </si>
  <si>
    <t>10 HARKNESS CLOSE</t>
  </si>
  <si>
    <t>KT17 3PG</t>
  </si>
  <si>
    <t>ALEX</t>
  </si>
  <si>
    <t>NASH</t>
  </si>
  <si>
    <t>CRESSEY</t>
  </si>
  <si>
    <t>3 BREECH LANE</t>
  </si>
  <si>
    <t>KT20 7SQ</t>
  </si>
  <si>
    <t>COLE</t>
  </si>
  <si>
    <t>BODY</t>
  </si>
  <si>
    <t>1 FIRST AVENUE</t>
  </si>
  <si>
    <t>KT8 2QJ</t>
  </si>
  <si>
    <t>UDAI</t>
  </si>
  <si>
    <t>BAINS</t>
  </si>
  <si>
    <t>GLEN MORVEN</t>
  </si>
  <si>
    <t>FOREST DRIVE</t>
  </si>
  <si>
    <t>KT20 6LQ</t>
  </si>
  <si>
    <t>LATONYA</t>
  </si>
  <si>
    <t>SALAL</t>
  </si>
  <si>
    <t>SMOOKER</t>
  </si>
  <si>
    <t>CHATSWORTH PARK</t>
  </si>
  <si>
    <t>138 HOLLY LANE EAST</t>
  </si>
  <si>
    <t>SM7 2BT</t>
  </si>
  <si>
    <t>UNA</t>
  </si>
  <si>
    <t>MABLI</t>
  </si>
  <si>
    <t>MASTEN</t>
  </si>
  <si>
    <t>11 WOODBRIDGE AVENUE</t>
  </si>
  <si>
    <t>KT22 7QL</t>
  </si>
  <si>
    <t>BERNARD</t>
  </si>
  <si>
    <t>MAOR</t>
  </si>
  <si>
    <t>HASCOMBE</t>
  </si>
  <si>
    <t>HOW LANE</t>
  </si>
  <si>
    <t>CR5 3LL</t>
  </si>
  <si>
    <t>SIAN</t>
  </si>
  <si>
    <t>BLODEUWEDD</t>
  </si>
  <si>
    <t>TREDEGAR</t>
  </si>
  <si>
    <t>FAIRFIELD</t>
  </si>
  <si>
    <t>GARLANDS ROAD</t>
  </si>
  <si>
    <t>KT22 7EX</t>
  </si>
  <si>
    <t>ROSWELL</t>
  </si>
  <si>
    <t>KRICH</t>
  </si>
  <si>
    <t>10 LABURNUM ROAD</t>
  </si>
  <si>
    <t>KT18 5DT</t>
  </si>
  <si>
    <t>NAMDEV</t>
  </si>
  <si>
    <t>MADAN</t>
  </si>
  <si>
    <t>DOWNSIDE COMMON ROAD</t>
  </si>
  <si>
    <t>DOWNSIDE</t>
  </si>
  <si>
    <t>KT11 3NU</t>
  </si>
  <si>
    <t>AMATHAON</t>
  </si>
  <si>
    <t>CROTHERS</t>
  </si>
  <si>
    <t>11 SOUTHBANK</t>
  </si>
  <si>
    <t>KT7 0UD</t>
  </si>
  <si>
    <t>JUAN</t>
  </si>
  <si>
    <t>ZHENZHEN</t>
  </si>
  <si>
    <t>KOU</t>
  </si>
  <si>
    <t>2 COURTNEY PLACE</t>
  </si>
  <si>
    <t>KT11 2BE</t>
  </si>
  <si>
    <t>LORA</t>
  </si>
  <si>
    <t>BILLIE</t>
  </si>
  <si>
    <t>GERARD</t>
  </si>
  <si>
    <t>MYRTLE FARM HOUSE</t>
  </si>
  <si>
    <t>NORWOOD HILL</t>
  </si>
  <si>
    <t>RH6 0ET</t>
  </si>
  <si>
    <t>JUDITH</t>
  </si>
  <si>
    <t>DELIGHT</t>
  </si>
  <si>
    <t>LIVINGS</t>
  </si>
  <si>
    <t>1 GRENEHURST PARK</t>
  </si>
  <si>
    <t>RH5 5GA</t>
  </si>
  <si>
    <t>TEMIRA</t>
  </si>
  <si>
    <t>ALIA</t>
  </si>
  <si>
    <t>EINSTEIN</t>
  </si>
  <si>
    <t>REGENT HOUSE</t>
  </si>
  <si>
    <t>LOWER SAWLEY WOOD</t>
  </si>
  <si>
    <t>SM7 2DA</t>
  </si>
  <si>
    <t>TRUDIE</t>
  </si>
  <si>
    <t>KANDACE</t>
  </si>
  <si>
    <t>ANNETT</t>
  </si>
  <si>
    <t>51 ASHLEY ROAD</t>
  </si>
  <si>
    <t>KT18 5BN</t>
  </si>
  <si>
    <t>WINSKILL</t>
  </si>
  <si>
    <t>HOOKWOOD LODGE FARM</t>
  </si>
  <si>
    <t>RH6 0HD</t>
  </si>
  <si>
    <t>KERRY</t>
  </si>
  <si>
    <t>NOAH</t>
  </si>
  <si>
    <t>CALA</t>
  </si>
  <si>
    <t>1 LINKS GREEN WAY</t>
  </si>
  <si>
    <t>KT11 2QH</t>
  </si>
  <si>
    <t>DAVE</t>
  </si>
  <si>
    <t>SHILLINGFORD</t>
  </si>
  <si>
    <t>50 COLLEGE ROAD</t>
  </si>
  <si>
    <t>KT17 4HL</t>
  </si>
  <si>
    <t>WRIGHT</t>
  </si>
  <si>
    <t>RICKY</t>
  </si>
  <si>
    <t>1 THIRD CLOSE</t>
  </si>
  <si>
    <t>KT8 1PW</t>
  </si>
  <si>
    <t>PLEASANCE</t>
  </si>
  <si>
    <t>KAYLEY</t>
  </si>
  <si>
    <t>ARRAND-GREEN</t>
  </si>
  <si>
    <t>MERTON VEAN</t>
  </si>
  <si>
    <t>MILLFIELD LANE</t>
  </si>
  <si>
    <t>KT20 6RT</t>
  </si>
  <si>
    <t>JAYDA</t>
  </si>
  <si>
    <t>EDGERTON</t>
  </si>
  <si>
    <t>59 SOUTH STREET</t>
  </si>
  <si>
    <t>KT18 7PX</t>
  </si>
  <si>
    <t>FIELDING</t>
  </si>
  <si>
    <t>THE CEDAR</t>
  </si>
  <si>
    <t>CHALK LANE</t>
  </si>
  <si>
    <t>KT21 1DJ</t>
  </si>
  <si>
    <t>ZACKARY</t>
  </si>
  <si>
    <t>DEVON</t>
  </si>
  <si>
    <t>VASQUEZ</t>
  </si>
  <si>
    <t>25 IRIS ROAD</t>
  </si>
  <si>
    <t>WEST EWELL</t>
  </si>
  <si>
    <t>KT19 9NU</t>
  </si>
  <si>
    <t>LUDMILLA</t>
  </si>
  <si>
    <t>TAMARA</t>
  </si>
  <si>
    <t>HADCROFT</t>
  </si>
  <si>
    <t>31 BEDSTER GARDENS</t>
  </si>
  <si>
    <t>KT8 1TB</t>
  </si>
  <si>
    <t>DARBY</t>
  </si>
  <si>
    <t>SHIRLEY</t>
  </si>
  <si>
    <t>QUICK-ADDRESSLINESLONG</t>
  </si>
  <si>
    <t>addressline1isverylongxxxxxxxxxxxxxxxxxx</t>
  </si>
  <si>
    <t>addressline2isverylongxxxxxxxxxxxxxxxxxx</t>
  </si>
  <si>
    <t>addressline3isverylongxxxxxxxxxxxxxxxxxx</t>
  </si>
  <si>
    <t>addressline4isverylongxxxxxxxxxxxxxxxxxx</t>
  </si>
  <si>
    <t>addressline5isverylongxxxxxxxxxxxxxxxxxx</t>
  </si>
  <si>
    <t>KT21 2NL</t>
  </si>
  <si>
    <t>GABE</t>
  </si>
  <si>
    <t>RODGER</t>
  </si>
  <si>
    <t>SEMENOV</t>
  </si>
  <si>
    <t>1 IFIELD ROAD</t>
  </si>
  <si>
    <t>RH6 0DJ</t>
  </si>
  <si>
    <t>ILAR</t>
  </si>
  <si>
    <t>DYVYNARTH</t>
  </si>
  <si>
    <t>BREESE</t>
  </si>
  <si>
    <t>ROSSENDON COURT</t>
  </si>
  <si>
    <t>5 CLARENDON ROAD</t>
  </si>
  <si>
    <t>WALLINGTON</t>
  </si>
  <si>
    <t>H85686</t>
  </si>
  <si>
    <t>SM6 8QJ</t>
  </si>
  <si>
    <t>SHAWNEE</t>
  </si>
  <si>
    <t>MARISSA</t>
  </si>
  <si>
    <t>LA</t>
  </si>
  <si>
    <t>100 MEADOW WALK</t>
  </si>
  <si>
    <t>KT19 0BA</t>
  </si>
  <si>
    <t>MEADE</t>
  </si>
  <si>
    <t>CYRUS</t>
  </si>
  <si>
    <t>BARDINI</t>
  </si>
  <si>
    <t>30 DEEPDENE AVENUE</t>
  </si>
  <si>
    <t>RH5 4AB</t>
  </si>
  <si>
    <t>DOSIA</t>
  </si>
  <si>
    <t>LYDIA</t>
  </si>
  <si>
    <t>ANDREWS</t>
  </si>
  <si>
    <t>MOFFAT COTTAGE</t>
  </si>
  <si>
    <t>KT21 2SE</t>
  </si>
  <si>
    <t>LEANDRA</t>
  </si>
  <si>
    <t>ADELAIDE</t>
  </si>
  <si>
    <t>PANTONY</t>
  </si>
  <si>
    <t>45 HIGH STREET</t>
  </si>
  <si>
    <t>RH4 1AR</t>
  </si>
  <si>
    <t>FOX</t>
  </si>
  <si>
    <t>BYSSHE</t>
  </si>
  <si>
    <t>NORGATE</t>
  </si>
  <si>
    <t>10 NORTH ACRE</t>
  </si>
  <si>
    <t>SM7 2EG</t>
  </si>
  <si>
    <t>EVELIA</t>
  </si>
  <si>
    <t>1 COPPERFIELD COURT</t>
  </si>
  <si>
    <t>KT22 7LD</t>
  </si>
  <si>
    <t>DHARMADAS</t>
  </si>
  <si>
    <t>YOGESH</t>
  </si>
  <si>
    <t>101B</t>
  </si>
  <si>
    <t>KT17 1EA</t>
  </si>
  <si>
    <t>OCTAVIA</t>
  </si>
  <si>
    <t>CHISLETT</t>
  </si>
  <si>
    <t>1 RAVENSFIELD GARDENS</t>
  </si>
  <si>
    <t>KT19 0ST</t>
  </si>
  <si>
    <t>SAGI</t>
  </si>
  <si>
    <t>ENOS</t>
  </si>
  <si>
    <t>LEWIS</t>
  </si>
  <si>
    <t>BERKELEY</t>
  </si>
  <si>
    <t>KT20 6NX</t>
  </si>
  <si>
    <t>SULLIVAN</t>
  </si>
  <si>
    <t>GAETA</t>
  </si>
  <si>
    <t>1 CEDAR CLOSE</t>
  </si>
  <si>
    <t>RH4 2EH</t>
  </si>
  <si>
    <t>YUMING</t>
  </si>
  <si>
    <t>SHAOQING</t>
  </si>
  <si>
    <t>MO</t>
  </si>
  <si>
    <t>10 THE HAWTHORNS</t>
  </si>
  <si>
    <t>KT17 2QA</t>
  </si>
  <si>
    <t>KYLIE</t>
  </si>
  <si>
    <t>KARYN</t>
  </si>
  <si>
    <t>STOGDEN</t>
  </si>
  <si>
    <t>10 THE CRESCENT</t>
  </si>
  <si>
    <t>KT18 7LL</t>
  </si>
  <si>
    <t>AINSLEY</t>
  </si>
  <si>
    <t>HOULCROFT</t>
  </si>
  <si>
    <t>47 OTTWAYS LANE</t>
  </si>
  <si>
    <t>KT21 2PS</t>
  </si>
  <si>
    <t>DIBDIN</t>
  </si>
  <si>
    <t>2 HIGHLANDS CLOSE</t>
  </si>
  <si>
    <t>KT22 8NG</t>
  </si>
  <si>
    <t>UNEY</t>
  </si>
  <si>
    <t>MAPLE HOUSE</t>
  </si>
  <si>
    <t>KT21 1DZ</t>
  </si>
  <si>
    <t>ORGAN</t>
  </si>
  <si>
    <t>11 WOODCOTE END</t>
  </si>
  <si>
    <t>KT18 7BB</t>
  </si>
  <si>
    <t>EVENEZER</t>
  </si>
  <si>
    <t>SHACHAR</t>
  </si>
  <si>
    <t>COHEN</t>
  </si>
  <si>
    <t>32 QUARRY GARDENS</t>
  </si>
  <si>
    <t>KT22 8UE</t>
  </si>
  <si>
    <t>Present</t>
  </si>
  <si>
    <t>Day</t>
  </si>
  <si>
    <t>CROSSNESS HOUSE</t>
  </si>
  <si>
    <t>GROVE CLOSE</t>
  </si>
  <si>
    <t>KT19 7NN</t>
  </si>
  <si>
    <t>SAFFIE</t>
  </si>
  <si>
    <t>AGARAWU</t>
  </si>
  <si>
    <t>EAST STANDON LODGE</t>
  </si>
  <si>
    <t>RH5 5LX</t>
  </si>
  <si>
    <t>WESLEY</t>
  </si>
  <si>
    <t>TITUS</t>
  </si>
  <si>
    <t>MACCUTCHEN</t>
  </si>
  <si>
    <t>37 WINDMILL LANE</t>
  </si>
  <si>
    <t>KT6 5JT</t>
  </si>
  <si>
    <t>EDISON</t>
  </si>
  <si>
    <t>SAMAD</t>
  </si>
  <si>
    <t>2 CHATSWORTH PLACE</t>
  </si>
  <si>
    <t>KT22 0SS</t>
  </si>
  <si>
    <t>BRIAR</t>
  </si>
  <si>
    <t>CHADWICK</t>
  </si>
  <si>
    <t>EAST LODGE</t>
  </si>
  <si>
    <t>ROOKERY HILL</t>
  </si>
  <si>
    <t>KT21 1JA</t>
  </si>
  <si>
    <t>REYNARD</t>
  </si>
  <si>
    <t>PADDON</t>
  </si>
  <si>
    <t>11 HOMEFIELD GARDENS</t>
  </si>
  <si>
    <t>KT20 5HN</t>
  </si>
  <si>
    <t>CHRISTMAS</t>
  </si>
  <si>
    <t>HAEUSLER</t>
  </si>
  <si>
    <t>40-42</t>
  </si>
  <si>
    <t>THE CRESCENT</t>
  </si>
  <si>
    <t>KT22 8ED</t>
  </si>
  <si>
    <t>LANGAN</t>
  </si>
  <si>
    <t>10 MOLE VALLEY PLACE</t>
  </si>
  <si>
    <t>KT21 2PN</t>
  </si>
  <si>
    <t>MADYSON</t>
  </si>
  <si>
    <t>ALAIMO</t>
  </si>
  <si>
    <t>11 ORCHARD ROAD</t>
  </si>
  <si>
    <t>RH4 2JH</t>
  </si>
  <si>
    <t>JAE</t>
  </si>
  <si>
    <t>POZZONI</t>
  </si>
  <si>
    <t>102 NORK WAY</t>
  </si>
  <si>
    <t>SM7 1HP</t>
  </si>
  <si>
    <t>CLARA</t>
  </si>
  <si>
    <t>NAN</t>
  </si>
  <si>
    <t>WYNNE</t>
  </si>
  <si>
    <t>28 WATERLOO ROAD</t>
  </si>
  <si>
    <t>KT19 8AX</t>
  </si>
  <si>
    <t>VINAL</t>
  </si>
  <si>
    <t>TRISTIN</t>
  </si>
  <si>
    <t>FLOREY</t>
  </si>
  <si>
    <t>40 THE GLADE</t>
  </si>
  <si>
    <t>KT22 9TJ</t>
  </si>
  <si>
    <t>UPTON</t>
  </si>
  <si>
    <t>HOLLARD</t>
  </si>
  <si>
    <t>GOLDEN OAKS</t>
  </si>
  <si>
    <t>STOKESHEATH ROAD</t>
  </si>
  <si>
    <t>KT22 0PN</t>
  </si>
  <si>
    <t>NIRBAN</t>
  </si>
  <si>
    <t>WALIA</t>
  </si>
  <si>
    <t>1 MEADSIDE</t>
  </si>
  <si>
    <t>SOUTH STREET</t>
  </si>
  <si>
    <t>KT18 7QF</t>
  </si>
  <si>
    <t>CARSON</t>
  </si>
  <si>
    <t>ETHAN</t>
  </si>
  <si>
    <t>QUICK-ADDRESSTYPEINV</t>
  </si>
  <si>
    <t>addr1</t>
  </si>
  <si>
    <t>addr2</t>
  </si>
  <si>
    <t>addr4</t>
  </si>
  <si>
    <t>LS1 4HY</t>
  </si>
  <si>
    <t>DARRYL</t>
  </si>
  <si>
    <t>SPEAKMAN</t>
  </si>
  <si>
    <t>12 SHAWFORD ROAD</t>
  </si>
  <si>
    <t>KT19 9SN</t>
  </si>
  <si>
    <t>JOBETH</t>
  </si>
  <si>
    <t>LUANNE</t>
  </si>
  <si>
    <t>ROHRBRASSER</t>
  </si>
  <si>
    <t>BROOK MEADOW</t>
  </si>
  <si>
    <t>MID-HOLMWOOD LANE</t>
  </si>
  <si>
    <t>MID HOLMWOOD</t>
  </si>
  <si>
    <t>RH5 4HE</t>
  </si>
  <si>
    <t>ZACK</t>
  </si>
  <si>
    <t>BRAXTON</t>
  </si>
  <si>
    <t>COPPER</t>
  </si>
  <si>
    <t>1 HAZELWAY CLOSE</t>
  </si>
  <si>
    <t>KT22 9QE</t>
  </si>
  <si>
    <t>RUSTY</t>
  </si>
  <si>
    <t>KENWARD</t>
  </si>
  <si>
    <t>10 ROUNDWOOD WAY</t>
  </si>
  <si>
    <t>BUCK</t>
  </si>
  <si>
    <t>MUJANAY</t>
  </si>
  <si>
    <t>1 DEREK AVENUE</t>
  </si>
  <si>
    <t>KT19 9HP</t>
  </si>
  <si>
    <t>DONNA</t>
  </si>
  <si>
    <t>CLAUDE</t>
  </si>
  <si>
    <t>HODGE</t>
  </si>
  <si>
    <t>12 NEWBURY GARDENS</t>
  </si>
  <si>
    <t>KT19 0NU</t>
  </si>
  <si>
    <t>GALE</t>
  </si>
  <si>
    <t>MCCLYMONT</t>
  </si>
  <si>
    <t>HOPE COTTAGE</t>
  </si>
  <si>
    <t>HOLMWOOD</t>
  </si>
  <si>
    <t>RH5 4NE</t>
  </si>
  <si>
    <t>LINNETTE</t>
  </si>
  <si>
    <t>MACKINNEY</t>
  </si>
  <si>
    <t>10 MARLBOROUGH COURT</t>
  </si>
  <si>
    <t>RH4 2DH</t>
  </si>
  <si>
    <t>CADEN</t>
  </si>
  <si>
    <t>KILMARTIN</t>
  </si>
  <si>
    <t>1 SANDERSFIELD GARDENS</t>
  </si>
  <si>
    <t>SM7 2DQ</t>
  </si>
  <si>
    <t>AVA</t>
  </si>
  <si>
    <t>ERNESTINE</t>
  </si>
  <si>
    <t>FAVAGER</t>
  </si>
  <si>
    <t>WESTHUMBLE STREET</t>
  </si>
  <si>
    <t>RH5 6BS</t>
  </si>
  <si>
    <t>ALISE</t>
  </si>
  <si>
    <t>HADLEIGH</t>
  </si>
  <si>
    <t>1 LOWER GREEN ROAD</t>
  </si>
  <si>
    <t>KT10 8HE</t>
  </si>
  <si>
    <t>PEIJING</t>
  </si>
  <si>
    <t>WEI</t>
  </si>
  <si>
    <t>IEONG</t>
  </si>
  <si>
    <t>301 LONDON ROAD</t>
  </si>
  <si>
    <t>KT17 2DD</t>
  </si>
  <si>
    <t>RADCLIFF</t>
  </si>
  <si>
    <t>CONLON</t>
  </si>
  <si>
    <t>11 SEAFORTH GARDENS</t>
  </si>
  <si>
    <t>GROVER</t>
  </si>
  <si>
    <t>CHERTOUK</t>
  </si>
  <si>
    <t>19 BASING WAY</t>
  </si>
  <si>
    <t>KT7 0NX</t>
  </si>
  <si>
    <t>HAROLD</t>
  </si>
  <si>
    <t>HAWKESWORTH</t>
  </si>
  <si>
    <t>10 THE CEDARS</t>
  </si>
  <si>
    <t>KT22 8TH</t>
  </si>
  <si>
    <t>ZHONG</t>
  </si>
  <si>
    <t>LAM</t>
  </si>
  <si>
    <t>100 NORTHEY AVENUE</t>
  </si>
  <si>
    <t>SUTTON</t>
  </si>
  <si>
    <t>SM2 7HJ</t>
  </si>
  <si>
    <t>NORAH</t>
  </si>
  <si>
    <t>REBECKAH</t>
  </si>
  <si>
    <t>BECKFORD</t>
  </si>
  <si>
    <t>1 BROOMFIELD PARK</t>
  </si>
  <si>
    <t>RH4 3QQ</t>
  </si>
  <si>
    <t>CHAS</t>
  </si>
  <si>
    <t>STACY</t>
  </si>
  <si>
    <t>NEWHALL</t>
  </si>
  <si>
    <t>2 WOODLANDS GARDENS</t>
  </si>
  <si>
    <t>KT18 5US</t>
  </si>
  <si>
    <t>JENA</t>
  </si>
  <si>
    <t>TANNER</t>
  </si>
  <si>
    <t>QUICK-INVALIDPCCODE</t>
  </si>
  <si>
    <t>1 TOWER HILL</t>
  </si>
  <si>
    <t>RH4 2BB</t>
  </si>
  <si>
    <t>CAELAN</t>
  </si>
  <si>
    <t>NAUGHTIE</t>
  </si>
  <si>
    <t>103 MEADOWVIEW ROAD</t>
  </si>
  <si>
    <t>KT19 9TT</t>
  </si>
  <si>
    <t>DEFORREST</t>
  </si>
  <si>
    <t>EVAN</t>
  </si>
  <si>
    <t>QUICK-INVALID-SFLAG</t>
  </si>
  <si>
    <t>103 WOODLANDS ROAD</t>
  </si>
  <si>
    <t>KT23 4HN</t>
  </si>
  <si>
    <t>FLORA</t>
  </si>
  <si>
    <t>ARIN</t>
  </si>
  <si>
    <t>KANAGENTHRAN</t>
  </si>
  <si>
    <t>111 RUXLEY LANE</t>
  </si>
  <si>
    <t>KT19 9EX</t>
  </si>
  <si>
    <t>TERENCE</t>
  </si>
  <si>
    <t>DWAIN</t>
  </si>
  <si>
    <t>RODRIGUEZ</t>
  </si>
  <si>
    <t>GWENNAP LODGE</t>
  </si>
  <si>
    <t>OTTWAYS LANE</t>
  </si>
  <si>
    <t>KT21 2PB</t>
  </si>
  <si>
    <t>MANNY</t>
  </si>
  <si>
    <t>SAXTON</t>
  </si>
  <si>
    <t>1 HAMPSTEAD LANE</t>
  </si>
  <si>
    <t>RH4 3JS</t>
  </si>
  <si>
    <t>IOLANTHE</t>
  </si>
  <si>
    <t>CARYN</t>
  </si>
  <si>
    <t>RAITH</t>
  </si>
  <si>
    <t>15 WILLOW PATH</t>
  </si>
  <si>
    <t>KT18 7TD</t>
  </si>
  <si>
    <t>GISSELLE</t>
  </si>
  <si>
    <t>2 KIPINGS</t>
  </si>
  <si>
    <t>KT20 5TN</t>
  </si>
  <si>
    <t>KIKI</t>
  </si>
  <si>
    <t>LOLA</t>
  </si>
  <si>
    <t>TORANO</t>
  </si>
  <si>
    <t>82A</t>
  </si>
  <si>
    <t>CHAPEL WAY</t>
  </si>
  <si>
    <t>KT18 5TQ</t>
  </si>
  <si>
    <t>BRIGHAM</t>
  </si>
  <si>
    <t>WARHURST</t>
  </si>
  <si>
    <t>ASH TREE COTTAGE</t>
  </si>
  <si>
    <t>RH5 6AL</t>
  </si>
  <si>
    <t>TAYLOR</t>
  </si>
  <si>
    <t>AIKMAN</t>
  </si>
  <si>
    <t>1 ARCHWAY MEWS</t>
  </si>
  <si>
    <t>RH4 1BX</t>
  </si>
  <si>
    <t>LLINOS</t>
  </si>
  <si>
    <t>WARING-JONES</t>
  </si>
  <si>
    <t>100 MIDDLEMEAD ROAD</t>
  </si>
  <si>
    <t>KT23 3DD</t>
  </si>
  <si>
    <t>GAE</t>
  </si>
  <si>
    <t>LINZI</t>
  </si>
  <si>
    <t>THORNE-SMITH</t>
  </si>
  <si>
    <t>10 HOGSMILL WAY</t>
  </si>
  <si>
    <t>KT19 9PE</t>
  </si>
  <si>
    <t>TZVI</t>
  </si>
  <si>
    <t>JAPHETH</t>
  </si>
  <si>
    <t>1 CURTAIN POND COTTAGES</t>
  </si>
  <si>
    <t>DOWNSIDE ROAD</t>
  </si>
  <si>
    <t>KT11 3LZ</t>
  </si>
  <si>
    <t>FERDIE</t>
  </si>
  <si>
    <t>ROBY</t>
  </si>
  <si>
    <t>KENSWORTH</t>
  </si>
  <si>
    <t>KT17 3DG</t>
  </si>
  <si>
    <t>SAIYARA</t>
  </si>
  <si>
    <t>93 WEST END LANE</t>
  </si>
  <si>
    <t>KT10 8LZ</t>
  </si>
  <si>
    <t>CHRISTABEL</t>
  </si>
  <si>
    <t>CONNIE</t>
  </si>
  <si>
    <t>BREEN</t>
  </si>
  <si>
    <t>11 UPPER COURT ROAD</t>
  </si>
  <si>
    <t>KT19 8RE</t>
  </si>
  <si>
    <t>WINTON</t>
  </si>
  <si>
    <t>HARRISON</t>
  </si>
  <si>
    <t>BLADEWELL</t>
  </si>
  <si>
    <t>1 WOODLANDS GARDENS</t>
  </si>
  <si>
    <t>YASHMINE</t>
  </si>
  <si>
    <t>MISSY</t>
  </si>
  <si>
    <t>TROMPOS</t>
  </si>
  <si>
    <t>55 HILLSIDE</t>
  </si>
  <si>
    <t>SM7 1ES</t>
  </si>
  <si>
    <t>JED</t>
  </si>
  <si>
    <t>SAAMI</t>
  </si>
  <si>
    <t>KIANIAN</t>
  </si>
  <si>
    <t>UNIT 1</t>
  </si>
  <si>
    <t>SHEEPHOUSE LANE</t>
  </si>
  <si>
    <t>WOTTON</t>
  </si>
  <si>
    <t>RH5 6QT</t>
  </si>
  <si>
    <t>WYNTER</t>
  </si>
  <si>
    <t>BALSIEFEN</t>
  </si>
  <si>
    <t>1 ALBANY CRESCENT</t>
  </si>
  <si>
    <t>KT10 0PE</t>
  </si>
  <si>
    <t>RAMBHA</t>
  </si>
  <si>
    <t>ANITA</t>
  </si>
  <si>
    <t>VIDVAN</t>
  </si>
  <si>
    <t>1 BOXHILL WAY</t>
  </si>
  <si>
    <t>RH3 7HY</t>
  </si>
  <si>
    <t>HAMAL</t>
  </si>
  <si>
    <t>DAIFALLAH</t>
  </si>
  <si>
    <t>AZARIAN</t>
  </si>
  <si>
    <t>40A</t>
  </si>
  <si>
    <t>SM7 2LX</t>
  </si>
  <si>
    <t>GRIFFIN</t>
  </si>
  <si>
    <t>57 NIMBUS ROAD</t>
  </si>
  <si>
    <t>KT19 9BW</t>
  </si>
  <si>
    <t>FARRELL</t>
  </si>
  <si>
    <t>HARVEY</t>
  </si>
  <si>
    <t>MOBSBY</t>
  </si>
  <si>
    <t>41 ESHER GREEN</t>
  </si>
  <si>
    <t>KT10 8AH</t>
  </si>
  <si>
    <t>DALEEL</t>
  </si>
  <si>
    <t>AL-KURDI</t>
  </si>
  <si>
    <t>SANDOWN HOUSE</t>
  </si>
  <si>
    <t>1 HIGH STREET</t>
  </si>
  <si>
    <t>KT10 9SL</t>
  </si>
  <si>
    <t>LATOYA</t>
  </si>
  <si>
    <t>MCALINDEN</t>
  </si>
  <si>
    <t>2 QUEEN ANNE DRIVE</t>
  </si>
  <si>
    <t>KT10 0PP</t>
  </si>
  <si>
    <t>ARGIWYDD</t>
  </si>
  <si>
    <t>HANHAM</t>
  </si>
  <si>
    <t>1 BIRCHFIELD GROVE</t>
  </si>
  <si>
    <t>KT17 3ES</t>
  </si>
  <si>
    <t>NEWTON</t>
  </si>
  <si>
    <t>TRIVETT</t>
  </si>
  <si>
    <t>DALMUIR</t>
  </si>
  <si>
    <t>KT22 9BW</t>
  </si>
  <si>
    <t>CUBERT</t>
  </si>
  <si>
    <t>LLWYBYR</t>
  </si>
  <si>
    <t>BOWEN</t>
  </si>
  <si>
    <t>10 LINTONS LANE</t>
  </si>
  <si>
    <t>KT17 1DD</t>
  </si>
  <si>
    <t>LYSSA</t>
  </si>
  <si>
    <t>BINCH</t>
  </si>
  <si>
    <t>11 SKINNERS LANE</t>
  </si>
  <si>
    <t>KT21 2NP</t>
  </si>
  <si>
    <t>ZACHARIAS</t>
  </si>
  <si>
    <t>HARRIS</t>
  </si>
  <si>
    <t>3 LANE GARDENS</t>
  </si>
  <si>
    <t>KT10 0NP</t>
  </si>
  <si>
    <t>WINFRED</t>
  </si>
  <si>
    <t>HADLEY</t>
  </si>
  <si>
    <t>AYALA</t>
  </si>
  <si>
    <t>43 WOLSEY ROAD</t>
  </si>
  <si>
    <t>KT8 9EW</t>
  </si>
  <si>
    <t>BART</t>
  </si>
  <si>
    <t>RIDLEY</t>
  </si>
  <si>
    <t>DUNSTAN</t>
  </si>
  <si>
    <t>4 SANDPIT COTTAGES</t>
  </si>
  <si>
    <t>OLD ROAD</t>
  </si>
  <si>
    <t>RH3 7DT</t>
  </si>
  <si>
    <t>CHRISSIE</t>
  </si>
  <si>
    <t>ROGERS-JONES</t>
  </si>
  <si>
    <t>1 BLADES CLOSE</t>
  </si>
  <si>
    <t>KT22 7JY</t>
  </si>
  <si>
    <t>REG</t>
  </si>
  <si>
    <t>COCKRELL</t>
  </si>
  <si>
    <t>1 MIDDLEMEAD CLOSE</t>
  </si>
  <si>
    <t>KT23 3EB</t>
  </si>
  <si>
    <t>EVERITT</t>
  </si>
  <si>
    <t>NUTTON</t>
  </si>
  <si>
    <t>OAK HOUSE</t>
  </si>
  <si>
    <t>KT20 7PS</t>
  </si>
  <si>
    <t>ANDRIANA</t>
  </si>
  <si>
    <t>HESTER</t>
  </si>
  <si>
    <t>BLIGHT</t>
  </si>
  <si>
    <t>108 WOODLANDS ROAD</t>
  </si>
  <si>
    <t>KT23 4HJ</t>
  </si>
  <si>
    <t>RUSSELL</t>
  </si>
  <si>
    <t>GAVIGAN</t>
  </si>
  <si>
    <t>11 DELDERFIELD</t>
  </si>
  <si>
    <t>KT22 8UA</t>
  </si>
  <si>
    <t>SHERLOCKS COURT</t>
  </si>
  <si>
    <t>33 MYRTLE ROAD</t>
  </si>
  <si>
    <t>RH4 1DA</t>
  </si>
  <si>
    <t>GOODWIN</t>
  </si>
  <si>
    <t>HARLEY</t>
  </si>
  <si>
    <t>SCHAUFFER</t>
  </si>
  <si>
    <t>12 GATLEY AVENUE</t>
  </si>
  <si>
    <t>PARRIS</t>
  </si>
  <si>
    <t>KURTZ-WILLIAMS</t>
  </si>
  <si>
    <t>FORGE COTTAGE</t>
  </si>
  <si>
    <t>OCKHAM LANE</t>
  </si>
  <si>
    <t>KT11 1LU</t>
  </si>
  <si>
    <t>CORI</t>
  </si>
  <si>
    <t>BROADMORE</t>
  </si>
  <si>
    <t>1 FOX COVERT</t>
  </si>
  <si>
    <t>KT22 9XD</t>
  </si>
  <si>
    <t>HENNON</t>
  </si>
  <si>
    <t>HUNTERSCOMBE</t>
  </si>
  <si>
    <t>KT20 7PF</t>
  </si>
  <si>
    <t>QUICK-TELSUBTYPEMISSING</t>
  </si>
  <si>
    <t>ST GEORGES COURT</t>
  </si>
  <si>
    <t>184 EAST STREET</t>
  </si>
  <si>
    <t>KT17 1ER</t>
  </si>
  <si>
    <t>ASHLEA</t>
  </si>
  <si>
    <t>OSGOOD</t>
  </si>
  <si>
    <t>76 LONGDOWN LANE NORTH</t>
  </si>
  <si>
    <t>CYRILLA</t>
  </si>
  <si>
    <t>MELANY</t>
  </si>
  <si>
    <t>LEPRINI</t>
  </si>
  <si>
    <t>49 BROOKERS CLOSE</t>
  </si>
  <si>
    <t>KT21 2JT</t>
  </si>
  <si>
    <t>RUSSEL</t>
  </si>
  <si>
    <t>GEORDIE</t>
  </si>
  <si>
    <t>JEREMIAH</t>
  </si>
  <si>
    <t>338 REIGATE ROAD</t>
  </si>
  <si>
    <t>KT17 3LY</t>
  </si>
  <si>
    <t>LECIA</t>
  </si>
  <si>
    <t>LINDSEY</t>
  </si>
  <si>
    <t>1 VALE ROAD</t>
  </si>
  <si>
    <t>KT10 0NJ</t>
  </si>
  <si>
    <t>LUCASTA</t>
  </si>
  <si>
    <t>132 TATTENHAM WAY</t>
  </si>
  <si>
    <t>KT20 5NF</t>
  </si>
  <si>
    <t>CLARETTE</t>
  </si>
  <si>
    <t>MASIH</t>
  </si>
  <si>
    <t>2 OLD BARN DRIVE</t>
  </si>
  <si>
    <t>RH5 5LQ</t>
  </si>
  <si>
    <t>ANANDLEEN</t>
  </si>
  <si>
    <t>10 DUNSTALL WAY</t>
  </si>
  <si>
    <t>KT8 1PD</t>
  </si>
  <si>
    <t>MONDAY</t>
  </si>
  <si>
    <t>BREANNE</t>
  </si>
  <si>
    <t>MCCALLISTER</t>
  </si>
  <si>
    <t>DORIEL</t>
  </si>
  <si>
    <t>JOYCE</t>
  </si>
  <si>
    <t>QUICK-TELTYPEMISSING</t>
  </si>
  <si>
    <t>61 STONELEIGH PARK ROAD</t>
  </si>
  <si>
    <t>KT19 0QX</t>
  </si>
  <si>
    <t>RYANA</t>
  </si>
  <si>
    <t>ALYS</t>
  </si>
  <si>
    <t>SPILLER</t>
  </si>
  <si>
    <t>2 MORE LANE</t>
  </si>
  <si>
    <t>MARGARETTA</t>
  </si>
  <si>
    <t>11 CRABTREE LANE</t>
  </si>
  <si>
    <t>KT23 4PG</t>
  </si>
  <si>
    <t>RAKHA</t>
  </si>
  <si>
    <t>22 SANDERSFIELD ROAD</t>
  </si>
  <si>
    <t>SM7 2DN</t>
  </si>
  <si>
    <t>JOSCELINE</t>
  </si>
  <si>
    <t>JESSYE</t>
  </si>
  <si>
    <t>LEAKE</t>
  </si>
  <si>
    <t>13A</t>
  </si>
  <si>
    <t>KT11 3DH</t>
  </si>
  <si>
    <t>FIDO</t>
  </si>
  <si>
    <t>MAGNUS</t>
  </si>
  <si>
    <t>MAINO</t>
  </si>
  <si>
    <t>1 MISTLEY COURT</t>
  </si>
  <si>
    <t>ASHLEY ROAD</t>
  </si>
  <si>
    <t>KT18 5AW</t>
  </si>
  <si>
    <t>LOREEN</t>
  </si>
  <si>
    <t>MARALYN</t>
  </si>
  <si>
    <t>MAKEPIECE</t>
  </si>
  <si>
    <t>1 JACKSON WAY</t>
  </si>
  <si>
    <t>KT19 7LG</t>
  </si>
  <si>
    <t>ALGAR</t>
  </si>
  <si>
    <t>PACE-BALZAN</t>
  </si>
  <si>
    <t>101 LEVETT ROAD</t>
  </si>
  <si>
    <t>KT22 7EH</t>
  </si>
  <si>
    <t>PERCY</t>
  </si>
  <si>
    <t>GILMAN</t>
  </si>
  <si>
    <t>MAPLEHURST</t>
  </si>
  <si>
    <t>AMIRAM</t>
  </si>
  <si>
    <t>YEHOWAH</t>
  </si>
  <si>
    <t>BEN-TZVI</t>
  </si>
  <si>
    <t>FRISTON</t>
  </si>
  <si>
    <t>OAKDENE ROAD</t>
  </si>
  <si>
    <t>KT23 3HD</t>
  </si>
  <si>
    <t>TRENTON</t>
  </si>
  <si>
    <t>BUTLER-BUNN</t>
  </si>
  <si>
    <t>10 CHURCH ROAD</t>
  </si>
  <si>
    <t>KT21 2RJ</t>
  </si>
  <si>
    <t>KEGG</t>
  </si>
  <si>
    <t>ADDERLEY</t>
  </si>
  <si>
    <t>WALPOLE AVENUE</t>
  </si>
  <si>
    <t>CR5 3PR</t>
  </si>
  <si>
    <t>BECKY</t>
  </si>
  <si>
    <t>EARLENE</t>
  </si>
  <si>
    <t>2 LADY FORSDYKE WAY</t>
  </si>
  <si>
    <t>KT19 7LF</t>
  </si>
  <si>
    <t>MALINDA</t>
  </si>
  <si>
    <t>CARDIFF</t>
  </si>
  <si>
    <t>103 BRADSTOCK ROAD</t>
  </si>
  <si>
    <t>KT17 2LF</t>
  </si>
  <si>
    <t>LEXIA</t>
  </si>
  <si>
    <t>NOWAK</t>
  </si>
  <si>
    <t>1 WILLOWMEAD</t>
  </si>
  <si>
    <t>SUMMER ROAD</t>
  </si>
  <si>
    <t>KT8 9LR</t>
  </si>
  <si>
    <t>ELSDON</t>
  </si>
  <si>
    <t>MICKEY</t>
  </si>
  <si>
    <t>WARRENDER</t>
  </si>
  <si>
    <t>BRACKENFIELD</t>
  </si>
  <si>
    <t>BRIGHTON ROAD</t>
  </si>
  <si>
    <t>KT20 6XL</t>
  </si>
  <si>
    <t>Debra</t>
  </si>
  <si>
    <t>WOOLF</t>
  </si>
  <si>
    <t>1 PARK LANE</t>
  </si>
  <si>
    <t>BAILDON</t>
  </si>
  <si>
    <t>SHIPLEY</t>
  </si>
  <si>
    <t>BD17 7LQ</t>
  </si>
  <si>
    <t>"tel: "</t>
  </si>
  <si>
    <t>KERENSA</t>
  </si>
  <si>
    <t>SZYSZLYK</t>
  </si>
  <si>
    <t>101 FAIRFIELD DRIVE</t>
  </si>
  <si>
    <t>RH4 1JG</t>
  </si>
  <si>
    <t>NICKY</t>
  </si>
  <si>
    <t>MCCLEMENS</t>
  </si>
  <si>
    <t>10 CHANTRY HURST</t>
  </si>
  <si>
    <t>KT18 7BW</t>
  </si>
  <si>
    <t>MERIEL</t>
  </si>
  <si>
    <t>CHELSEA</t>
  </si>
  <si>
    <t>RICHLER</t>
  </si>
  <si>
    <t>1 SHELVERS SPUR</t>
  </si>
  <si>
    <t>KT20 5QE</t>
  </si>
  <si>
    <t>PATTIE</t>
  </si>
  <si>
    <t>MACLERGAIN</t>
  </si>
  <si>
    <t>46 DEEPDENE AVENUE</t>
  </si>
  <si>
    <t>RH5 4AE</t>
  </si>
  <si>
    <t>HARLAN</t>
  </si>
  <si>
    <t>DON</t>
  </si>
  <si>
    <t>NAHER</t>
  </si>
  <si>
    <t>11 TUMBLEWOOD ROAD</t>
  </si>
  <si>
    <t>SM7 1DS</t>
  </si>
  <si>
    <t>DONELLA</t>
  </si>
  <si>
    <t>VALARIE</t>
  </si>
  <si>
    <t>NEWITT</t>
  </si>
  <si>
    <t>1 HATCHLANDS</t>
  </si>
  <si>
    <t>RH5 5EG</t>
  </si>
  <si>
    <t>EMELY</t>
  </si>
  <si>
    <t>MELISSA</t>
  </si>
  <si>
    <t>MATHURIN</t>
  </si>
  <si>
    <t>RAMBLERS</t>
  </si>
  <si>
    <t>BELMONT ROAD</t>
  </si>
  <si>
    <t>KT22 7EN</t>
  </si>
  <si>
    <t>MANDI</t>
  </si>
  <si>
    <t>FARLEY</t>
  </si>
  <si>
    <t>PYKETT</t>
  </si>
  <si>
    <t>1 BELDAMS FARM COTTAGES</t>
  </si>
  <si>
    <t>BLACKBROOK ROAD</t>
  </si>
  <si>
    <t>RH5 4DR</t>
  </si>
  <si>
    <t>JARON</t>
  </si>
  <si>
    <t>BRUNSKILL</t>
  </si>
  <si>
    <t>CROSSWINDS</t>
  </si>
  <si>
    <t>CR5 3NL</t>
  </si>
  <si>
    <t>EVELINE</t>
  </si>
  <si>
    <t>HODSKINSON</t>
  </si>
  <si>
    <t>40 BROCKHAM LANE</t>
  </si>
  <si>
    <t>RH3 7EH</t>
  </si>
  <si>
    <t>BILL</t>
  </si>
  <si>
    <t>ROY</t>
  </si>
  <si>
    <t>MUGG</t>
  </si>
  <si>
    <t>101 HOOKFIELD</t>
  </si>
  <si>
    <t>KT19 8JH</t>
  </si>
  <si>
    <t>MAA'IZ</t>
  </si>
  <si>
    <t>BASSIL</t>
  </si>
  <si>
    <t>ADEYI</t>
  </si>
  <si>
    <t>1 THE KINGSWAY</t>
  </si>
  <si>
    <t>KT17 1LT</t>
  </si>
  <si>
    <t>ULYSSA</t>
  </si>
  <si>
    <t>ARLINE</t>
  </si>
  <si>
    <t>HINDLEY</t>
  </si>
  <si>
    <t>1 STEWART</t>
  </si>
  <si>
    <t>KT20 5TU</t>
  </si>
  <si>
    <t>PHILO</t>
  </si>
  <si>
    <t>ALABASTER</t>
  </si>
  <si>
    <t>HOW HATCH</t>
  </si>
  <si>
    <t>CR5 3LN</t>
  </si>
  <si>
    <t>STRACHAN</t>
  </si>
  <si>
    <t>BRANDLEHOW</t>
  </si>
  <si>
    <t>KT22 0PJ</t>
  </si>
  <si>
    <t>COLBERT</t>
  </si>
  <si>
    <t>JEFFRY</t>
  </si>
  <si>
    <t>PAGET</t>
  </si>
  <si>
    <t>11 SALISBURY ROAD</t>
  </si>
  <si>
    <t>SM7 2DP</t>
  </si>
  <si>
    <t>QUINCEY</t>
  </si>
  <si>
    <t>STEPH</t>
  </si>
  <si>
    <t>BOSSONS</t>
  </si>
  <si>
    <t>10 ERMYN CLOSE</t>
  </si>
  <si>
    <t>KT22 8TP</t>
  </si>
  <si>
    <t>GALEN</t>
  </si>
  <si>
    <t>FIELDEN</t>
  </si>
  <si>
    <t>BRIDLE COTTAGE</t>
  </si>
  <si>
    <t>MOTTS HILL LANE</t>
  </si>
  <si>
    <t>KT20 5BA</t>
  </si>
  <si>
    <t>JAYME</t>
  </si>
  <si>
    <t>CHERETTE</t>
  </si>
  <si>
    <t>BEDENHAM</t>
  </si>
  <si>
    <t>BROCKHAM PARK HOUSE</t>
  </si>
  <si>
    <t>RYKENS LANE</t>
  </si>
  <si>
    <t>RH3 7BS</t>
  </si>
  <si>
    <t>GIB</t>
  </si>
  <si>
    <t>GALL</t>
  </si>
  <si>
    <t>LAKE</t>
  </si>
  <si>
    <t>3 TALEWORTH PARK</t>
  </si>
  <si>
    <t>KT21 2NH</t>
  </si>
  <si>
    <t>FOOTITT</t>
  </si>
  <si>
    <t>10 MINSTER GARDENS</t>
  </si>
  <si>
    <t>KT8 2ER</t>
  </si>
  <si>
    <t>TREVYN</t>
  </si>
  <si>
    <t>CADWR</t>
  </si>
  <si>
    <t>LIVERMORE</t>
  </si>
  <si>
    <t>ASHDENE</t>
  </si>
  <si>
    <t>CR5 3NP</t>
  </si>
  <si>
    <t>ZELMA</t>
  </si>
  <si>
    <t>HADGKISS</t>
  </si>
  <si>
    <t>2 BARCLAY CLOSE</t>
  </si>
  <si>
    <t>KT22 9SY</t>
  </si>
  <si>
    <t>CHANNING</t>
  </si>
  <si>
    <t>WATSON</t>
  </si>
  <si>
    <t>47 CRADDOCKS AVENUE</t>
  </si>
  <si>
    <t>KT21 1PE</t>
  </si>
  <si>
    <t>NELLY</t>
  </si>
  <si>
    <t>CALLISTA</t>
  </si>
  <si>
    <t>STAMBUKDELIFSCHITZ</t>
  </si>
  <si>
    <t>4 HAYWARD ROAD</t>
  </si>
  <si>
    <t>KT7 0BE</t>
  </si>
  <si>
    <t>DARREN</t>
  </si>
  <si>
    <t>RUBY</t>
  </si>
  <si>
    <t>FICE</t>
  </si>
  <si>
    <t>1 KIRKSTALL</t>
  </si>
  <si>
    <t>ST. PAULS ROAD WEST</t>
  </si>
  <si>
    <t>RH4 2HU</t>
  </si>
  <si>
    <t>ROSALIND</t>
  </si>
  <si>
    <t>CINDRA</t>
  </si>
  <si>
    <t>QUICK-X</t>
  </si>
  <si>
    <t>39 COPSEM LANE</t>
  </si>
  <si>
    <t>KT22 0NZ</t>
  </si>
  <si>
    <t>DENI</t>
  </si>
  <si>
    <t>CHRISTA</t>
  </si>
  <si>
    <t>MACLERIE</t>
  </si>
  <si>
    <t>1 NEVILLE CLOSE</t>
  </si>
  <si>
    <t>KT10 8LU</t>
  </si>
  <si>
    <t>ROWLEY</t>
  </si>
  <si>
    <t>LAMBERT</t>
  </si>
  <si>
    <t>RATNASINGAM</t>
  </si>
  <si>
    <t>10 FOXWARREN</t>
  </si>
  <si>
    <t>KT10 0LB</t>
  </si>
  <si>
    <t>EMERSON</t>
  </si>
  <si>
    <t>FORREST</t>
  </si>
  <si>
    <t>10 HAWKHURST</t>
  </si>
  <si>
    <t>KT11 2QX</t>
  </si>
  <si>
    <t>CANDI</t>
  </si>
  <si>
    <t>HILDRED</t>
  </si>
  <si>
    <t>GALEA-SOUCHET</t>
  </si>
  <si>
    <t>10 OAKS CLOSE</t>
  </si>
  <si>
    <t>KT22 7SH</t>
  </si>
  <si>
    <t>MARQUISE</t>
  </si>
  <si>
    <t>LINDFIELD</t>
  </si>
  <si>
    <t>84 ARUNDEL AVENUE</t>
  </si>
  <si>
    <t>KT17 2RL</t>
  </si>
  <si>
    <t>WHITEHURST</t>
  </si>
  <si>
    <t>1 PARSONSFIELD CLOSE</t>
  </si>
  <si>
    <t>SM7 1JT</t>
  </si>
  <si>
    <t>DOWNS VIEW</t>
  </si>
  <si>
    <t>EBBISHAM LANE</t>
  </si>
  <si>
    <t>KT20 5BS</t>
  </si>
  <si>
    <t>CASIMIR</t>
  </si>
  <si>
    <t>FARNELL</t>
  </si>
  <si>
    <t>1 PIXHAM LANE</t>
  </si>
  <si>
    <t>RH4 1PU</t>
  </si>
  <si>
    <t>ALISON</t>
  </si>
  <si>
    <t>CHILE</t>
  </si>
  <si>
    <t>HORNE</t>
  </si>
  <si>
    <t>166 CHESSINGTON ROAD</t>
  </si>
  <si>
    <t>KT19 9XA</t>
  </si>
  <si>
    <t>SACHSUKH</t>
  </si>
  <si>
    <t>SIVASUBRAMANIAM</t>
  </si>
  <si>
    <t>1 FORGE COTTAGES</t>
  </si>
  <si>
    <t>CHILBROOK ROAD</t>
  </si>
  <si>
    <t>KT11 3PD</t>
  </si>
  <si>
    <t>BUNNY</t>
  </si>
  <si>
    <t>ASHLEIGH</t>
  </si>
  <si>
    <t>MCCROREY</t>
  </si>
  <si>
    <t>51 CHAPEL WAY</t>
  </si>
  <si>
    <t>KT18 5TD</t>
  </si>
  <si>
    <t>CHALICE</t>
  </si>
  <si>
    <t>CRESSIDA</t>
  </si>
  <si>
    <t>IENCO</t>
  </si>
  <si>
    <t>10 ASHCOMBE TERRACE</t>
  </si>
  <si>
    <t>KT20 5EW</t>
  </si>
  <si>
    <t>LIVLEEN</t>
  </si>
  <si>
    <t>ARAKONI</t>
  </si>
  <si>
    <t>HEADLEY COMMON ROAD</t>
  </si>
  <si>
    <t>KT18 6NA</t>
  </si>
  <si>
    <t>CHRIS</t>
  </si>
  <si>
    <t>SOPHIE</t>
  </si>
  <si>
    <t>LENMAN</t>
  </si>
  <si>
    <t>1 THISTLE COTTAGES</t>
  </si>
  <si>
    <t>KT22 7PF</t>
  </si>
  <si>
    <t>HARVE</t>
  </si>
  <si>
    <t>DIVER</t>
  </si>
  <si>
    <t>31 BRIDGE ROAD</t>
  </si>
  <si>
    <t>KT8 9ER</t>
  </si>
  <si>
    <t>LUG</t>
  </si>
  <si>
    <t>ELIDYR</t>
  </si>
  <si>
    <t>FLEWELLING</t>
  </si>
  <si>
    <t>2A</t>
  </si>
  <si>
    <t>KT17 1NP</t>
  </si>
  <si>
    <t>BEAUREGARD</t>
  </si>
  <si>
    <t>LINDSAY</t>
  </si>
  <si>
    <t>SORRELL</t>
  </si>
  <si>
    <t>SHARLENE</t>
  </si>
  <si>
    <t>MRSINO</t>
  </si>
  <si>
    <t>44 BUCKLAND ROAD</t>
  </si>
  <si>
    <t>KT20 7EB</t>
  </si>
  <si>
    <t>DENVER</t>
  </si>
  <si>
    <t>AMERY</t>
  </si>
  <si>
    <t>SETTERFIELD</t>
  </si>
  <si>
    <t>15 RIVERSDALE ROAD</t>
  </si>
  <si>
    <t>KT7 0QN</t>
  </si>
  <si>
    <t>BRIONY</t>
  </si>
  <si>
    <t>LAZAREVIC</t>
  </si>
  <si>
    <t>100 PALACE ROAD</t>
  </si>
  <si>
    <t>KT8 9DU</t>
  </si>
  <si>
    <t>MOTIEITEHRANI</t>
  </si>
  <si>
    <t>2 TRIGO COURT</t>
  </si>
  <si>
    <t>KT19 9DT</t>
  </si>
  <si>
    <t>HAZE</t>
  </si>
  <si>
    <t>MORBEY</t>
  </si>
  <si>
    <t>28 DEEPDENE DRIVE</t>
  </si>
  <si>
    <t>RH5 4BB</t>
  </si>
  <si>
    <t>HELLON</t>
  </si>
  <si>
    <t>3 ROSEMARY LANE</t>
  </si>
  <si>
    <t>RH6 0DG</t>
  </si>
  <si>
    <t>DARLENE</t>
  </si>
  <si>
    <t>COTTRELL</t>
  </si>
  <si>
    <t>ABBOTTSMEAD</t>
  </si>
  <si>
    <t>SANDY LANE</t>
  </si>
  <si>
    <t>KT20 6ND</t>
  </si>
  <si>
    <t>DRUMMOND</t>
  </si>
  <si>
    <t>KIMBERLEY</t>
  </si>
  <si>
    <t>CHAGONDA</t>
  </si>
  <si>
    <t>BIRKDALE</t>
  </si>
  <si>
    <t>KT20 6JW</t>
  </si>
  <si>
    <t>WENONA</t>
  </si>
  <si>
    <t>JUDY</t>
  </si>
  <si>
    <t>HALABI</t>
  </si>
  <si>
    <t>4 ROOKERY MEAD</t>
  </si>
  <si>
    <t>CR5 1NY</t>
  </si>
  <si>
    <t>ALVIN</t>
  </si>
  <si>
    <t>SHAHIEEN</t>
  </si>
  <si>
    <t>140 RUXLEY LANE</t>
  </si>
  <si>
    <t>KT19 9JS</t>
  </si>
  <si>
    <t>TONY</t>
  </si>
  <si>
    <t>ANTONY</t>
  </si>
  <si>
    <t>HASHMI</t>
  </si>
  <si>
    <t>1 HIGHFIELD DRIVE</t>
  </si>
  <si>
    <t>KT19 0AU</t>
  </si>
  <si>
    <t>OSWALD</t>
  </si>
  <si>
    <t>DORE</t>
  </si>
  <si>
    <t>10 SOLE FARM AVENUE</t>
  </si>
  <si>
    <t>KT23 3DE</t>
  </si>
  <si>
    <t>COLLIN</t>
  </si>
  <si>
    <t>REX</t>
  </si>
  <si>
    <t>MAZAJUA</t>
  </si>
  <si>
    <t>10 CHETWODE ROAD</t>
  </si>
  <si>
    <t>KT20 5PW</t>
  </si>
  <si>
    <t>RENA</t>
  </si>
  <si>
    <t>CHEFTZI-BA</t>
  </si>
  <si>
    <t>GOLDBERG</t>
  </si>
  <si>
    <t>2 COBHAM PARK GARDENS</t>
  </si>
  <si>
    <t>KT11 3LU</t>
  </si>
  <si>
    <t>CANDYCE</t>
  </si>
  <si>
    <t>CHARITY</t>
  </si>
  <si>
    <t>HOMBACH</t>
  </si>
  <si>
    <t>11 POPLAR ROAD</t>
  </si>
  <si>
    <t>KT22 8SF</t>
  </si>
  <si>
    <t>BERYL</t>
  </si>
  <si>
    <t>SHIPPERBOTTOM</t>
  </si>
  <si>
    <t>BROGA</t>
  </si>
  <si>
    <t>FARM LANE</t>
  </si>
  <si>
    <t>KT21 1LJ</t>
  </si>
  <si>
    <t>LOUIS</t>
  </si>
  <si>
    <t>AMARA</t>
  </si>
  <si>
    <t>1 THE LODGE</t>
  </si>
  <si>
    <t>WATTS ROAD</t>
  </si>
  <si>
    <t>KT7 0DE</t>
  </si>
  <si>
    <t>SHUCHUN</t>
  </si>
  <si>
    <t>LAN</t>
  </si>
  <si>
    <t>HAO</t>
  </si>
  <si>
    <t>23 ESHER ROAD</t>
  </si>
  <si>
    <t>KT8 0AH</t>
  </si>
  <si>
    <t>BABS</t>
  </si>
  <si>
    <t>KITT</t>
  </si>
  <si>
    <t>WORLDS END COTTAGE</t>
  </si>
  <si>
    <t>WORLDS END</t>
  </si>
  <si>
    <t>KT11 1AG</t>
  </si>
  <si>
    <t>LETTY</t>
  </si>
  <si>
    <t>NAJIMALDIN</t>
  </si>
  <si>
    <t>85 KINGSTON ROAD</t>
  </si>
  <si>
    <t>KT22 7SF</t>
  </si>
  <si>
    <t>JOANN</t>
  </si>
  <si>
    <t>WINKER</t>
  </si>
  <si>
    <t>3 STATION APPROACH</t>
  </si>
  <si>
    <t>KT22 7SQ</t>
  </si>
  <si>
    <t>BALI</t>
  </si>
  <si>
    <t>RAMKUMAR</t>
  </si>
  <si>
    <t>VASUDHARA</t>
  </si>
  <si>
    <t>10 RIVER AVENUE</t>
  </si>
  <si>
    <t>KT7 0RS</t>
  </si>
  <si>
    <t>BROOKE</t>
  </si>
  <si>
    <t>BATLEY</t>
  </si>
  <si>
    <t>VINCENT WORKS</t>
  </si>
  <si>
    <t>VINCENT LANE</t>
  </si>
  <si>
    <t>RH4 3HQ</t>
  </si>
  <si>
    <t>GWYNDOLYN</t>
  </si>
  <si>
    <t>GURDIN</t>
  </si>
  <si>
    <t>10 HURSTBOURNE</t>
  </si>
  <si>
    <t>KT10 0NG</t>
  </si>
  <si>
    <t>NADHEER</t>
  </si>
  <si>
    <t>SAAMIR</t>
  </si>
  <si>
    <t>REZAEIAN</t>
  </si>
  <si>
    <t>11 HOWARD STREET</t>
  </si>
  <si>
    <t>KT7 0XL</t>
  </si>
  <si>
    <t>WARD</t>
  </si>
  <si>
    <t>ADESANYA</t>
  </si>
  <si>
    <t>1 ALBURY CLOSE</t>
  </si>
  <si>
    <t>KT19 7LT</t>
  </si>
  <si>
    <t>JARETH</t>
  </si>
  <si>
    <t>LOVEL</t>
  </si>
  <si>
    <t>RAU</t>
  </si>
  <si>
    <t>42 WEST GARDENS</t>
  </si>
  <si>
    <t>KT17 1ND</t>
  </si>
  <si>
    <t>PETERKIN</t>
  </si>
  <si>
    <t>SHIVELEY</t>
  </si>
  <si>
    <t>26 WESTON PARK</t>
  </si>
  <si>
    <t>KT7 0HL</t>
  </si>
  <si>
    <t>SHANTAE</t>
  </si>
  <si>
    <t>BOLWELL</t>
  </si>
  <si>
    <t>1 LANESIDE COTTAGES</t>
  </si>
  <si>
    <t>STEELS LANE</t>
  </si>
  <si>
    <t>KT22 0RL</t>
  </si>
  <si>
    <t>RED</t>
  </si>
  <si>
    <t>CHAD</t>
  </si>
  <si>
    <t>FLINDALL</t>
  </si>
  <si>
    <t>DITTON LAWN</t>
  </si>
  <si>
    <t>LOVELANDS LANE</t>
  </si>
  <si>
    <t>KT20 6XJ</t>
  </si>
  <si>
    <t>ALEXIS</t>
  </si>
  <si>
    <t>HOWISON</t>
  </si>
  <si>
    <t>11 MERRYLANDS ROAD</t>
  </si>
  <si>
    <t>KT23 3HP</t>
  </si>
  <si>
    <t>ALYCE</t>
  </si>
  <si>
    <t>CLARE</t>
  </si>
  <si>
    <t>MASHKUR</t>
  </si>
  <si>
    <t>2 BROOKSIDE</t>
  </si>
  <si>
    <t>RH5 4QH</t>
  </si>
  <si>
    <t>SNELL</t>
  </si>
  <si>
    <t>158 PEMBROKE CLOSE</t>
  </si>
  <si>
    <t>SM7 2BH</t>
  </si>
  <si>
    <t>WILMER</t>
  </si>
  <si>
    <t>O'HOLLORAN</t>
  </si>
  <si>
    <t>5 LAZELL GARDENS</t>
  </si>
  <si>
    <t>RH3 7BF</t>
  </si>
  <si>
    <t>LATANYA</t>
  </si>
  <si>
    <t>CRANE</t>
  </si>
  <si>
    <t>1 OLD SCHOOL LANE</t>
  </si>
  <si>
    <t>RH3 7JP</t>
  </si>
  <si>
    <t>GALA</t>
  </si>
  <si>
    <t>LOIS</t>
  </si>
  <si>
    <t>ROTHSCHILD</t>
  </si>
  <si>
    <t>10 LAKE VIEW</t>
  </si>
  <si>
    <t>RH5 4TH</t>
  </si>
  <si>
    <t>ESDRAS</t>
  </si>
  <si>
    <t>SETH</t>
  </si>
  <si>
    <t>BARTIMEUS</t>
  </si>
  <si>
    <t>10 GREEN WAY</t>
  </si>
  <si>
    <t>KT23 3PA</t>
  </si>
  <si>
    <t>CELESTE</t>
  </si>
  <si>
    <t>12 CLAYTON ROAD</t>
  </si>
  <si>
    <t>KT17 1HZ</t>
  </si>
  <si>
    <t>GIL</t>
  </si>
  <si>
    <t>JAY</t>
  </si>
  <si>
    <t>HATTER</t>
  </si>
  <si>
    <t>1 THE AVENUE</t>
  </si>
  <si>
    <t>KT4 7EP</t>
  </si>
  <si>
    <t>IBBIE</t>
  </si>
  <si>
    <t>IVY</t>
  </si>
  <si>
    <t>DRAYSON</t>
  </si>
  <si>
    <t>BARN COTTAGE</t>
  </si>
  <si>
    <t>RUCKMANS LANE</t>
  </si>
  <si>
    <t>OKEWOOD HILL</t>
  </si>
  <si>
    <t>RH5 5ND</t>
  </si>
  <si>
    <t>JOANNA</t>
  </si>
  <si>
    <t>VIEN</t>
  </si>
  <si>
    <t>1 OAK LEAF CLOSE</t>
  </si>
  <si>
    <t>KT19 8JT</t>
  </si>
  <si>
    <t>FRANCIS</t>
  </si>
  <si>
    <t>JOSEPH</t>
  </si>
  <si>
    <t>1 RAYMEAD CLOSE</t>
  </si>
  <si>
    <t>KT22 9LU</t>
  </si>
  <si>
    <t>LOBENDANZ</t>
  </si>
  <si>
    <t>10 ARAGON AVENUE</t>
  </si>
  <si>
    <t>JAMIE</t>
  </si>
  <si>
    <t>KOLBY</t>
  </si>
  <si>
    <t>MCLEISH</t>
  </si>
  <si>
    <t>CHEQUERS CORNER COTTAGE</t>
  </si>
  <si>
    <t>HURST DRIVE</t>
  </si>
  <si>
    <t>KT20 7QT</t>
  </si>
  <si>
    <t>ETHEL</t>
  </si>
  <si>
    <t>ZANDRA</t>
  </si>
  <si>
    <t>GLOSSOP</t>
  </si>
  <si>
    <t>OXSHOTT POST OFFICE</t>
  </si>
  <si>
    <t>KT22 0JP</t>
  </si>
  <si>
    <t>NATHANIEL</t>
  </si>
  <si>
    <t>DRYDEN</t>
  </si>
  <si>
    <t>KT8 2LZ</t>
  </si>
  <si>
    <t>IRVIN</t>
  </si>
  <si>
    <t>HULD</t>
  </si>
  <si>
    <t>ARCH COTTAGE</t>
  </si>
  <si>
    <t>HAMPTON COURT WAY</t>
  </si>
  <si>
    <t>KT10 9AN</t>
  </si>
  <si>
    <t>MCCROSSEN-SADLER</t>
  </si>
  <si>
    <t>10 DOWNS WOOD</t>
  </si>
  <si>
    <t>KT18 5UH</t>
  </si>
  <si>
    <t>CARINA</t>
  </si>
  <si>
    <t>SHARRON</t>
  </si>
  <si>
    <t>CAPT</t>
  </si>
  <si>
    <t>103 HOOKFIELD</t>
  </si>
  <si>
    <t>NOBLE</t>
  </si>
  <si>
    <t>HOWIE</t>
  </si>
  <si>
    <t>BALLERINO</t>
  </si>
  <si>
    <t>1 WESTFIELD DRIVE</t>
  </si>
  <si>
    <t>KT23 3NU</t>
  </si>
  <si>
    <t>GRIFFITHS-LARKHAM</t>
  </si>
  <si>
    <t>COMPTORS</t>
  </si>
  <si>
    <t>WESTON GREEN</t>
  </si>
  <si>
    <t>KT7 0JZ</t>
  </si>
  <si>
    <t>HODGSON-LUNN</t>
  </si>
  <si>
    <t>BEECHCROFT</t>
  </si>
  <si>
    <t>SM7 3EL</t>
  </si>
  <si>
    <t>STAFFORD</t>
  </si>
  <si>
    <t>RASHBROOK</t>
  </si>
  <si>
    <t>1 POPLAR DRIVE</t>
  </si>
  <si>
    <t>SM7 1LJ</t>
  </si>
  <si>
    <t>FAY</t>
  </si>
  <si>
    <t>MUTLOW</t>
  </si>
  <si>
    <t>11 BEALES ROAD</t>
  </si>
  <si>
    <t>KT23 4NA</t>
  </si>
  <si>
    <t>MUBAARAKA</t>
  </si>
  <si>
    <t>AMEERA</t>
  </si>
  <si>
    <t>KOIKI</t>
  </si>
  <si>
    <t>10 CASTLE GARDENS</t>
  </si>
  <si>
    <t>RH4 1NY</t>
  </si>
  <si>
    <t>LIXUE</t>
  </si>
  <si>
    <t>CHANG</t>
  </si>
  <si>
    <t>KO</t>
  </si>
  <si>
    <t>10 DEE WAY</t>
  </si>
  <si>
    <t>KT19 9BY</t>
  </si>
  <si>
    <t>XIFENG</t>
  </si>
  <si>
    <t>RONG</t>
  </si>
  <si>
    <t>CHOO</t>
  </si>
  <si>
    <t>22 RED LANE</t>
  </si>
  <si>
    <t>KT10 0ES</t>
  </si>
  <si>
    <t>GLENN</t>
  </si>
  <si>
    <t>ARLEN</t>
  </si>
  <si>
    <t>RODGMAN</t>
  </si>
  <si>
    <t>CALVERT COURT 7A</t>
  </si>
  <si>
    <t>KT22 8BQ</t>
  </si>
  <si>
    <t>RANULPH</t>
  </si>
  <si>
    <t>SPOURS</t>
  </si>
  <si>
    <t>1B</t>
  </si>
  <si>
    <t>KT19 8DA</t>
  </si>
  <si>
    <t>TERRENCE</t>
  </si>
  <si>
    <t>O'CONNELL</t>
  </si>
  <si>
    <t>97 EAST STREET</t>
  </si>
  <si>
    <t>SANDY</t>
  </si>
  <si>
    <t>ANSTRUTHER</t>
  </si>
  <si>
    <t>2 ROYAL CLOSE</t>
  </si>
  <si>
    <t>KT4 7JS</t>
  </si>
  <si>
    <t>BEVERLEY</t>
  </si>
  <si>
    <t>VANHAM</t>
  </si>
  <si>
    <t>10 CLIFTON PLACE</t>
  </si>
  <si>
    <t>SM7 2PQ</t>
  </si>
  <si>
    <t>DEENPAL</t>
  </si>
  <si>
    <t>JANJUA</t>
  </si>
  <si>
    <t>106 WOODSTONE AVENUE</t>
  </si>
  <si>
    <t>KT17 2JN</t>
  </si>
  <si>
    <t>LAVERNE</t>
  </si>
  <si>
    <t>DONELL</t>
  </si>
  <si>
    <t>LITTLE RIE</t>
  </si>
  <si>
    <t>RH3 7ET</t>
  </si>
  <si>
    <t>EM</t>
  </si>
  <si>
    <t>SHELLEY</t>
  </si>
  <si>
    <t>AKTHER</t>
  </si>
  <si>
    <t>CROCKFIELDS</t>
  </si>
  <si>
    <t>ALCOCKS LANE</t>
  </si>
  <si>
    <t>KT20 6BA</t>
  </si>
  <si>
    <t>TYLER</t>
  </si>
  <si>
    <t>RAITT</t>
  </si>
  <si>
    <t>12 DOWNLAND WAY</t>
  </si>
  <si>
    <t>KT18 5SG</t>
  </si>
  <si>
    <t>AZEEZA</t>
  </si>
  <si>
    <t>TAHAANI</t>
  </si>
  <si>
    <t>OKELO-OMOLI</t>
  </si>
  <si>
    <t>3 ORCHARDLEIGH</t>
  </si>
  <si>
    <t>KT22 8NF</t>
  </si>
  <si>
    <t>PUW</t>
  </si>
  <si>
    <t>RHUVAWN</t>
  </si>
  <si>
    <t>KENYON</t>
  </si>
  <si>
    <t>NELSON COTTAGE</t>
  </si>
  <si>
    <t>MILL ROAD</t>
  </si>
  <si>
    <t>RH5 4NR</t>
  </si>
  <si>
    <t>HEATH</t>
  </si>
  <si>
    <t>MARLOWE</t>
  </si>
  <si>
    <t>JAVENS</t>
  </si>
  <si>
    <t>1 ELM CLOSE</t>
  </si>
  <si>
    <t>KT22 8HA</t>
  </si>
  <si>
    <t>TONIA</t>
  </si>
  <si>
    <t>KLOSINSKI</t>
  </si>
  <si>
    <t>182 LOWER ROAD</t>
  </si>
  <si>
    <t>KT23 4AT</t>
  </si>
  <si>
    <t>ROLY</t>
  </si>
  <si>
    <t>MACNEILEDGE</t>
  </si>
  <si>
    <t>92 CHEAM ROAD</t>
  </si>
  <si>
    <t>KT17 3ED</t>
  </si>
  <si>
    <t>CROOKS</t>
  </si>
  <si>
    <t>31 TADORNE ROAD</t>
  </si>
  <si>
    <t>KT20 5TF</t>
  </si>
  <si>
    <t>GAYLE</t>
  </si>
  <si>
    <t>NOCITO</t>
  </si>
  <si>
    <t>2 PERCIVAL CLOSE</t>
  </si>
  <si>
    <t>KT22 0NU</t>
  </si>
  <si>
    <t>LILY</t>
  </si>
  <si>
    <t>JABEEN</t>
  </si>
  <si>
    <t>1 ST. PETERS ROAD</t>
  </si>
  <si>
    <t>KT8 2QE</t>
  </si>
  <si>
    <t>BEVIS</t>
  </si>
  <si>
    <t>WARWICK</t>
  </si>
  <si>
    <t>GREGAN</t>
  </si>
  <si>
    <t>ARFRYN</t>
  </si>
  <si>
    <t>EWELL HOUSE GROVE</t>
  </si>
  <si>
    <t>KT17 1NT</t>
  </si>
  <si>
    <t>JEMMA</t>
  </si>
  <si>
    <t>JESS</t>
  </si>
  <si>
    <t>DAVOUS</t>
  </si>
  <si>
    <t>DONARD</t>
  </si>
  <si>
    <t>KT23 4QX</t>
  </si>
  <si>
    <t>RABDAA</t>
  </si>
  <si>
    <t>SHAFEE'A</t>
  </si>
  <si>
    <t>KASBI</t>
  </si>
  <si>
    <t>17 THE GLADE</t>
  </si>
  <si>
    <t>KT17 2HN</t>
  </si>
  <si>
    <t>BRANDEN</t>
  </si>
  <si>
    <t>JESSIE</t>
  </si>
  <si>
    <t>10 MOLESHAM CLOSE</t>
  </si>
  <si>
    <t>KT8 1PA</t>
  </si>
  <si>
    <t>ROYCE</t>
  </si>
  <si>
    <t>CHILVERS</t>
  </si>
  <si>
    <t>BRATTON HILL</t>
  </si>
  <si>
    <t>SLOUGH LANE</t>
  </si>
  <si>
    <t>RH3 7BJ</t>
  </si>
  <si>
    <t>SHANON</t>
  </si>
  <si>
    <t>ROSIER</t>
  </si>
  <si>
    <t>37 MIZEN WAY</t>
  </si>
  <si>
    <t>KT11 2RL</t>
  </si>
  <si>
    <t>GORE</t>
  </si>
  <si>
    <t>DEFOREST</t>
  </si>
  <si>
    <t>PHONANAN</t>
  </si>
  <si>
    <t>18 WOODFIELD LANE</t>
  </si>
  <si>
    <t>KT21 2BE</t>
  </si>
  <si>
    <t>MORT</t>
  </si>
  <si>
    <t>ROSSO</t>
  </si>
  <si>
    <t>2 BOXHILL FARM BARNS</t>
  </si>
  <si>
    <t>RH4 1NS</t>
  </si>
  <si>
    <t>ANTARPREET</t>
  </si>
  <si>
    <t>NEELAM</t>
  </si>
  <si>
    <t>10 ICKLINGHAM ROAD</t>
  </si>
  <si>
    <t>KT11 2NG</t>
  </si>
  <si>
    <t>EMMANUEL</t>
  </si>
  <si>
    <t>PUDDEFOOT</t>
  </si>
  <si>
    <t>MEDWAY</t>
  </si>
  <si>
    <t>HIGH ROAD</t>
  </si>
  <si>
    <t>CR5 3QN</t>
  </si>
  <si>
    <t>HOWARD</t>
  </si>
  <si>
    <t>LADYMAN</t>
  </si>
  <si>
    <t>1 MABBOTS</t>
  </si>
  <si>
    <t>KT20 5TS</t>
  </si>
  <si>
    <t>MICHEAL</t>
  </si>
  <si>
    <t>ISSY</t>
  </si>
  <si>
    <t>BURKE-WEBB</t>
  </si>
  <si>
    <t>1 CHILTONS CLOSE</t>
  </si>
  <si>
    <t>SM7 2PS</t>
  </si>
  <si>
    <t>DESTINEE</t>
  </si>
  <si>
    <t>KARLENE</t>
  </si>
  <si>
    <t>TOMBLIN</t>
  </si>
  <si>
    <t>12 TUFTON GARDENS</t>
  </si>
  <si>
    <t>KT8 1TE</t>
  </si>
  <si>
    <t>TAARIQ</t>
  </si>
  <si>
    <t>KYEI</t>
  </si>
  <si>
    <t>2 KENWARD COURT</t>
  </si>
  <si>
    <t>BREW HOUSE ROAD</t>
  </si>
  <si>
    <t>RH3 7JH</t>
  </si>
  <si>
    <t>NILES</t>
  </si>
  <si>
    <t>HATHWAY</t>
  </si>
  <si>
    <t>10 RIVERSIDE AVENUE</t>
  </si>
  <si>
    <t>KT8 0AE</t>
  </si>
  <si>
    <t>CARLYN</t>
  </si>
  <si>
    <t>MACKLIN</t>
  </si>
  <si>
    <t>1 LYNWOOD AVENUE</t>
  </si>
  <si>
    <t>KT17 4LQ</t>
  </si>
  <si>
    <t>MARION</t>
  </si>
  <si>
    <t>INAGAKI</t>
  </si>
  <si>
    <t>CAPELLE</t>
  </si>
  <si>
    <t>CHARLWOOD ROAD</t>
  </si>
  <si>
    <t>RH6 0AJ</t>
  </si>
  <si>
    <t>HENNIE</t>
  </si>
  <si>
    <t>JESSAMYN</t>
  </si>
  <si>
    <t>ADMAS</t>
  </si>
  <si>
    <t>106 TELEGRAPH LANE</t>
  </si>
  <si>
    <t>KT10 0DY</t>
  </si>
  <si>
    <t>AYDEN</t>
  </si>
  <si>
    <t>DEONNE</t>
  </si>
  <si>
    <t>COCKERELL</t>
  </si>
  <si>
    <t>2 ST. CHADS CLOSE</t>
  </si>
  <si>
    <t>KT6 5ED</t>
  </si>
  <si>
    <t>DYSON</t>
  </si>
  <si>
    <t>GUINEY</t>
  </si>
  <si>
    <t>BROOKSIDE COTTAGE</t>
  </si>
  <si>
    <t>FOREST GREEN</t>
  </si>
  <si>
    <t>RH5 5PP</t>
  </si>
  <si>
    <t>LAURIE</t>
  </si>
  <si>
    <t>IRVINE</t>
  </si>
  <si>
    <t>2 COURT HAW</t>
  </si>
  <si>
    <t>SM7 3NG</t>
  </si>
  <si>
    <t>RIF'A</t>
  </si>
  <si>
    <t>MUFLIHA</t>
  </si>
  <si>
    <t>EL-AWAM</t>
  </si>
  <si>
    <t>29A</t>
  </si>
  <si>
    <t>SM7 2NH</t>
  </si>
  <si>
    <t>REYNOLD</t>
  </si>
  <si>
    <t>TRUEMAN</t>
  </si>
  <si>
    <t>WORSLEY</t>
  </si>
  <si>
    <t>3 RIVERMEAD</t>
  </si>
  <si>
    <t>KT8 9AZ</t>
  </si>
  <si>
    <t>ALLY</t>
  </si>
  <si>
    <t>SWAN</t>
  </si>
  <si>
    <t>33 LONGDOWN LANE NORTH</t>
  </si>
  <si>
    <t>KT17 3JB</t>
  </si>
  <si>
    <t>FULKE</t>
  </si>
  <si>
    <t>DOANE</t>
  </si>
  <si>
    <t>10 NEWENHAM ROAD</t>
  </si>
  <si>
    <t>KT23 4NJ</t>
  </si>
  <si>
    <t>WILDA</t>
  </si>
  <si>
    <t>CRADDOCK</t>
  </si>
  <si>
    <t>179 VALE ROAD</t>
  </si>
  <si>
    <t>KT19 0PJ</t>
  </si>
  <si>
    <t>DENZIL</t>
  </si>
  <si>
    <t>SWEEK</t>
  </si>
  <si>
    <t>10 APERDELE ROAD</t>
  </si>
  <si>
    <t>KT22 7QT</t>
  </si>
  <si>
    <t>ETTIE</t>
  </si>
  <si>
    <t>CROSSLAND</t>
  </si>
  <si>
    <t>2 ACORN GROVE</t>
  </si>
  <si>
    <t>KT20 6QT</t>
  </si>
  <si>
    <t>LALLA</t>
  </si>
  <si>
    <t>NOREEN</t>
  </si>
  <si>
    <t>BRESSINGTON</t>
  </si>
  <si>
    <t>7 CROSS ROAD</t>
  </si>
  <si>
    <t>KT20 5SP</t>
  </si>
  <si>
    <t>AZAZIAH</t>
  </si>
  <si>
    <t>LEVINE</t>
  </si>
  <si>
    <t>CHAILEYS</t>
  </si>
  <si>
    <t>MADDOX LANE</t>
  </si>
  <si>
    <t>KT23 3BS</t>
  </si>
  <si>
    <t>MATT</t>
  </si>
  <si>
    <t>GIRDLESTONE</t>
  </si>
  <si>
    <t>11 HARTFORD ROAD</t>
  </si>
  <si>
    <t>KT19 9JD</t>
  </si>
  <si>
    <t>KATHARINE</t>
  </si>
  <si>
    <t>THISTLETON</t>
  </si>
  <si>
    <t>45 THE AVENUE</t>
  </si>
  <si>
    <t>KT20 5DB</t>
  </si>
  <si>
    <t>LEON</t>
  </si>
  <si>
    <t>QUICK-DODWITHTIME</t>
  </si>
  <si>
    <t>102 NORTHEY AVENUE</t>
  </si>
  <si>
    <t>MAJOR</t>
  </si>
  <si>
    <t>RIGBY</t>
  </si>
  <si>
    <t>MEERS</t>
  </si>
  <si>
    <t>10 OTTWAYS LANE</t>
  </si>
  <si>
    <t>KT21 2NZ</t>
  </si>
  <si>
    <t>MAEGAN</t>
  </si>
  <si>
    <t>JEN</t>
  </si>
  <si>
    <t>MCKINNELL</t>
  </si>
  <si>
    <t>10 CHICHESTER COURT</t>
  </si>
  <si>
    <t>CHESSINGTON ROAD</t>
  </si>
  <si>
    <t>KT17 1TP</t>
  </si>
  <si>
    <t>KERENZA</t>
  </si>
  <si>
    <t>JENNIFER</t>
  </si>
  <si>
    <t>PIDCOCK</t>
  </si>
  <si>
    <t>1 HOWELL HILL CLOSE</t>
  </si>
  <si>
    <t>KT17 3EU</t>
  </si>
  <si>
    <t>RAVISHU</t>
  </si>
  <si>
    <t>CHETAN</t>
  </si>
  <si>
    <t>SAKIB</t>
  </si>
  <si>
    <t>3 CHARLWOOD CLOSE</t>
  </si>
  <si>
    <t>KT23 3PL</t>
  </si>
  <si>
    <t>KILARSKA</t>
  </si>
  <si>
    <t>PLYMEN HOUSE</t>
  </si>
  <si>
    <t>EASTCOTE AVENUE</t>
  </si>
  <si>
    <t>KT8 2HA</t>
  </si>
  <si>
    <t>GENESIS</t>
  </si>
  <si>
    <t>MAWANANAHEWA</t>
  </si>
  <si>
    <t>2 YEW TREE COTTAGE</t>
  </si>
  <si>
    <t>KT10 9AL</t>
  </si>
  <si>
    <t>GURPAL</t>
  </si>
  <si>
    <t>NATHAN</t>
  </si>
  <si>
    <t>ASHURST</t>
  </si>
  <si>
    <t>ASHLEY AVENUE</t>
  </si>
  <si>
    <t>KT18 5BL</t>
  </si>
  <si>
    <t>QUEENIE</t>
  </si>
  <si>
    <t>AMELIA</t>
  </si>
  <si>
    <t>KNOPP</t>
  </si>
  <si>
    <t>1 ENNISMORE GARDENS</t>
  </si>
  <si>
    <t>KT7 0YS</t>
  </si>
  <si>
    <t>JERRY</t>
  </si>
  <si>
    <t>QUICK-INVALID-REGORD</t>
  </si>
  <si>
    <t>1 WINDMILL DRIVE</t>
  </si>
  <si>
    <t>KT22 8PF</t>
  </si>
  <si>
    <t>KAMALJOT</t>
  </si>
  <si>
    <t>MAROKE</t>
  </si>
  <si>
    <t>258 CHIPSTEAD WAY</t>
  </si>
  <si>
    <t>SM7 3LH</t>
  </si>
  <si>
    <t>HARGUN</t>
  </si>
  <si>
    <t>SINGH-GUJAR</t>
  </si>
  <si>
    <t>1 CHERRY ORCHARD GARDENS</t>
  </si>
  <si>
    <t>SHELLY</t>
  </si>
  <si>
    <t>SCARFE</t>
  </si>
  <si>
    <t>10 RUSHETT CLOSE</t>
  </si>
  <si>
    <t>KT7 0UR</t>
  </si>
  <si>
    <t>NEDIVAH</t>
  </si>
  <si>
    <t>AVIGDOR</t>
  </si>
  <si>
    <t>3 MAGNOLIA WAY</t>
  </si>
  <si>
    <t>KT19 9LT</t>
  </si>
  <si>
    <t>FURLONG</t>
  </si>
  <si>
    <t>11 TATTENHAM WAY</t>
  </si>
  <si>
    <t>KT20 5LX</t>
  </si>
  <si>
    <t>MUTLAQ</t>
  </si>
  <si>
    <t>KARURI</t>
  </si>
  <si>
    <t>SQUIRRELS COURT</t>
  </si>
  <si>
    <t>17 THE AVENUE</t>
  </si>
  <si>
    <t>KT4 7EU</t>
  </si>
  <si>
    <t>ABRAHAM</t>
  </si>
  <si>
    <t>CHARALAMBOUS</t>
  </si>
  <si>
    <t>1 FIRST CLOSE</t>
  </si>
  <si>
    <t>KT8 1PL</t>
  </si>
  <si>
    <t>ASCIC</t>
  </si>
  <si>
    <t>10 CHALK PIT ROAD</t>
  </si>
  <si>
    <t>SM7 2HY</t>
  </si>
  <si>
    <t>EGLANTINE</t>
  </si>
  <si>
    <t>MAGRATH</t>
  </si>
  <si>
    <t>1 RANDOLPH CLOSE</t>
  </si>
  <si>
    <t>KT11 2SW</t>
  </si>
  <si>
    <t>Ivor</t>
  </si>
  <si>
    <t>Irving</t>
  </si>
  <si>
    <t>HEALEY</t>
  </si>
  <si>
    <t>166 BRADFORD ROAD</t>
  </si>
  <si>
    <t>BD18 3DE</t>
  </si>
  <si>
    <t>"tel:"</t>
  </si>
  <si>
    <t>CHARLEY</t>
  </si>
  <si>
    <t>KIMBERLYN</t>
  </si>
  <si>
    <t>MCSHEFFERY</t>
  </si>
  <si>
    <t>141 WEST BARNES LANE</t>
  </si>
  <si>
    <t>NEW MALDEN</t>
  </si>
  <si>
    <t>H85687</t>
  </si>
  <si>
    <t>KT3 6HR</t>
  </si>
  <si>
    <t>Virgil</t>
  </si>
  <si>
    <t>Miles</t>
  </si>
  <si>
    <t>SIMON</t>
  </si>
  <si>
    <t>42 SWAIN HOUSE CRESCENT</t>
  </si>
  <si>
    <t>BD2 1HS</t>
  </si>
  <si>
    <t>DoB - with hhmm</t>
  </si>
  <si>
    <t>NIKOLE</t>
  </si>
  <si>
    <t>SABRINA</t>
  </si>
  <si>
    <t>TROOP</t>
  </si>
  <si>
    <t>12 BEDFORD ROAD</t>
  </si>
  <si>
    <t>KT4 8LZ</t>
  </si>
  <si>
    <t>SAPPHIRE</t>
  </si>
  <si>
    <t>READETT</t>
  </si>
  <si>
    <t>ANDOVER COURT</t>
  </si>
  <si>
    <t>HAMPTON ROAD</t>
  </si>
  <si>
    <t>KT4 8EX</t>
  </si>
  <si>
    <t>Test ID</t>
  </si>
  <si>
    <t>Scenario Name</t>
  </si>
  <si>
    <t>Description</t>
  </si>
  <si>
    <t>Harness Patient ID</t>
  </si>
  <si>
    <t>Ummanu Comments</t>
  </si>
  <si>
    <t>GPCM-SD-TST-01</t>
  </si>
  <si>
    <t>Standard Test</t>
  </si>
  <si>
    <t>Given I have recorded a consultation for a patient who is not registered to my practice
And I am not sharing the consultation within the functionality of my clinical system
And I have not marked the consultation as confidential
When the requisite amount of time has passed since the consulation was recorded / last updated
And a send document message is triggered
Then a message is sent which conforms to the MESH and ITK3 requirements for Send Document
And a PDF is included as a binary document conforming to the Send Document specification</t>
  </si>
  <si>
    <t>NHS_NO:- 9691375087
Test Harness Keyword:- Set //Practitioner/name/given/@value to IB001</t>
  </si>
  <si>
    <t>GPCM-SD-TST-02</t>
  </si>
  <si>
    <t>Confidential Consultation</t>
  </si>
  <si>
    <t>Given I have recorded a consultation for a patient who is not registered to my practice
And I am not sharing the consultation within the functionality of my clinical system
And I mark the consultation as confidential
When the requisite amount of time has passed since the consultation was recorded / last updated
And a send document message is triggered
Then a message is sent which conforms to the MESH and ITK3 requirements for Send Document
And the Composition.confidentiality = R
And confidential items are not included in the headers as per requirements
And the organisation details are included in structured resources
And a PDF is included as a binary document conforming to the Send Document specification with items absent as per GPCM-SD-102</t>
  </si>
  <si>
    <t>NHS_NO:- 9691375095
Test Harness Keyword:- Set //Practitioner/name/given/@value to IB001</t>
  </si>
  <si>
    <t>this test is NOT referenced within the SCAL</t>
  </si>
  <si>
    <t>GPCM-SD-TST-03</t>
  </si>
  <si>
    <t>Practitioner / sender details</t>
  </si>
  <si>
    <t>Given I have completed test 01
And I record a new consultation for the patient as a different practitioner working for a different organisation
When the send document message is triggered
And a send document message is triggered
Then the organization and practitioner resources reflect the practitioner and organisation details used to record the consultation</t>
  </si>
  <si>
    <t>NHS_NO:- 9691375109
Test Harness Keyword:- Set //Practitioner/name/given/@value to IB001</t>
  </si>
  <si>
    <t>GPCM-SD-TST-04</t>
  </si>
  <si>
    <t>Handling errors from the receiver</t>
  </si>
  <si>
    <r>
      <rPr>
        <sz val="11"/>
        <color rgb="FF000000"/>
        <rFont val="Arial"/>
      </rPr>
      <t xml:space="preserve">Given I have sent a valid Send Document message with a [Keyword] in the request as documented in the following attachment for each type of error response:- LINK </t>
    </r>
    <r>
      <rPr>
        <u/>
        <sz val="11"/>
        <color rgb="FF1155CC"/>
        <rFont val="Arial"/>
      </rPr>
      <t>Test Harness Triggers</t>
    </r>
    <r>
      <rPr>
        <sz val="11"/>
        <color rgb="FF000000"/>
        <rFont val="Arial"/>
      </rPr>
      <t xml:space="preserve">
But the receiver is unable to process it
When I receive an error response
Then the error is handled gracefully
And a notification of the error is made to an appropriate person</t>
    </r>
  </si>
  <si>
    <t>NHS_NO:- 9691375117
Test Harness Keyword:- See Link in the Scenario</t>
  </si>
  <si>
    <t>GPCM-SD-TST-05</t>
  </si>
  <si>
    <t>Handling no response</t>
  </si>
  <si>
    <r>
      <rPr>
        <sz val="11"/>
        <color rgb="FF000000"/>
        <rFont val="Arial"/>
      </rPr>
      <t xml:space="preserve">Given I have sent a valid Send Document message with a [Keyword] in the request as documented in the following attachment for each type of error response:- LINK </t>
    </r>
    <r>
      <rPr>
        <u/>
        <sz val="11"/>
        <color rgb="FF1155CC"/>
        <rFont val="Arial"/>
      </rPr>
      <t>Test Harness Triggers</t>
    </r>
    <r>
      <rPr>
        <sz val="11"/>
        <color rgb="FF000000"/>
        <rFont val="Arial"/>
      </rPr>
      <t xml:space="preserve">
But the receiver is unable to process it
When I do not receive a technical or business acknowledgement response
Then the sender has an appropriate way to manage the non-response
And if not resolved an notification of no response is made to an appropriate person</t>
    </r>
  </si>
  <si>
    <t>NHS_NO:- 9691375125
Test Harness Keyword:- Set //Practitioner/name/given/@value to noresponse</t>
  </si>
  <si>
    <t>GPCM-SD-TST-06</t>
  </si>
  <si>
    <t>Registered patient / message not sent</t>
  </si>
  <si>
    <t>Given I have recorded a consultation for a patient registered at my practice
When the patient registration type of the patient record at the appointment hosting practice is Regular (GMS/PMS)
When I complete the consultation
Then a Send Document message does not trigger</t>
  </si>
  <si>
    <t>NHS_NO:- 9691375133
Test Harness Keyword:- Set //Practitioner/name/given/@value to IB001</t>
  </si>
  <si>
    <t>our solution does not support registration types</t>
  </si>
  <si>
    <t>GPCM-SD-TST-07</t>
  </si>
  <si>
    <t>Timeliness of message</t>
  </si>
  <si>
    <t>Given I have recorded a consultation as per GPCM-SD-TST-01
When the Send Document is sent
When I complete the consultation
Then ideally less than 3 hours has elapsed between last update and send</t>
  </si>
  <si>
    <t>Data Not Applicable, Statement regarding the business logic / functionality regarding the delay period for send document and audit records to support</t>
  </si>
  <si>
    <t>write a small piece about the queue and the trigger, also show times on messages</t>
  </si>
  <si>
    <t>GPCM-SD-TST-08</t>
  </si>
  <si>
    <t>Amend a consultation after sending</t>
  </si>
  <si>
    <t>Given I access a consultation which has previously been sent via Send Document
When I amend the consultation
And the necessary time elapses for the message send
Then an updated Send Document message is sent conforming to the specification
And the version number is incremented from the previous send
And it identifies the document is a replacement
And it refers to the original document unique ID it is replacing</t>
  </si>
  <si>
    <t>NHS_NO:- 9691375141
Test Harness Keyword:- Set //Practitioner/name/given/@value to IB001</t>
  </si>
  <si>
    <t>our solution does not currently support update, amend, delete or any file attachements</t>
  </si>
  <si>
    <t>GPCM-SD-TST-09</t>
  </si>
  <si>
    <t>Third send of document</t>
  </si>
  <si>
    <t>Given I have completed GPCM-SD-TST-08
And I make a further amendment to the consultation
When a replacement message is sent
Then an updated Send Document message is sent conforming to the specification
And the version number is incremented from the previous send
And it identifies the document is a replacement
And it refers to the previous replacement document unique ID it is replacing</t>
  </si>
  <si>
    <t>this test is NOT referenced within the SCAL
our solution does not currently support update, amend, delete or any file attachements</t>
  </si>
  <si>
    <t>GPCM-SD-TST-10</t>
  </si>
  <si>
    <t>Deleted consultation</t>
  </si>
  <si>
    <t>Given I access a consultation which has previously been sent via Send Document
When I delete the consultation
Then a message is displayed to inform me this consultation has been sent to the registered practice and action needs to be taken to inform that practice of the deletion
And the message includes the necessary details about the patient, consultation date and registered practice</t>
  </si>
  <si>
    <t>GPCM-SD-TST-11</t>
  </si>
  <si>
    <t>Consultation with individual items marked as confidential</t>
  </si>
  <si>
    <t>Given I have recorded a consultation for a patient who is not registered to my practice
And I am not sharing the consultation within the functionality of my clinical system
And I mark the some items within the consultation as confidential
When the requisite amount of time has passed since the consulation was recorded / last updated
And a send document message is triggered
Then a message is sent which conforms to the MESH and ITK3 requirements for Send Document
And the Composition.confidentiality = N
And confidential items are not included in the headers as per requirements
And the organisation details are included in structured resources
And a PDF is included as a binary document conforming to the Send Document specification but any item or text which was marked as confidential is replaced with the text 'confidential item'</t>
  </si>
  <si>
    <t>GPCM-SD-TST-12</t>
  </si>
  <si>
    <t>Receiver reports amended document cannot be processed</t>
  </si>
  <si>
    <t>Given I have amended a consultation after it was sent via Send Document
Andthe amended consultation is then sent via Send Document
And the send is not successful
When I receive the error / do not receive a response
Then I will handle the error gracefully
And trigger an appropriate resolution process
And manage the data integrity of the record</t>
  </si>
  <si>
    <t>NHS_NO:- 9691375141
Test Harness Keyword:- Set //Practitioner/name/given/@value to 30003</t>
  </si>
  <si>
    <t>GPCM-SD-TST-13</t>
  </si>
  <si>
    <t>Additional documents sent</t>
  </si>
  <si>
    <t>GivenI have additional documents relating to the consultation
And I include the additional document(s) to be sent to the registered GP
When the requisite amount of time has passed since the consultation was recorded / updated
And a send document message is triggered
Then a message is sent which conforms to the MESH and ITK3 requirements for Send Document
And the consultation report and each document is includes in the composition as individual sections
And the first section in the composition refers to a binary resource for the consultation report
And there is a section for each additional document(s) included with a reference to a binary resource
And the binary resources are included in the bundle with matching references / IDs
And the binary resources are base64 encoded</t>
  </si>
  <si>
    <t>NHS_NO:- 9691375176
Test Harness Keyword:- Set //Practitioner/name/given/@value to IB001</t>
  </si>
  <si>
    <t>Message Content Trigger</t>
  </si>
  <si>
    <t>Set //Practitioner/name/given/@value</t>
  </si>
  <si>
    <t>For each of the triggers below, set the Practitioners "Given Name" to the value in A10 to A41</t>
  </si>
  <si>
    <t>This will then generate a response from the test harness and include the appropriate ITK Response</t>
  </si>
  <si>
    <t>Message Content Trigger @value</t>
  </si>
  <si>
    <t>InfAck Requested</t>
  </si>
  <si>
    <t>BusAck Requested</t>
  </si>
  <si>
    <t>ITK Response 1</t>
  </si>
  <si>
    <t>ITK Response 2</t>
  </si>
  <si>
    <t>invrep</t>
  </si>
  <si>
    <t>T</t>
  </si>
  <si>
    <t>T or F</t>
  </si>
  <si>
    <t>Invalid ITKResponse Generated</t>
  </si>
  <si>
    <t>No Business Level Response</t>
  </si>
  <si>
    <t>Infrastructure Level Response 10001: Fatal-Error - Handling Specification Error</t>
  </si>
  <si>
    <t>Infrastructure Level Response 10002: Fatal-Error - Infrastructure Response Value Processing Error</t>
  </si>
  <si>
    <t>Infrastructure Level Response 10003: Fatal-Error - Business Level Response Value Processing Error</t>
  </si>
  <si>
    <t>Infrastructure Level Response 10004: Fatal-Error - Message Definition Value Processing Error</t>
  </si>
  <si>
    <t>Infrastructure Level Response 10005: Fatal-Error - Message Definition Version Value – Processing Error</t>
  </si>
  <si>
    <t>Infrastructure Level Response 10006: Fatal-Error - Priority Value - Processing Error</t>
  </si>
  <si>
    <t>test has been deprecated</t>
  </si>
  <si>
    <t>Infrastructure Level Response 10007: Fatal-Error - Sender Reference Value - Processing Error</t>
  </si>
  <si>
    <t>Infrastructure Level Response 10008: Fatal-Error - Handling Specification Business Rule Error</t>
  </si>
  <si>
    <t>Infrastructure Level Response 10009: Fatal-Error - Unreadable Message Received</t>
  </si>
  <si>
    <t>Infrastructure Level Response 10010: Fatal-Error - Recipient Type - Processing Error</t>
  </si>
  <si>
    <t>Infrastructure Level Response 20001: Fatal-Error - Unrecognised Recipient Person</t>
  </si>
  <si>
    <t>Infrastructure Level Response 20002: Fatal-Error - Unrecognised Recipient Organisation</t>
  </si>
  <si>
    <t>Infrastructure Level Response 20003: Fatal-Error - Unrecognised Sender</t>
  </si>
  <si>
    <t>Infrastructure Level Response 20004: Fatal-Error - Non Approved File Type Received as an Attachment</t>
  </si>
  <si>
    <t>Infrastructure Level Response 20005: Fatal-Error - Unsupported file type received as an attachment</t>
  </si>
  <si>
    <t>Infrastructure Level Response 20006: Fatal-Error - ITK3 Header Validation Failure</t>
  </si>
  <si>
    <t>Infrastructure Level Response 20007: Fatal-Error - Duplicate Message Received</t>
  </si>
  <si>
    <t>Infrastructure Level Response 20008: Fatal-Error - Duplicate Document Received</t>
  </si>
  <si>
    <t>Infrastructure Level Response 20009: Fatal-Error - Payload Validation Failure</t>
  </si>
  <si>
    <t>Infrastructure Level Response 20010: Fatal-Error - Unrecognised Payload Recipient Organisation</t>
  </si>
  <si>
    <t>Infrastructure Level Response 20011: Fatal-Error - Unrecognised Payload Recipient Person</t>
  </si>
  <si>
    <t>Infrastructure Level Response 20012: Fatal-Error - Unauthorised Sender</t>
  </si>
  <si>
    <t>Infrastructure Level Response 20013: OK</t>
  </si>
  <si>
    <t>Infrastructure Level Response 20014: Unable to Process Replacement Document</t>
  </si>
  <si>
    <t>None</t>
  </si>
  <si>
    <t>Business Level Response 30001: Patient Known Here</t>
  </si>
  <si>
    <t>Business Level Response 30002: Fatal-Error - Patient not Known Here</t>
  </si>
  <si>
    <t>Business Level Response 30003: Fatal-Error - Patient no Longer at this Clinical Setting Error</t>
  </si>
  <si>
    <t>IB001</t>
  </si>
  <si>
    <t>IB002</t>
  </si>
  <si>
    <t>IB003</t>
  </si>
  <si>
    <t>noresponse</t>
  </si>
  <si>
    <r>
      <rPr>
        <b/>
        <u/>
        <sz val="10"/>
        <color theme="1"/>
        <rFont val="Arial"/>
      </rPr>
      <t>THE PATIENT TRIGGER VALUES BELOW REFERENCE PATIENTS WHICH EXIST IN THE INTEGRATION ENVIRONMENT ONLY!</t>
    </r>
    <r>
      <rPr>
        <sz val="10"/>
        <color theme="1"/>
        <rFont val="Arial"/>
      </rPr>
      <t xml:space="preserve">
All ITK Business Responses can also be requested from the test harness by using patient trigger values in the message transmitted
The patient NHSNumber is used i.e. //Patient/identifier/@value
If InfAckRequested flag is set to true in the message transmitted a 20013 postive Infrastructure ITKResponse will also be returned
If InfAckRequested flag is set to false in the message transmitted no Infrastructure ITKResponse will be returned
e.g.
Sending message with a//Patient/identifier/@value of  9691375087 will return a 20013 Infrastructure Response (if requested) and a30001 Business Response
Note:
</t>
    </r>
    <r>
      <rPr>
        <b/>
        <sz val="10"/>
        <color theme="1"/>
        <rFont val="Arial"/>
      </rPr>
      <t xml:space="preserve">The test harness is not linked to PDS
</t>
    </r>
    <r>
      <rPr>
        <sz val="10"/>
        <color theme="1"/>
        <rFont val="Arial"/>
      </rPr>
      <t>Only the NHSNumber value triggers the test harness response, other patient data is not referenced.
These patients will route to the Integration Test Harness MailboxID via MESH GPLookup</t>
    </r>
  </si>
  <si>
    <t>ITK Business Response</t>
  </si>
  <si>
    <t>30001 : Patient known here. (e.g. Patient is registered here)</t>
  </si>
  <si>
    <t>9691375087</t>
  </si>
  <si>
    <t>BRYDEN</t>
  </si>
  <si>
    <t>Stefan</t>
  </si>
  <si>
    <t>76 WESTBOURNE TERRACE</t>
  </si>
  <si>
    <t>LONDON</t>
  </si>
  <si>
    <t>W2 6QA</t>
  </si>
  <si>
    <t>E87021</t>
  </si>
  <si>
    <t>9691375354</t>
  </si>
  <si>
    <t>12/03/2019</t>
  </si>
  <si>
    <t>KNIGHT</t>
  </si>
  <si>
    <t>Jordan</t>
  </si>
  <si>
    <t>APARTMENT 2</t>
  </si>
  <si>
    <t>10 WILD STREET</t>
  </si>
  <si>
    <t>WC2B 4RL</t>
  </si>
  <si>
    <t>9691375621</t>
  </si>
  <si>
    <t>14/06/1988</t>
  </si>
  <si>
    <t>GRACEY</t>
  </si>
  <si>
    <t>Nigel</t>
  </si>
  <si>
    <t>Sidney</t>
  </si>
  <si>
    <t>FLAT 1</t>
  </si>
  <si>
    <t>7 HIDE PLACE</t>
  </si>
  <si>
    <t>SW1P 4HD</t>
  </si>
  <si>
    <t>9691375710</t>
  </si>
  <si>
    <t>26/04/1965</t>
  </si>
  <si>
    <t>LUMB</t>
  </si>
  <si>
    <t>Antony</t>
  </si>
  <si>
    <t>DUNCANNON HOUSE</t>
  </si>
  <si>
    <t>26 LINDSAY SQUARE</t>
  </si>
  <si>
    <t>SW1V 2HT</t>
  </si>
  <si>
    <t>9691375907</t>
  </si>
  <si>
    <t>06/07/2001</t>
  </si>
  <si>
    <t>Helen</t>
  </si>
  <si>
    <t>Betsy</t>
  </si>
  <si>
    <t>JOHNSON HOUSE</t>
  </si>
  <si>
    <t>CUNDY STREET</t>
  </si>
  <si>
    <t>SW1W 9JY</t>
  </si>
  <si>
    <t>9691375982</t>
  </si>
  <si>
    <t>10/04/1991</t>
  </si>
  <si>
    <t>EGAN</t>
  </si>
  <si>
    <t>Nancie</t>
  </si>
  <si>
    <t>Milly</t>
  </si>
  <si>
    <t>CRAWFORD BUILDINGS</t>
  </si>
  <si>
    <t>HOMER STREET</t>
  </si>
  <si>
    <t>W1H 4NZ</t>
  </si>
  <si>
    <t>30002 : Patient not known here. (aka ‘patient record not present in system’)</t>
  </si>
  <si>
    <t>9691375095</t>
  </si>
  <si>
    <t>15/10/1940</t>
  </si>
  <si>
    <t>BUSH</t>
  </si>
  <si>
    <t>Leo</t>
  </si>
  <si>
    <t>FLATS</t>
  </si>
  <si>
    <t>3 NOTTINGHAM STREET</t>
  </si>
  <si>
    <t>W1U 5EG</t>
  </si>
  <si>
    <t>9691375478</t>
  </si>
  <si>
    <t>04/04/2020</t>
  </si>
  <si>
    <t>Mara</t>
  </si>
  <si>
    <t>Fiona</t>
  </si>
  <si>
    <t>LUKE HOUSE</t>
  </si>
  <si>
    <t>3 ABBEY ORCHARD STREET</t>
  </si>
  <si>
    <t>SW1P 2JJ</t>
  </si>
  <si>
    <t>9691375648</t>
  </si>
  <si>
    <t>15/03/1986</t>
  </si>
  <si>
    <t>CONVEY</t>
  </si>
  <si>
    <t>Jonas</t>
  </si>
  <si>
    <t>19 BINGHAM PLACE</t>
  </si>
  <si>
    <t>W1U 5AZ</t>
  </si>
  <si>
    <t>9691375729</t>
  </si>
  <si>
    <t>14/03/1972</t>
  </si>
  <si>
    <t>STRAIN</t>
  </si>
  <si>
    <t>Jeff</t>
  </si>
  <si>
    <t>2 BALVAIRD PLACE</t>
  </si>
  <si>
    <t>SW1V 3SN</t>
  </si>
  <si>
    <t>9691375915</t>
  </si>
  <si>
    <t>07/09/1999</t>
  </si>
  <si>
    <t>LEASK</t>
  </si>
  <si>
    <t>1 THIRD AVENUE</t>
  </si>
  <si>
    <t>W10 4RQ</t>
  </si>
  <si>
    <t>9691375990</t>
  </si>
  <si>
    <t>03/11/1966</t>
  </si>
  <si>
    <t>DAVITT</t>
  </si>
  <si>
    <t>Emma</t>
  </si>
  <si>
    <t>CHILTERN COURT</t>
  </si>
  <si>
    <t>BAKER STREET</t>
  </si>
  <si>
    <t>NW1 5SJ</t>
  </si>
  <si>
    <t>30003 : Patient no longer at this clinical setting</t>
  </si>
  <si>
    <t>9691375192</t>
  </si>
  <si>
    <t>17/03/1941</t>
  </si>
  <si>
    <t>GROVES</t>
  </si>
  <si>
    <t>Nadia</t>
  </si>
  <si>
    <t>CHURCHFIELD HOUSE</t>
  </si>
  <si>
    <t>HALL PLACE</t>
  </si>
  <si>
    <t>W2 1LY</t>
  </si>
  <si>
    <t>9691375532</t>
  </si>
  <si>
    <t>23/12/2010</t>
  </si>
  <si>
    <t>FERRY</t>
  </si>
  <si>
    <t>Susie</t>
  </si>
  <si>
    <t>1 LANHILL ROAD</t>
  </si>
  <si>
    <t>W9 2BP</t>
  </si>
  <si>
    <t>9691375656</t>
  </si>
  <si>
    <t>30/12/1980</t>
  </si>
  <si>
    <t>TOMAN</t>
  </si>
  <si>
    <t>Edgar</t>
  </si>
  <si>
    <t>56 MARYLANDS ROAD</t>
  </si>
  <si>
    <t>W9 2DR</t>
  </si>
  <si>
    <t>9691375737</t>
  </si>
  <si>
    <t>10/10/1960</t>
  </si>
  <si>
    <t>DEAKIN</t>
  </si>
  <si>
    <t>Gus</t>
  </si>
  <si>
    <t>33 SAVILE ROW</t>
  </si>
  <si>
    <t>W1S 3PZ</t>
  </si>
  <si>
    <t>9691375923</t>
  </si>
  <si>
    <t>26/08/1991</t>
  </si>
  <si>
    <t>ENNIS</t>
  </si>
  <si>
    <t>Katie</t>
  </si>
  <si>
    <t>46 HUGH STREET</t>
  </si>
  <si>
    <t>SW1V 4ER</t>
  </si>
  <si>
    <t>9691376008</t>
  </si>
  <si>
    <t>05/05/1978</t>
  </si>
  <si>
    <t>ONIONS</t>
  </si>
  <si>
    <t>Tracy</t>
  </si>
  <si>
    <t>14 WIMPOLE MEWS</t>
  </si>
  <si>
    <t>W1G 8PE</t>
  </si>
  <si>
    <t>30004 : Patient known here and recently deceased (i.e. patient record current in GP practice system at time of patient’s death and deduction subsequently occurred for this reason)</t>
  </si>
  <si>
    <t>9691375206</t>
  </si>
  <si>
    <t>09/04/1922</t>
  </si>
  <si>
    <t>LAMB</t>
  </si>
  <si>
    <t>Ada</t>
  </si>
  <si>
    <t>Jackie</t>
  </si>
  <si>
    <t>ASTLEY HOUSE</t>
  </si>
  <si>
    <t>ALFRED ROAD</t>
  </si>
  <si>
    <t>W2 5EX</t>
  </si>
  <si>
    <t>9691375389</t>
  </si>
  <si>
    <t>02/01/2012</t>
  </si>
  <si>
    <t>EMERY</t>
  </si>
  <si>
    <t>Ivan</t>
  </si>
  <si>
    <t>MULREADY HOUSE</t>
  </si>
  <si>
    <t>MARSHAM STREET</t>
  </si>
  <si>
    <t>SW1P 4JL</t>
  </si>
  <si>
    <t>9691375664</t>
  </si>
  <si>
    <t>04/02/1981</t>
  </si>
  <si>
    <t>GAWLEY</t>
  </si>
  <si>
    <t>Joseph</t>
  </si>
  <si>
    <t>65 BROADWICK STREET</t>
  </si>
  <si>
    <t>W1F 9QU</t>
  </si>
  <si>
    <t>9691375745</t>
  </si>
  <si>
    <t>19/09/1967</t>
  </si>
  <si>
    <t>BRAY</t>
  </si>
  <si>
    <t>Duncan</t>
  </si>
  <si>
    <t>Lucien</t>
  </si>
  <si>
    <t>PORTMAN MANSIONS</t>
  </si>
  <si>
    <t>CHILTERN STREET</t>
  </si>
  <si>
    <t>W1U 5AN</t>
  </si>
  <si>
    <t>9691375931</t>
  </si>
  <si>
    <t>02/01/1994</t>
  </si>
  <si>
    <t>ELLERY</t>
  </si>
  <si>
    <t>Kim</t>
  </si>
  <si>
    <t>Lynda</t>
  </si>
  <si>
    <t>3 STALBRIDGE STREET</t>
  </si>
  <si>
    <t>NW1 6TG</t>
  </si>
  <si>
    <t>9691376016</t>
  </si>
  <si>
    <t>29/08/1962</t>
  </si>
  <si>
    <t>TURNER</t>
  </si>
  <si>
    <t>FLAT A</t>
  </si>
  <si>
    <t>33 WHITCOMB STREET</t>
  </si>
  <si>
    <t>WC2H 7EP</t>
  </si>
  <si>
    <t>30005 : Referral open</t>
  </si>
  <si>
    <t>9691375753</t>
  </si>
  <si>
    <t>11/12/1962</t>
  </si>
  <si>
    <t>FALVEY</t>
  </si>
  <si>
    <t>Alan</t>
  </si>
  <si>
    <t>Manuel</t>
  </si>
  <si>
    <t>55 QUEENS GARDENS</t>
  </si>
  <si>
    <t>W2 3AF</t>
  </si>
  <si>
    <t>30006 : Referral completed</t>
  </si>
  <si>
    <t>9691375761</t>
  </si>
  <si>
    <t>05/08/1973</t>
  </si>
  <si>
    <t>PRIEST</t>
  </si>
  <si>
    <t>Conrad</t>
  </si>
  <si>
    <t>Gideon</t>
  </si>
  <si>
    <t>51 PARLIAMENT STREET</t>
  </si>
  <si>
    <t>SW1A 2NH</t>
  </si>
  <si>
    <t>30007 : Referral escalated back to GP</t>
  </si>
  <si>
    <t>9691375788</t>
  </si>
  <si>
    <t>27/06/1977</t>
  </si>
  <si>
    <t>AVERY</t>
  </si>
  <si>
    <t>Eric</t>
  </si>
  <si>
    <t>Marvin</t>
  </si>
  <si>
    <t>60-62</t>
  </si>
  <si>
    <t>GREAT TITCHFIELD STREET</t>
  </si>
  <si>
    <t>W1W 7QG</t>
  </si>
  <si>
    <t>30008 : Signposting to GP (non-urgent)</t>
  </si>
  <si>
    <t>9691375796</t>
  </si>
  <si>
    <t>21/09/1968</t>
  </si>
  <si>
    <t>ROHRER</t>
  </si>
  <si>
    <t>Alfred</t>
  </si>
  <si>
    <t>19 SALISBURY STREET</t>
  </si>
  <si>
    <t>NW8 8BW</t>
  </si>
  <si>
    <t>30009 : Clinical escalation to UTC/111/GPOOH</t>
  </si>
  <si>
    <t>9691376024</t>
  </si>
  <si>
    <t>14/04/1960</t>
  </si>
  <si>
    <t>DOOLEY</t>
  </si>
  <si>
    <t>Sonia</t>
  </si>
  <si>
    <t>Leonie</t>
  </si>
  <si>
    <t>QUEENSBERRY COURT</t>
  </si>
  <si>
    <t>2 HAMILTON MEWS</t>
  </si>
  <si>
    <t>W1J 7HB</t>
  </si>
  <si>
    <t>30010 : Clinical escalation to A&amp;E or 999</t>
  </si>
  <si>
    <t>9691376032</t>
  </si>
  <si>
    <t>02/09/1977</t>
  </si>
  <si>
    <t>Loren</t>
  </si>
  <si>
    <t>39 RIDING HOUSE STREET</t>
  </si>
  <si>
    <t>W1W 7BE</t>
  </si>
  <si>
    <t>30011 : Advised to go elsewhere/self-referral</t>
  </si>
  <si>
    <t>9691376040</t>
  </si>
  <si>
    <t>22/07/1969</t>
  </si>
  <si>
    <t>Lara</t>
  </si>
  <si>
    <t>Netta</t>
  </si>
  <si>
    <t>1 RANDOLPH MEWS</t>
  </si>
  <si>
    <t>W9 1AW</t>
  </si>
  <si>
    <t>30012 : Unable to contact the patient</t>
  </si>
  <si>
    <t>9691376059</t>
  </si>
  <si>
    <t>19/10/1970</t>
  </si>
  <si>
    <t>BANTON</t>
  </si>
  <si>
    <t>Amanda</t>
  </si>
  <si>
    <t>5 WIGMORE PLACE</t>
  </si>
  <si>
    <t>W1U 2LR</t>
  </si>
  <si>
    <t>30013 : Closure (service not needed)</t>
  </si>
  <si>
    <t>9691375818</t>
  </si>
  <si>
    <t>01/11/1961</t>
  </si>
  <si>
    <t>PARKS</t>
  </si>
  <si>
    <t>Lewis</t>
  </si>
  <si>
    <t>Rubin</t>
  </si>
  <si>
    <t>34 CHESHAM PLACE</t>
  </si>
  <si>
    <t>SW1X 8HB</t>
  </si>
  <si>
    <t>30014 : Closure (service not accepted)</t>
  </si>
  <si>
    <t>9691375826</t>
  </si>
  <si>
    <t>03/07/1955</t>
  </si>
  <si>
    <t>SIZE</t>
  </si>
  <si>
    <t>Nathan</t>
  </si>
  <si>
    <t>54 WESTBOURNE TERRACE</t>
  </si>
  <si>
    <t>W2 3UJ</t>
  </si>
  <si>
    <t>30015 : Closure (duplicate referral)</t>
  </si>
  <si>
    <t>9691375834</t>
  </si>
  <si>
    <t>05/05/1956</t>
  </si>
  <si>
    <t>Hugh</t>
  </si>
  <si>
    <t>Larry</t>
  </si>
  <si>
    <t>168 NEW CAVENDISH STREET</t>
  </si>
  <si>
    <t>W1W 6YX</t>
  </si>
  <si>
    <t>30016 : Referral accepted</t>
  </si>
  <si>
    <t>9691375842</t>
  </si>
  <si>
    <t>21/05/1958</t>
  </si>
  <si>
    <t>BIRD</t>
  </si>
  <si>
    <t>Toby</t>
  </si>
  <si>
    <t>Carl</t>
  </si>
  <si>
    <t>40 CONNAUGHT STREET</t>
  </si>
  <si>
    <t>W2 2AA</t>
  </si>
  <si>
    <t>30017 : Referral rejected</t>
  </si>
  <si>
    <t>9691376067</t>
  </si>
  <si>
    <t>10/08/1966</t>
  </si>
  <si>
    <t>EASON</t>
  </si>
  <si>
    <t>Amy</t>
  </si>
  <si>
    <t>Davina</t>
  </si>
  <si>
    <t>460 EDGWARE ROAD</t>
  </si>
  <si>
    <t>W2 1EJ</t>
  </si>
  <si>
    <t>30018 : Did Not Attend</t>
  </si>
  <si>
    <t>9691376075</t>
  </si>
  <si>
    <t>30/08/1963</t>
  </si>
  <si>
    <t>HORE</t>
  </si>
  <si>
    <t>Laura</t>
  </si>
  <si>
    <t>14 THAYER STREET</t>
  </si>
  <si>
    <t>W1U 3JS</t>
  </si>
  <si>
    <t>30019 : GP Registration - Application accepted</t>
  </si>
  <si>
    <t>9691376083</t>
  </si>
  <si>
    <t>26/10/1957</t>
  </si>
  <si>
    <t>CAPON</t>
  </si>
  <si>
    <t>BIDDULPH MANSIONS</t>
  </si>
  <si>
    <t>ELGIN AVENUE</t>
  </si>
  <si>
    <t>W9 1HU</t>
  </si>
  <si>
    <t>30020 : GP Registration - Application pending (contact practice)</t>
  </si>
  <si>
    <t>9691376091</t>
  </si>
  <si>
    <t>24/12/1958</t>
  </si>
  <si>
    <t>DRING</t>
  </si>
  <si>
    <t>Brenda</t>
  </si>
  <si>
    <t>1 THAYER STREET</t>
  </si>
  <si>
    <t>W1U 3JA</t>
  </si>
  <si>
    <t>30021 : GP Registration - Application rejected (patient already registered)</t>
  </si>
  <si>
    <t>9691375850</t>
  </si>
  <si>
    <t>19/04/1957</t>
  </si>
  <si>
    <t>LOBB</t>
  </si>
  <si>
    <t>Otis</t>
  </si>
  <si>
    <t>Abel</t>
  </si>
  <si>
    <t>VALE COURT</t>
  </si>
  <si>
    <t>MAIDA VALE</t>
  </si>
  <si>
    <t>W9 1RT</t>
  </si>
  <si>
    <t>30022 : GP Registration - Application rejected (at capacity)</t>
  </si>
  <si>
    <t>9691375869</t>
  </si>
  <si>
    <t>31/07/1956</t>
  </si>
  <si>
    <t>ECCLES</t>
  </si>
  <si>
    <t>PORTISHEAD HOUSE</t>
  </si>
  <si>
    <t>WESTBOURNE PARK ROAD</t>
  </si>
  <si>
    <t>W2 5UP</t>
  </si>
  <si>
    <t>30023 : GP Registration - Application rejected (out of boundary)</t>
  </si>
  <si>
    <t>9691375877</t>
  </si>
  <si>
    <t>11/07/1956</t>
  </si>
  <si>
    <t>HANNAY</t>
  </si>
  <si>
    <t>Willis</t>
  </si>
  <si>
    <t>GROUND FLOOR</t>
  </si>
  <si>
    <t>32 NEWMAN STREET</t>
  </si>
  <si>
    <t>W1T 1PU</t>
  </si>
  <si>
    <t>30024 : GP Registration - Application rejected (Previously removed from this practice)</t>
  </si>
  <si>
    <t>9691376105</t>
  </si>
  <si>
    <t>29/05/1955</t>
  </si>
  <si>
    <t>SPURR</t>
  </si>
  <si>
    <t>181 PRAED STREET</t>
  </si>
  <si>
    <t>W2 1RH</t>
  </si>
  <si>
    <t>30025 : GP Registration - Application rejected (Previously removed from another practice)</t>
  </si>
  <si>
    <t>9691376113</t>
  </si>
  <si>
    <t>30/01/1958</t>
  </si>
  <si>
    <t>WALSH</t>
  </si>
  <si>
    <t>Leona</t>
  </si>
  <si>
    <t>AMBASSADOR HOUSE</t>
  </si>
  <si>
    <t>CARLTON HILL</t>
  </si>
  <si>
    <t>NW8 0NJ</t>
  </si>
  <si>
    <t/>
  </si>
  <si>
    <t>CLEO Systems</t>
  </si>
  <si>
    <t>Result
(pass or fail)</t>
  </si>
  <si>
    <t>GIVEN that my Elevate session has timed out due to a period of 60 minutes of inactivity, and a toast message appears stating that "You have been automatically logged out"</t>
  </si>
  <si>
    <t>Then the VWR telemedicine application opens in a new tab</t>
  </si>
  <si>
    <t xml:space="preserve">When they click next patient in VWR </t>
  </si>
  <si>
    <t>And the consultation is closed in VWR</t>
  </si>
  <si>
    <t>VWR Specifics</t>
  </si>
  <si>
    <t>Given the user is logged in to elevate in an org that is setup for VWR  (either VWR or Assurance)</t>
  </si>
  <si>
    <t>In Progress - Sidebar</t>
  </si>
  <si>
    <t>Reports Sidebar</t>
  </si>
  <si>
    <t>Service provider Sidebar</t>
  </si>
  <si>
    <t xml:space="preserve">Help Sidebar </t>
  </si>
  <si>
    <t>VWR White Labeling</t>
  </si>
  <si>
    <r>
      <t xml:space="preserve">THEN the non-repudiation statement will be shown.  The statement shall contain the wording  </t>
    </r>
    <r>
      <rPr>
        <i/>
        <sz val="12"/>
        <color theme="1"/>
        <rFont val="Calibri"/>
        <family val="2"/>
      </rPr>
      <t>"The system will sign the content displayed here on your behalf., by means of information stored on your Smart Card as an Advanced Electronic Signature.  By entering your passcode you affirm your intention to digitally sign and issue this ETP.  Do you want to proceed?"</t>
    </r>
  </si>
  <si>
    <r>
      <rPr>
        <sz val="12"/>
        <rFont val="Calibri"/>
        <family val="2"/>
      </rPr>
      <t xml:space="preserve">THEN the content of the EPS payload shall accurately represent the medication information, including the following:
- For CONTROLLED DRUGS ONLY - Medication Quantity (quantity in words)
- For CONTROLLED DRUGS ONLY - Schedule within which the controlled drug appears (CD1/2/3/4/5)
- identifier (this is the Item ID)
- prescription Type - 0101/0104/0105/0108/0113/0114/0116/0117/0124/0125
- prescribing endorsements where applicable (ACBS, AF, CC, FS, SLS)
- status (active, cancelled, completed)
- intent (order, original-order, instance-order)
- category (must be set to "community")
- medication Name (DM+D human readable format AND SNOMED CT code)
- subject
- requester (A PractitionerRole resource)
- groupIdentifier (this is the Prescription ID in short and long forms)
- courseOfTherapyType (must be set to "acute") 
- dosageInstruction (text + additionalInstruction)
- patientInstruction (the additional text for the patient that may be added to the medication item at the point of prescribing)
- route (coded value identifying how the medication should be consumed) ???
- method (coded value identifying the technique for administering medication) ???
- dispenseRequest (the additional text for the pharmacy that may be added to the medication item at the point of prescribing)
- quantity (value and unit and SNOMED code)
(see </t>
    </r>
    <r>
      <rPr>
        <u/>
        <sz val="12"/>
        <color rgb="FF1155CC"/>
        <rFont val="Calibri"/>
        <family val="2"/>
      </rPr>
      <t>https://digital.nhs.uk/developer/api-catalogue/electronic-prescription-service-fhir#post-/FHIR/R4/$process-message-prescription-order</t>
    </r>
    <r>
      <rPr>
        <sz val="12"/>
        <rFont val="Calibri"/>
        <family val="2"/>
      </rPr>
      <t>)</t>
    </r>
  </si>
  <si>
    <r>
      <rPr>
        <sz val="12"/>
        <rFont val="Calibri"/>
        <family val="2"/>
      </rPr>
      <t xml:space="preserve">THEN the content of the EPS payload shall accurately represent the medication information, including the following:
- For CONTROLLED DRUGS ONLY - Medication Quantity (quantity in words)
- For CONTROLLED DRUGS ONLY - Schedule within which the controlled drug appears (CD1/2/3/4/5)
- prescription Type - 0101/0104/0105/0108/0113/0114/0116/0117/0124/0125
- identifier (this is the Item ID)
- prescribing endorsements where applicable (ACBS, AF, CC, FS, SLS)
- status (active, cancelled, completed)
- intent (order, original-order, instance-order)
- category (must be set to "community")
- medication Name (DM+D human readable format AND SNOMED CT code)
- subject
- requester (A PractitionerRole resource)
- groupIdentifier (this is the Prescription ID in short and long forms)
- courseOfTherapyType (must be set to "acute") 
- dosageInstruction (text + additionalInstruction)
- patientInstruction (the additional text for the patient that may be added to the medication item at the point of prescribing)
- route (coded value identifying how the medication should be consumed) ???
- method (coded value identifying the technique for administering medication) ???
- dispenseRequest (the additional text for the pharmacy that may be added to the medication item at the point of prescribing)
- quantity (value and unit and SNOMED code)
(see </t>
    </r>
    <r>
      <rPr>
        <u/>
        <sz val="12"/>
        <color rgb="FF1155CC"/>
        <rFont val="Calibri"/>
        <family val="2"/>
      </rPr>
      <t>https://digital.nhs.uk/developer/api-catalogue/electronic-prescription-service-fhir#post-/FHIR/R4/$process-message-prescription-order</t>
    </r>
    <r>
      <rPr>
        <sz val="12"/>
        <rFont val="Calibri"/>
        <family val="2"/>
      </rPr>
      <t>)</t>
    </r>
  </si>
  <si>
    <t>THEN the patient’s address will appear: with at least one space below the patient’s name in a multiline format not exceeding FOUR lines with the postcode being included on the RHS of the LAST line</t>
  </si>
  <si>
    <r>
      <t xml:space="preserve">GIVEN the user has multiple Elevate roles at a single organisation 
</t>
    </r>
    <r>
      <rPr>
        <b/>
        <sz val="12"/>
        <color rgb="FF000000"/>
        <rFont val="Calibri"/>
        <family val="2"/>
      </rPr>
      <t>(ie. ORG-A - Nurse, ORG-A - Clerical, ORG-A - Clinical Practitioner)</t>
    </r>
  </si>
  <si>
    <r>
      <t xml:space="preserve">GIVEN that a new user is set up at </t>
    </r>
    <r>
      <rPr>
        <b/>
        <sz val="12"/>
        <color rgb="FF000000"/>
        <rFont val="Calibri"/>
        <family val="2"/>
      </rPr>
      <t>ORG-A</t>
    </r>
  </si>
  <si>
    <r>
      <t xml:space="preserve">THEN the user MAY switch roles within the organisation </t>
    </r>
    <r>
      <rPr>
        <b/>
        <sz val="12"/>
        <color rgb="FF000000"/>
        <rFont val="Calibri"/>
        <family val="2"/>
      </rPr>
      <t xml:space="preserve">ORG-A </t>
    </r>
    <r>
      <rPr>
        <sz val="12"/>
        <color rgb="FF000000"/>
        <rFont val="Calibri"/>
        <family val="2"/>
      </rPr>
      <t>selected during the NHS Identity Agent login process</t>
    </r>
  </si>
  <si>
    <r>
      <t xml:space="preserve">THEN the user MAY NOT switch organisations to </t>
    </r>
    <r>
      <rPr>
        <b/>
        <sz val="12"/>
        <color rgb="FF000000"/>
        <rFont val="Calibri"/>
        <family val="2"/>
      </rPr>
      <t>ORG-B</t>
    </r>
  </si>
  <si>
    <t>GIVEN the user already has an organisation/role linked to their CIS2 and wishes to login using their SmartCard</t>
  </si>
  <si>
    <r>
      <t xml:space="preserve">Given the patients consent is </t>
    </r>
    <r>
      <rPr>
        <b/>
        <sz val="12"/>
        <rFont val="Calibri"/>
        <family val="2"/>
      </rPr>
      <t>Active</t>
    </r>
    <r>
      <rPr>
        <sz val="12"/>
        <rFont val="Calibri"/>
        <family val="2"/>
      </rPr>
      <t xml:space="preserve"> in elevate</t>
    </r>
  </si>
  <si>
    <r>
      <t xml:space="preserve">Given the patients consent is </t>
    </r>
    <r>
      <rPr>
        <b/>
        <sz val="12"/>
        <rFont val="Calibri"/>
        <family val="2"/>
      </rPr>
      <t>Inactive</t>
    </r>
    <r>
      <rPr>
        <sz val="12"/>
        <rFont val="Calibri"/>
        <family val="2"/>
      </rPr>
      <t xml:space="preserve"> and </t>
    </r>
    <r>
      <rPr>
        <b/>
        <sz val="12"/>
        <rFont val="Calibri"/>
        <family val="2"/>
      </rPr>
      <t>PDS synched</t>
    </r>
    <r>
      <rPr>
        <sz val="12"/>
        <rFont val="Calibri"/>
        <family val="2"/>
      </rPr>
      <t xml:space="preserve"> in elevate</t>
    </r>
  </si>
  <si>
    <r>
      <t xml:space="preserve">Given the patients consent is </t>
    </r>
    <r>
      <rPr>
        <b/>
        <sz val="12"/>
        <rFont val="Calibri"/>
        <family val="2"/>
      </rPr>
      <t>Inactive</t>
    </r>
    <r>
      <rPr>
        <sz val="12"/>
        <rFont val="Calibri"/>
        <family val="2"/>
      </rPr>
      <t xml:space="preserve"> and </t>
    </r>
    <r>
      <rPr>
        <b/>
        <sz val="12"/>
        <rFont val="Calibri"/>
        <family val="2"/>
      </rPr>
      <t>PDS not synched</t>
    </r>
    <r>
      <rPr>
        <sz val="12"/>
        <rFont val="Calibri"/>
        <family val="2"/>
      </rPr>
      <t xml:space="preserve"> in elevate</t>
    </r>
  </si>
  <si>
    <r>
      <t xml:space="preserve">Given the patients consent is </t>
    </r>
    <r>
      <rPr>
        <b/>
        <sz val="12"/>
        <rFont val="Calibri"/>
        <family val="2"/>
      </rPr>
      <t>Active</t>
    </r>
    <r>
      <rPr>
        <sz val="12"/>
        <rFont val="Calibri"/>
        <family val="2"/>
      </rPr>
      <t xml:space="preserve"> and </t>
    </r>
    <r>
      <rPr>
        <b/>
        <sz val="12"/>
        <rFont val="Calibri"/>
        <family val="2"/>
      </rPr>
      <t>PDS not synched</t>
    </r>
    <r>
      <rPr>
        <sz val="12"/>
        <rFont val="Calibri"/>
        <family val="2"/>
      </rPr>
      <t xml:space="preserve"> in elevate</t>
    </r>
  </si>
  <si>
    <r>
      <t xml:space="preserve">Then the  </t>
    </r>
    <r>
      <rPr>
        <b/>
        <sz val="12"/>
        <rFont val="Calibri"/>
        <family val="2"/>
      </rPr>
      <t>CDSMessageRecordIdentifier</t>
    </r>
    <r>
      <rPr>
        <sz val="12"/>
        <rFont val="Calibri"/>
        <family val="2"/>
      </rPr>
      <t xml:space="preserve"> and </t>
    </r>
    <r>
      <rPr>
        <b/>
        <sz val="12"/>
        <rFont val="Calibri"/>
        <family val="2"/>
      </rPr>
      <t>OrganisationIdentifier_CDSSender</t>
    </r>
    <r>
      <rPr>
        <sz val="12"/>
        <rFont val="Calibri"/>
        <family val="2"/>
      </rPr>
      <t xml:space="preserve"> elements of the extract will contain the new ODS code</t>
    </r>
  </si>
  <si>
    <t>ITK3</t>
  </si>
  <si>
    <r>
      <t>THEN the GPC-SD should adopt the state of "SENT" with the tooltip text "</t>
    </r>
    <r>
      <rPr>
        <i/>
        <sz val="12"/>
        <color theme="1"/>
        <rFont val="Calibri"/>
        <family val="2"/>
      </rPr>
      <t>Patient known here. (e.g. Patient is registered here)"</t>
    </r>
  </si>
  <si>
    <r>
      <t>THEN the GPC-SD should adopt the state of "ERROR" with the tooltip text "</t>
    </r>
    <r>
      <rPr>
        <i/>
        <sz val="12"/>
        <color theme="1"/>
        <rFont val="Calibri"/>
        <family val="2"/>
      </rPr>
      <t>Patient not known here. (aka ‘patient record not present in system’)"</t>
    </r>
  </si>
  <si>
    <r>
      <t>THEN the GPC-SD should adopt the state of "SENT" with the tooltip text "</t>
    </r>
    <r>
      <rPr>
        <i/>
        <sz val="12"/>
        <color theme="1"/>
        <rFont val="Calibri"/>
        <family val="2"/>
      </rPr>
      <t>Referral accepted"</t>
    </r>
  </si>
  <si>
    <r>
      <t>THEN the GPC-SD should adopt the state of "ERROR" with the tooltip text "</t>
    </r>
    <r>
      <rPr>
        <i/>
        <sz val="12"/>
        <color theme="1"/>
        <rFont val="Calibri"/>
        <family val="2"/>
      </rPr>
      <t>Referral rejected"</t>
    </r>
  </si>
  <si>
    <r>
      <t>THEN the GPC-SD should adopt the state of "ERROR" with the tooltip text "</t>
    </r>
    <r>
      <rPr>
        <i/>
        <sz val="12"/>
        <color theme="1"/>
        <rFont val="Calibri"/>
        <family val="2"/>
      </rPr>
      <t>Fatal-Error - Handling Specification Error"</t>
    </r>
  </si>
  <si>
    <r>
      <t>THEN the GPC-SD should adopt the state of "ERROR" with the tooltip text "</t>
    </r>
    <r>
      <rPr>
        <i/>
        <sz val="12"/>
        <color theme="1"/>
        <rFont val="Calibri"/>
        <family val="2"/>
      </rPr>
      <t>Fatal-Error - Handling Specification Business Rule Error"</t>
    </r>
  </si>
  <si>
    <r>
      <t>THEN the GPC-SD should adopt the state of "ERROR" with the tooltip text "</t>
    </r>
    <r>
      <rPr>
        <i/>
        <sz val="12"/>
        <color theme="1"/>
        <rFont val="Calibri"/>
        <family val="2"/>
      </rPr>
      <t>Fatal-Error - Non Approved File Type Received as an Attachment"</t>
    </r>
  </si>
  <si>
    <t>GP Connect Send Document (GPC-SD)</t>
  </si>
  <si>
    <t xml:space="preserve">A number of test payloads have been created, and these are available as a Postman collection
</t>
  </si>
  <si>
    <t>Headless Creation 
of a New Case</t>
  </si>
  <si>
    <t>Referral Presentation</t>
  </si>
  <si>
    <t>Referral Record Content</t>
  </si>
  <si>
    <t>toast message does not dissapear</t>
  </si>
  <si>
    <t>GIVEN the user is presented with the NHS Identity Agent and their SmartCard is inserted</t>
  </si>
  <si>
    <t>THEN the item shall be endorsed as SLS and CD</t>
  </si>
  <si>
    <t>THEN the patient’s DoB will appear in the format “DD/MM/YYYY”</t>
  </si>
  <si>
    <t>https://cleosystems.atlassian.net/browse/UE-462</t>
  </si>
  <si>
    <t>https://cleosystems.atlassian.net/browse/UE-461</t>
  </si>
  <si>
    <t>THEN the prescriber’s name shall be presented in the format of TITLE INITIAL SURNAME and formatted accordingly</t>
  </si>
  <si>
    <t>n/a</t>
  </si>
  <si>
    <t>THEN the patient’s NHS number will appear right-justified in the format “XXXXXXXXXX” with at least one space below the last line of the address</t>
  </si>
  <si>
    <t>GIVEN that the user is a “Nurse” with a prescriber type of “Nurse Prescriber”</t>
  </si>
  <si>
    <t>Olu Oderinde</t>
  </si>
  <si>
    <t>X</t>
  </si>
  <si>
    <t>pass</t>
  </si>
  <si>
    <t>Invite sent, however when user clicked on the link sent to email and inputted password then login with new password, the screen presented to user says Pending Invitation - 
The instruction on that screen should be clear to user to click the pending invitation button to continue with the onboarding</t>
  </si>
  <si>
    <t>endorsment of AF not visible anywhere
note: The endorsement of AF and ACBS is now visible</t>
  </si>
  <si>
    <r>
      <t xml:space="preserve">WHEN the user inserts their CIC and selects </t>
    </r>
    <r>
      <rPr>
        <b/>
        <sz val="12"/>
        <color rgb="FF000000"/>
        <rFont val="Calibri"/>
        <family val="2"/>
      </rPr>
      <t xml:space="preserve">ORG-A </t>
    </r>
    <r>
      <rPr>
        <sz val="12"/>
        <color rgb="FF000000"/>
        <rFont val="Calibri"/>
        <family val="2"/>
      </rPr>
      <t xml:space="preserve">from the NHS site selector the user attempts to switch role
</t>
    </r>
  </si>
  <si>
    <r>
      <t xml:space="preserve">WHEN the user inserts their CIC and selects </t>
    </r>
    <r>
      <rPr>
        <b/>
        <sz val="12"/>
        <color rgb="FF000000"/>
        <rFont val="Calibri"/>
        <family val="2"/>
      </rPr>
      <t xml:space="preserve">ORG-A </t>
    </r>
    <r>
      <rPr>
        <sz val="12"/>
        <color rgb="FF000000"/>
        <rFont val="Calibri"/>
        <family val="2"/>
      </rPr>
      <t xml:space="preserve">from the NHS site selector the user attempts to switch organisation
</t>
    </r>
  </si>
  <si>
    <t>WHEN the user wishes to change organisations they remove their CIC</t>
  </si>
  <si>
    <t>WHEN the user reinserts their CIC enters the correct passcode</t>
  </si>
  <si>
    <r>
      <t xml:space="preserve">WHEN the user logs in using their username / password and configures their profile clicks on the CIS2 button inserts their SmartCard selects an Organisation that they don't have an active role at (i.e. </t>
    </r>
    <r>
      <rPr>
        <b/>
        <sz val="12"/>
        <color rgb="FF000000"/>
        <rFont val="Calibri"/>
        <family val="2"/>
      </rPr>
      <t>NOT ORG-A</t>
    </r>
    <r>
      <rPr>
        <sz val="12"/>
        <color rgb="FF000000"/>
        <rFont val="Calibri"/>
        <family val="2"/>
      </rPr>
      <t>)</t>
    </r>
  </si>
  <si>
    <t>WHEN the user autheticates themselves using their SmartCard / passcode using the NHS Identity Agent is automatically logged into Elevate at that organisation</t>
  </si>
  <si>
    <t>WHEN the user selects organisation / role "profile" from the NHS Identity Agent  UI  user DOES NOT HAVE an active account at that organisation</t>
  </si>
  <si>
    <t>WHEN the user selects organisation / role "profile" from the Identity Agent UI user has an active account at that organisation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</si>
</sst>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92">
    <font>
      <sz val="10"/>
      <color rgb="FF000000"/>
      <name val="Calibri"/>
      <scheme val="minor"/>
    </font>
    <font>
      <sz val="10"/>
      <color theme="1"/>
      <name val="Montserrat"/>
    </font>
    <font>
      <b/>
      <sz val="10"/>
      <color rgb="FFFFFFFF"/>
      <name val="Montserrat"/>
    </font>
    <font>
      <sz val="10"/>
      <name val="Arial"/>
    </font>
    <font>
      <sz val="11"/>
      <color rgb="FF000000"/>
      <name val="Montserrat"/>
    </font>
    <font>
      <b/>
      <sz val="10"/>
      <color rgb="FF000000"/>
      <name val="Montserrat"/>
    </font>
    <font>
      <b/>
      <sz val="10"/>
      <color rgb="FF007AC2"/>
      <name val="Montserrat"/>
    </font>
    <font>
      <sz val="10"/>
      <color rgb="FF007AC2"/>
      <name val="Montserrat"/>
    </font>
    <font>
      <sz val="10"/>
      <color theme="1"/>
      <name val="Arial"/>
    </font>
    <font>
      <b/>
      <sz val="10"/>
      <color theme="1"/>
      <name val="Arial"/>
    </font>
    <font>
      <sz val="10"/>
      <color theme="1"/>
      <name val="Calibri"/>
      <scheme val="minor"/>
    </font>
    <font>
      <sz val="10"/>
      <color theme="1"/>
      <name val="Calibri"/>
    </font>
    <font>
      <sz val="12"/>
      <color theme="1"/>
      <name val="Calibri"/>
    </font>
    <font>
      <sz val="11"/>
      <color rgb="FF000000"/>
      <name val="Arial"/>
    </font>
    <font>
      <u/>
      <sz val="11"/>
      <color rgb="FF1155CC"/>
      <name val="Arial"/>
    </font>
    <font>
      <sz val="10"/>
      <color theme="1"/>
      <name val="Arial"/>
    </font>
    <font>
      <sz val="11"/>
      <color theme="1"/>
      <name val="Calibri"/>
    </font>
    <font>
      <u/>
      <sz val="10"/>
      <color rgb="FF1155CC"/>
      <name val="Calibri"/>
    </font>
    <font>
      <u/>
      <sz val="10"/>
      <color rgb="FF1155CC"/>
      <name val="Calibri"/>
    </font>
    <font>
      <b/>
      <sz val="11"/>
      <color theme="1"/>
      <name val="Calibri"/>
    </font>
    <font>
      <b/>
      <sz val="8"/>
      <color theme="1"/>
      <name val="Courier New"/>
    </font>
    <font>
      <sz val="8"/>
      <color theme="1"/>
      <name val="Courier New"/>
    </font>
    <font>
      <u/>
      <sz val="8"/>
      <color rgb="FF0000FF"/>
      <name val="Courier New"/>
    </font>
    <font>
      <sz val="10"/>
      <color theme="1"/>
      <name val="Courier New"/>
    </font>
    <font>
      <u/>
      <sz val="8"/>
      <color rgb="FF0000FF"/>
      <name val="Courier New"/>
    </font>
    <font>
      <sz val="8"/>
      <color rgb="FF4E5A62"/>
      <name val="Courier New"/>
    </font>
    <font>
      <sz val="9"/>
      <color theme="1"/>
      <name val="Courier New"/>
    </font>
    <font>
      <b/>
      <sz val="8"/>
      <color rgb="FF000000"/>
      <name val="Calibri"/>
    </font>
    <font>
      <b/>
      <sz val="10"/>
      <color theme="1"/>
      <name val="Calibri"/>
      <scheme val="minor"/>
    </font>
    <font>
      <sz val="8"/>
      <color rgb="FF000000"/>
      <name val="Calibri"/>
    </font>
    <font>
      <u/>
      <sz val="11"/>
      <color rgb="FF0000FF"/>
      <name val="Calibri"/>
    </font>
    <font>
      <sz val="11"/>
      <color rgb="FFBFBFBF"/>
      <name val="Calibri"/>
    </font>
    <font>
      <b/>
      <sz val="12"/>
      <color theme="1"/>
      <name val="Calibri"/>
    </font>
    <font>
      <b/>
      <sz val="10"/>
      <color theme="1"/>
      <name val="Arial"/>
    </font>
    <font>
      <b/>
      <sz val="10"/>
      <color rgb="FF000000"/>
      <name val="Arial"/>
    </font>
    <font>
      <sz val="10"/>
      <color rgb="FF1155CC"/>
      <name val="Arial"/>
    </font>
    <font>
      <sz val="10"/>
      <color rgb="FF000000"/>
      <name val="Arial"/>
    </font>
    <font>
      <b/>
      <sz val="11"/>
      <color rgb="FF000000"/>
      <name val="-apple-system"/>
    </font>
    <font>
      <sz val="11"/>
      <color rgb="FF000000"/>
      <name val="Calibri"/>
      <scheme val="minor"/>
    </font>
    <font>
      <sz val="11"/>
      <color rgb="FF000000"/>
      <name val="-apple-system"/>
    </font>
    <font>
      <u/>
      <sz val="11"/>
      <color rgb="FF000000"/>
      <name val="-apple-system"/>
    </font>
    <font>
      <sz val="8"/>
      <name val="Courier New"/>
    </font>
    <font>
      <u/>
      <sz val="8"/>
      <color rgb="FF1155CC"/>
      <name val="Courier New"/>
    </font>
    <font>
      <b/>
      <sz val="12"/>
      <name val="Calibri"/>
    </font>
    <font>
      <b/>
      <u/>
      <sz val="12"/>
      <color rgb="FF1155CC"/>
      <name val="Calibri"/>
    </font>
    <font>
      <b/>
      <u/>
      <sz val="10"/>
      <color theme="1"/>
      <name val="Arial"/>
    </font>
    <font>
      <sz val="10"/>
      <color theme="1"/>
      <name val="Calibri"/>
      <family val="2"/>
      <scheme val="minor"/>
    </font>
    <font>
      <sz val="10"/>
      <color rgb="FF000000"/>
      <name val="Calibri"/>
      <family val="2"/>
      <scheme val="minor"/>
    </font>
    <font>
      <b/>
      <sz val="24"/>
      <color rgb="FFFFFFFF"/>
      <name val="Calibri"/>
      <family val="2"/>
      <scheme val="minor"/>
    </font>
    <font>
      <sz val="12"/>
      <color theme="1"/>
      <name val="Calibri"/>
      <family val="2"/>
      <scheme val="minor"/>
    </font>
    <font>
      <sz val="12"/>
      <color rgb="FF000000"/>
      <name val="Calibri"/>
      <family val="2"/>
      <scheme val="minor"/>
    </font>
    <font>
      <b/>
      <sz val="12"/>
      <color rgb="FFFFFFFF"/>
      <name val="Calibri"/>
      <family val="2"/>
      <scheme val="minor"/>
    </font>
    <font>
      <b/>
      <u/>
      <sz val="12"/>
      <color rgb="FFFFFFFF"/>
      <name val="Calibri"/>
      <family val="2"/>
      <scheme val="minor"/>
    </font>
    <font>
      <i/>
      <sz val="12"/>
      <color rgb="FF000000"/>
      <name val="Calibri"/>
      <family val="2"/>
      <scheme val="minor"/>
    </font>
    <font>
      <sz val="12"/>
      <name val="Calibri"/>
      <family val="2"/>
      <scheme val="minor"/>
    </font>
    <font>
      <sz val="8"/>
      <color theme="1"/>
      <name val="Calibri"/>
      <family val="2"/>
      <scheme val="minor"/>
    </font>
    <font>
      <i/>
      <sz val="8"/>
      <color rgb="FF351C75"/>
      <name val="Calibri"/>
      <family val="2"/>
      <scheme val="minor"/>
    </font>
    <font>
      <sz val="8"/>
      <color rgb="FF666666"/>
      <name val="Calibri"/>
      <family val="2"/>
      <scheme val="minor"/>
    </font>
    <font>
      <b/>
      <sz val="24"/>
      <color theme="2"/>
      <name val="Calibri"/>
      <family val="2"/>
      <scheme val="minor"/>
    </font>
    <font>
      <b/>
      <sz val="12"/>
      <color theme="2"/>
      <name val="Calibri"/>
      <family val="2"/>
      <scheme val="minor"/>
    </font>
    <font>
      <b/>
      <u/>
      <sz val="10"/>
      <color theme="3"/>
      <name val="Montserrat"/>
    </font>
    <font>
      <sz val="12"/>
      <color theme="1"/>
      <name val="Calibri"/>
      <family val="2"/>
      <scheme val="major"/>
    </font>
    <font>
      <sz val="12"/>
      <color rgb="FF000000"/>
      <name val="Calibri"/>
      <family val="2"/>
      <scheme val="major"/>
    </font>
    <font>
      <b/>
      <sz val="12"/>
      <color theme="1"/>
      <name val="Calibri"/>
      <family val="2"/>
      <scheme val="major"/>
    </font>
    <font>
      <sz val="14"/>
      <color theme="2"/>
      <name val="Calibri"/>
      <family val="2"/>
      <scheme val="major"/>
    </font>
    <font>
      <sz val="11"/>
      <color theme="2"/>
      <name val="Calibri"/>
      <family val="2"/>
      <scheme val="major"/>
    </font>
    <font>
      <sz val="12"/>
      <color theme="2"/>
      <name val="Calibri"/>
      <family val="2"/>
      <scheme val="major"/>
    </font>
    <font>
      <sz val="12"/>
      <color theme="2"/>
      <name val="Calibri"/>
      <family val="2"/>
      <scheme val="minor"/>
    </font>
    <font>
      <sz val="14"/>
      <color theme="2"/>
      <name val="Calibri"/>
      <family val="2"/>
      <scheme val="minor"/>
    </font>
    <font>
      <sz val="12"/>
      <color rgb="FFFFFFFF"/>
      <name val="Calibri"/>
      <family val="2"/>
      <scheme val="minor"/>
    </font>
    <font>
      <sz val="12"/>
      <color rgb="FFFF0000"/>
      <name val="Calibri"/>
      <family val="2"/>
      <scheme val="minor"/>
    </font>
    <font>
      <u/>
      <sz val="12"/>
      <color rgb="FF1155CC"/>
      <name val="Calibri"/>
      <family val="2"/>
      <scheme val="minor"/>
    </font>
    <font>
      <sz val="14"/>
      <color theme="1"/>
      <name val="Calibri"/>
      <family val="2"/>
      <scheme val="minor"/>
    </font>
    <font>
      <sz val="14"/>
      <color rgb="FF000000"/>
      <name val="Calibri"/>
      <family val="2"/>
      <scheme val="minor"/>
    </font>
    <font>
      <u/>
      <sz val="12"/>
      <color rgb="FF0000FF"/>
      <name val="Calibri"/>
      <family val="2"/>
      <scheme val="minor"/>
    </font>
    <font>
      <sz val="12"/>
      <color theme="1"/>
      <name val="Arial"/>
      <family val="2"/>
    </font>
    <font>
      <sz val="12"/>
      <color rgb="FF0000FF"/>
      <name val="Calibri"/>
      <family val="2"/>
      <scheme val="minor"/>
    </font>
    <font>
      <sz val="12"/>
      <color theme="1"/>
      <name val="Calibri"/>
      <family val="2"/>
    </font>
    <font>
      <sz val="12"/>
      <color rgb="FF000000"/>
      <name val="Calibri"/>
      <family val="2"/>
    </font>
    <font>
      <i/>
      <sz val="12"/>
      <color theme="1"/>
      <name val="Calibri"/>
      <family val="2"/>
    </font>
    <font>
      <u/>
      <sz val="12"/>
      <color rgb="FF0000FF"/>
      <name val="Calibri"/>
      <family val="2"/>
    </font>
    <font>
      <sz val="12"/>
      <name val="Calibri"/>
      <family val="2"/>
    </font>
    <font>
      <u/>
      <sz val="12"/>
      <color rgb="FF1155CC"/>
      <name val="Calibri"/>
      <family val="2"/>
    </font>
    <font>
      <sz val="12"/>
      <color rgb="FF172B4D"/>
      <name val="Calibri"/>
      <family val="2"/>
    </font>
    <font>
      <sz val="12"/>
      <color rgb="FF0000FF"/>
      <name val="Calibri"/>
      <family val="2"/>
      <scheme val="major"/>
    </font>
    <font>
      <b/>
      <sz val="12"/>
      <color rgb="FF000000"/>
      <name val="Calibri"/>
      <family val="2"/>
    </font>
    <font>
      <sz val="12"/>
      <color rgb="FF0000FF"/>
      <name val="Calibri"/>
      <family val="2"/>
    </font>
    <font>
      <u/>
      <sz val="12"/>
      <name val="Calibri"/>
      <family val="2"/>
    </font>
    <font>
      <b/>
      <sz val="12"/>
      <name val="Calibri"/>
      <family val="2"/>
    </font>
    <font>
      <u/>
      <sz val="12"/>
      <color rgb="FF1155CC"/>
      <name val="Calibri"/>
      <family val="2"/>
      <scheme val="major"/>
    </font>
    <font>
      <sz val="14"/>
      <color rgb="FF000000"/>
      <name val="Calibri"/>
      <family val="2"/>
      <scheme val="major"/>
    </font>
    <font>
      <u/>
      <sz val="10"/>
      <color theme="10"/>
      <name val="Calibri"/>
      <scheme val="minor"/>
    </font>
  </fonts>
  <fills count="28">
    <fill>
      <patternFill patternType="none"/>
    </fill>
    <fill>
      <patternFill patternType="gray125"/>
    </fill>
    <fill>
      <patternFill patternType="solid">
        <fgColor rgb="FFD9D2E9"/>
        <bgColor rgb="FFD9D2E9"/>
      </patternFill>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
      <patternFill patternType="solid">
        <fgColor rgb="FF7368D4"/>
        <bgColor rgb="FF7368D4"/>
      </patternFill>
    </fill>
    <fill>
      <patternFill patternType="solid">
        <fgColor rgb="FFD9D9D9"/>
        <bgColor rgb="FFD9D9D9"/>
      </patternFill>
    </fill>
    <fill>
      <patternFill patternType="solid">
        <fgColor rgb="FFA4C2F4"/>
        <bgColor rgb="FFA4C2F4"/>
      </patternFill>
    </fill>
    <fill>
      <patternFill patternType="solid">
        <fgColor rgb="FFCCCCCC"/>
        <bgColor rgb="FFCCCCCC"/>
      </patternFill>
    </fill>
    <fill>
      <patternFill patternType="solid">
        <fgColor rgb="FFFAFAFA"/>
        <bgColor rgb="FFFAFAFA"/>
      </patternFill>
    </fill>
    <fill>
      <patternFill patternType="solid">
        <fgColor rgb="FFD6DCE5"/>
        <bgColor rgb="FFD6DCE5"/>
      </patternFill>
    </fill>
    <fill>
      <patternFill patternType="solid">
        <fgColor rgb="FFFFF2CC"/>
        <bgColor rgb="FFFFF2CC"/>
      </patternFill>
    </fill>
    <fill>
      <patternFill patternType="solid">
        <fgColor rgb="FFDEEBF7"/>
        <bgColor rgb="FFDEEBF7"/>
      </patternFill>
    </fill>
    <fill>
      <patternFill patternType="solid">
        <fgColor rgb="FFE2F0D9"/>
        <bgColor rgb="FFE2F0D9"/>
      </patternFill>
    </fill>
    <fill>
      <patternFill patternType="solid">
        <fgColor rgb="FFFBE5D6"/>
        <bgColor rgb="FFFBE5D6"/>
      </patternFill>
    </fill>
    <fill>
      <patternFill patternType="solid">
        <fgColor rgb="FFF5F5F5"/>
        <bgColor rgb="FFF5F5F5"/>
      </patternFill>
    </fill>
    <fill>
      <patternFill patternType="solid">
        <fgColor rgb="FFF4CCCC"/>
        <bgColor rgb="FFF4CCCC"/>
      </patternFill>
    </fill>
    <fill>
      <patternFill patternType="solid">
        <fgColor rgb="FFEA9999"/>
        <bgColor rgb="FFEA9999"/>
      </patternFill>
    </fill>
    <fill>
      <patternFill patternType="solid">
        <fgColor rgb="FFD9EAD3"/>
        <bgColor rgb="FFD9EAD3"/>
      </patternFill>
    </fill>
    <fill>
      <patternFill patternType="solid">
        <fgColor rgb="FF00FF00"/>
        <bgColor rgb="FF00FF00"/>
      </patternFill>
    </fill>
    <fill>
      <patternFill patternType="solid">
        <fgColor rgb="FF8EAADB"/>
        <bgColor rgb="FF8EAADB"/>
      </patternFill>
    </fill>
    <fill>
      <patternFill patternType="solid">
        <fgColor theme="5"/>
        <bgColor rgb="FF007AC2"/>
      </patternFill>
    </fill>
    <fill>
      <patternFill patternType="solid">
        <fgColor theme="5"/>
        <bgColor rgb="FF14A5A7"/>
      </patternFill>
    </fill>
    <fill>
      <patternFill patternType="solid">
        <fgColor theme="6"/>
        <bgColor rgb="FF007AC2"/>
      </patternFill>
    </fill>
    <fill>
      <patternFill patternType="solid">
        <fgColor theme="6"/>
        <bgColor indexed="64"/>
      </patternFill>
    </fill>
    <fill>
      <patternFill patternType="solid">
        <fgColor theme="6"/>
        <bgColor rgb="FF14A5A7"/>
      </patternFill>
    </fill>
    <fill>
      <patternFill patternType="solid">
        <fgColor theme="2"/>
        <bgColor rgb="FFD9D9D9"/>
      </patternFill>
    </fill>
  </fills>
  <borders count="42">
    <border>
      <left/>
      <right/>
      <top/>
      <bottom/>
      <diagonal/>
    </border>
    <border>
      <left style="thin">
        <color rgb="FF351C75"/>
      </left>
      <right/>
      <top style="thin">
        <color rgb="FF351C75"/>
      </top>
      <bottom/>
      <diagonal/>
    </border>
    <border>
      <left/>
      <right/>
      <top style="thin">
        <color rgb="FF351C75"/>
      </top>
      <bottom/>
      <diagonal/>
    </border>
    <border>
      <left/>
      <right style="thin">
        <color rgb="FF351C75"/>
      </right>
      <top style="thin">
        <color rgb="FF351C75"/>
      </top>
      <bottom/>
      <diagonal/>
    </border>
    <border>
      <left style="thin">
        <color rgb="FF351C75"/>
      </left>
      <right/>
      <top/>
      <bottom/>
      <diagonal/>
    </border>
    <border>
      <left/>
      <right style="thin">
        <color rgb="FF351C75"/>
      </right>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style="thin">
        <color rgb="FF000000"/>
      </bottom>
      <diagonal/>
    </border>
    <border>
      <left style="medium">
        <color rgb="FF351C75"/>
      </left>
      <right/>
      <top style="medium">
        <color rgb="FF351C75"/>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351C75"/>
      </left>
      <right/>
      <top/>
      <bottom/>
      <diagonal/>
    </border>
    <border>
      <left/>
      <right style="thin">
        <color rgb="FF000000"/>
      </right>
      <top/>
      <bottom/>
      <diagonal/>
    </border>
    <border>
      <left style="thin">
        <color rgb="FF000000"/>
      </left>
      <right style="medium">
        <color rgb="FF351C75"/>
      </right>
      <top style="medium">
        <color rgb="FF351C75"/>
      </top>
      <bottom style="thin">
        <color rgb="FF000000"/>
      </bottom>
      <diagonal/>
    </border>
    <border>
      <left style="thin">
        <color rgb="FFB7B7B7"/>
      </left>
      <right/>
      <top style="thin">
        <color rgb="FFB7B7B7"/>
      </top>
      <bottom style="thin">
        <color rgb="FFB7B7B7"/>
      </bottom>
      <diagonal/>
    </border>
    <border>
      <left style="thin">
        <color rgb="FF9A9A9A"/>
      </left>
      <right style="thin">
        <color rgb="FF9A9A9A"/>
      </right>
      <top style="thin">
        <color rgb="FF9A9A9A"/>
      </top>
      <bottom style="thin">
        <color rgb="FF9A9A9A"/>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indexed="64"/>
      </right>
      <top style="thin">
        <color rgb="FF351C75"/>
      </top>
      <bottom/>
      <diagonal/>
    </border>
    <border>
      <left/>
      <right style="thin">
        <color indexed="64"/>
      </right>
      <top/>
      <bottom/>
      <diagonal/>
    </border>
    <border>
      <left/>
      <right style="thin">
        <color indexed="64"/>
      </right>
      <top/>
      <bottom style="thin">
        <color rgb="FF000000"/>
      </bottom>
      <diagonal/>
    </border>
    <border>
      <left/>
      <right/>
      <top/>
      <bottom style="medium">
        <color indexed="64"/>
      </bottom>
      <diagonal/>
    </border>
  </borders>
  <cellStyleXfs count="2">
    <xf numFmtId="0" fontId="0" fillId="0" borderId="0"/>
    <xf numFmtId="0" fontId="91" fillId="0" borderId="0" applyNumberFormat="0" applyFill="0" applyBorder="0" applyAlignment="0" applyProtection="0"/>
  </cellStyleXfs>
  <cellXfs count="279">
    <xf numFmtId="0" fontId="0" fillId="0" borderId="0" xfId="0"/>
    <xf numFmtId="0" fontId="1" fillId="0" borderId="0" xfId="0" applyFont="1"/>
    <xf numFmtId="0" fontId="1" fillId="0" borderId="0" xfId="0" applyFont="1" applyAlignment="1">
      <alignment horizontal="center"/>
    </xf>
    <xf numFmtId="0" fontId="1" fillId="0" borderId="14" xfId="0" applyFont="1" applyBorder="1" applyAlignment="1">
      <alignment horizontal="center"/>
    </xf>
    <xf numFmtId="9" fontId="1" fillId="0" borderId="0" xfId="0" applyNumberFormat="1" applyFont="1" applyAlignment="1">
      <alignment horizontal="center"/>
    </xf>
    <xf numFmtId="9" fontId="1" fillId="0" borderId="15" xfId="0" applyNumberFormat="1" applyFont="1" applyBorder="1" applyAlignment="1">
      <alignment horizontal="center"/>
    </xf>
    <xf numFmtId="0" fontId="6" fillId="0" borderId="12" xfId="0" applyFont="1" applyBorder="1" applyAlignment="1">
      <alignment horizontal="center"/>
    </xf>
    <xf numFmtId="9" fontId="7" fillId="0" borderId="12" xfId="0" applyNumberFormat="1" applyFont="1" applyBorder="1" applyAlignment="1">
      <alignment horizontal="center"/>
    </xf>
    <xf numFmtId="9" fontId="6" fillId="0" borderId="13" xfId="0" applyNumberFormat="1" applyFont="1" applyBorder="1" applyAlignment="1">
      <alignment horizontal="center"/>
    </xf>
    <xf numFmtId="0" fontId="4" fillId="5" borderId="0" xfId="0" applyFont="1" applyFill="1"/>
    <xf numFmtId="0" fontId="8" fillId="0" borderId="0" xfId="0" applyFont="1"/>
    <xf numFmtId="0" fontId="10" fillId="0" borderId="0" xfId="0" applyFont="1"/>
    <xf numFmtId="0" fontId="16" fillId="0" borderId="0" xfId="0" applyFont="1" applyAlignment="1">
      <alignment vertical="top" wrapText="1"/>
    </xf>
    <xf numFmtId="0" fontId="16" fillId="0" borderId="0" xfId="0" applyFont="1"/>
    <xf numFmtId="0" fontId="20" fillId="0" borderId="0" xfId="0" applyFont="1" applyAlignment="1">
      <alignment vertical="top"/>
    </xf>
    <xf numFmtId="0" fontId="21" fillId="0" borderId="0" xfId="0" applyFont="1" applyAlignment="1">
      <alignment vertical="top"/>
    </xf>
    <xf numFmtId="0" fontId="21" fillId="0" borderId="0" xfId="0" applyFont="1" applyAlignment="1">
      <alignment vertical="top" wrapText="1"/>
    </xf>
    <xf numFmtId="0" fontId="10" fillId="0" borderId="0" xfId="0" applyFont="1" applyAlignment="1">
      <alignment vertical="top"/>
    </xf>
    <xf numFmtId="0" fontId="22" fillId="0" borderId="0" xfId="0" applyFont="1" applyAlignment="1">
      <alignment vertical="top"/>
    </xf>
    <xf numFmtId="0" fontId="23" fillId="0" borderId="0" xfId="0" applyFont="1" applyAlignment="1">
      <alignment vertical="top"/>
    </xf>
    <xf numFmtId="0" fontId="24" fillId="0" borderId="0" xfId="0" applyFont="1" applyAlignment="1">
      <alignment vertical="top" wrapText="1"/>
    </xf>
    <xf numFmtId="0" fontId="25" fillId="10" borderId="0" xfId="0" applyFont="1" applyFill="1" applyAlignment="1">
      <alignment horizontal="left" vertical="top"/>
    </xf>
    <xf numFmtId="0" fontId="26" fillId="0" borderId="0" xfId="0" applyFont="1" applyAlignment="1">
      <alignment vertical="top"/>
    </xf>
    <xf numFmtId="0" fontId="27" fillId="0" borderId="18" xfId="0" applyFont="1" applyBorder="1"/>
    <xf numFmtId="0" fontId="29" fillId="0" borderId="18" xfId="0" applyFont="1" applyBorder="1"/>
    <xf numFmtId="14" fontId="29" fillId="0" borderId="18" xfId="0" applyNumberFormat="1" applyFont="1" applyBorder="1"/>
    <xf numFmtId="0" fontId="10" fillId="0" borderId="18" xfId="0" applyFont="1" applyBorder="1"/>
    <xf numFmtId="164" fontId="29" fillId="0" borderId="18" xfId="0" applyNumberFormat="1" applyFont="1" applyBorder="1"/>
    <xf numFmtId="0" fontId="29" fillId="5" borderId="18" xfId="0" applyFont="1" applyFill="1" applyBorder="1"/>
    <xf numFmtId="0" fontId="30" fillId="11" borderId="0" xfId="0" applyFont="1" applyFill="1"/>
    <xf numFmtId="0" fontId="16" fillId="11" borderId="0" xfId="0" applyFont="1" applyFill="1" applyAlignment="1">
      <alignment wrapText="1"/>
    </xf>
    <xf numFmtId="0" fontId="16" fillId="0" borderId="0" xfId="0" applyFont="1" applyAlignment="1">
      <alignment vertical="top"/>
    </xf>
    <xf numFmtId="0" fontId="16" fillId="0" borderId="21" xfId="0" applyFont="1" applyBorder="1" applyAlignment="1">
      <alignment vertical="top"/>
    </xf>
    <xf numFmtId="0" fontId="16" fillId="12" borderId="21" xfId="0" applyFont="1" applyFill="1" applyBorder="1" applyAlignment="1">
      <alignment vertical="top"/>
    </xf>
    <xf numFmtId="0" fontId="16" fillId="12" borderId="21" xfId="0" applyFont="1" applyFill="1" applyBorder="1" applyAlignment="1">
      <alignment vertical="top" wrapText="1"/>
    </xf>
    <xf numFmtId="14" fontId="16" fillId="13" borderId="21" xfId="0" applyNumberFormat="1" applyFont="1" applyFill="1" applyBorder="1" applyAlignment="1">
      <alignment vertical="top" wrapText="1"/>
    </xf>
    <xf numFmtId="4" fontId="16" fillId="13" borderId="21" xfId="0" applyNumberFormat="1" applyFont="1" applyFill="1" applyBorder="1" applyAlignment="1">
      <alignment vertical="top" wrapText="1"/>
    </xf>
    <xf numFmtId="0" fontId="16" fillId="13" borderId="21" xfId="0" applyFont="1" applyFill="1" applyBorder="1" applyAlignment="1">
      <alignment vertical="top" wrapText="1"/>
    </xf>
    <xf numFmtId="0" fontId="16" fillId="11" borderId="21" xfId="0" applyFont="1" applyFill="1" applyBorder="1" applyAlignment="1">
      <alignment vertical="top" wrapText="1"/>
    </xf>
    <xf numFmtId="0" fontId="16" fillId="14" borderId="21" xfId="0" applyFont="1" applyFill="1" applyBorder="1" applyAlignment="1">
      <alignment vertical="top" wrapText="1"/>
    </xf>
    <xf numFmtId="0" fontId="16" fillId="12" borderId="21" xfId="0" applyFont="1" applyFill="1" applyBorder="1" applyAlignment="1">
      <alignment horizontal="center" vertical="top" wrapText="1"/>
    </xf>
    <xf numFmtId="14" fontId="16" fillId="13" borderId="21" xfId="0" applyNumberFormat="1" applyFont="1" applyFill="1" applyBorder="1" applyAlignment="1">
      <alignment horizontal="center" vertical="top" wrapText="1"/>
    </xf>
    <xf numFmtId="4" fontId="16" fillId="13" borderId="21" xfId="0" applyNumberFormat="1" applyFont="1" applyFill="1" applyBorder="1" applyAlignment="1">
      <alignment horizontal="center" vertical="top" wrapText="1"/>
    </xf>
    <xf numFmtId="0" fontId="16" fillId="13" borderId="21" xfId="0" applyFont="1" applyFill="1" applyBorder="1" applyAlignment="1">
      <alignment horizontal="center" vertical="top" wrapText="1"/>
    </xf>
    <xf numFmtId="0" fontId="16" fillId="11" borderId="21" xfId="0" applyFont="1" applyFill="1" applyBorder="1" applyAlignment="1">
      <alignment vertical="top"/>
    </xf>
    <xf numFmtId="0" fontId="31" fillId="12" borderId="21" xfId="0" applyFont="1" applyFill="1" applyBorder="1" applyAlignment="1">
      <alignment horizontal="center" vertical="top" wrapText="1"/>
    </xf>
    <xf numFmtId="0" fontId="31" fillId="13" borderId="21" xfId="0" applyFont="1" applyFill="1" applyBorder="1" applyAlignment="1">
      <alignment horizontal="center" vertical="top" wrapText="1"/>
    </xf>
    <xf numFmtId="0" fontId="16" fillId="9" borderId="21" xfId="0" applyFont="1" applyFill="1" applyBorder="1" applyAlignment="1">
      <alignment horizontal="center" vertical="top" wrapText="1"/>
    </xf>
    <xf numFmtId="14" fontId="31" fillId="13" borderId="21" xfId="0" applyNumberFormat="1" applyFont="1" applyFill="1" applyBorder="1" applyAlignment="1">
      <alignment horizontal="center" vertical="top" wrapText="1"/>
    </xf>
    <xf numFmtId="4" fontId="31" fillId="13" borderId="21" xfId="0" applyNumberFormat="1" applyFont="1" applyFill="1" applyBorder="1" applyAlignment="1">
      <alignment horizontal="center" vertical="top" wrapText="1"/>
    </xf>
    <xf numFmtId="0" fontId="16" fillId="15" borderId="21" xfId="0" applyFont="1" applyFill="1" applyBorder="1" applyAlignment="1">
      <alignment vertical="top" wrapText="1"/>
    </xf>
    <xf numFmtId="0" fontId="16" fillId="5" borderId="0" xfId="0" applyFont="1" applyFill="1"/>
    <xf numFmtId="14" fontId="8" fillId="0" borderId="0" xfId="0" applyNumberFormat="1" applyFont="1" applyAlignment="1">
      <alignment horizontal="right"/>
    </xf>
    <xf numFmtId="4" fontId="8" fillId="0" borderId="0" xfId="0" applyNumberFormat="1" applyFont="1" applyAlignment="1">
      <alignment horizontal="right"/>
    </xf>
    <xf numFmtId="0" fontId="32" fillId="11" borderId="0" xfId="0" applyFont="1" applyFill="1"/>
    <xf numFmtId="0" fontId="19" fillId="0" borderId="0" xfId="0" applyFont="1"/>
    <xf numFmtId="14" fontId="19" fillId="0" borderId="0" xfId="0" applyNumberFormat="1" applyFont="1"/>
    <xf numFmtId="4" fontId="19" fillId="0" borderId="0" xfId="0" applyNumberFormat="1" applyFont="1"/>
    <xf numFmtId="0" fontId="19" fillId="0" borderId="0" xfId="0" applyFont="1" applyAlignment="1">
      <alignment wrapText="1"/>
    </xf>
    <xf numFmtId="14" fontId="16" fillId="0" borderId="0" xfId="0" applyNumberFormat="1" applyFont="1"/>
    <xf numFmtId="4" fontId="16" fillId="0" borderId="0" xfId="0" applyNumberFormat="1" applyFont="1"/>
    <xf numFmtId="0" fontId="16" fillId="0" borderId="0" xfId="0" applyFont="1" applyAlignment="1">
      <alignment wrapText="1"/>
    </xf>
    <xf numFmtId="0" fontId="12" fillId="0" borderId="0" xfId="0" applyFont="1"/>
    <xf numFmtId="14" fontId="33" fillId="0" borderId="0" xfId="0" applyNumberFormat="1" applyFont="1" applyAlignment="1">
      <alignment wrapText="1"/>
    </xf>
    <xf numFmtId="4" fontId="34" fillId="0" borderId="0" xfId="0" applyNumberFormat="1" applyFont="1" applyAlignment="1">
      <alignment wrapText="1"/>
    </xf>
    <xf numFmtId="0" fontId="34" fillId="0" borderId="0" xfId="0" applyFont="1"/>
    <xf numFmtId="14" fontId="15" fillId="0" borderId="0" xfId="0" applyNumberFormat="1" applyFont="1"/>
    <xf numFmtId="4" fontId="35" fillId="5" borderId="0" xfId="0" applyNumberFormat="1" applyFont="1" applyFill="1"/>
    <xf numFmtId="0" fontId="36" fillId="16" borderId="0" xfId="0" applyFont="1" applyFill="1" applyAlignment="1">
      <alignment wrapText="1"/>
    </xf>
    <xf numFmtId="0" fontId="36" fillId="0" borderId="0" xfId="0" applyFont="1" applyAlignment="1">
      <alignment horizontal="right"/>
    </xf>
    <xf numFmtId="0" fontId="36" fillId="0" borderId="0" xfId="0" applyFont="1"/>
    <xf numFmtId="0" fontId="15" fillId="0" borderId="0" xfId="0" applyFont="1"/>
    <xf numFmtId="14" fontId="15" fillId="5" borderId="0" xfId="0" applyNumberFormat="1" applyFont="1" applyFill="1"/>
    <xf numFmtId="0" fontId="36" fillId="17" borderId="0" xfId="0" applyFont="1" applyFill="1" applyAlignment="1">
      <alignment horizontal="right"/>
    </xf>
    <xf numFmtId="0" fontId="36" fillId="17" borderId="0" xfId="0" applyFont="1" applyFill="1"/>
    <xf numFmtId="0" fontId="36" fillId="18" borderId="0" xfId="0" applyFont="1" applyFill="1" applyAlignment="1">
      <alignment horizontal="right"/>
    </xf>
    <xf numFmtId="0" fontId="36" fillId="5" borderId="0" xfId="0" applyFont="1" applyFill="1"/>
    <xf numFmtId="0" fontId="37" fillId="0" borderId="0" xfId="0" applyFont="1" applyAlignment="1">
      <alignment horizontal="center" vertical="top"/>
    </xf>
    <xf numFmtId="0" fontId="37" fillId="0" borderId="0" xfId="0" applyFont="1" applyAlignment="1">
      <alignment horizontal="center" vertical="top" wrapText="1"/>
    </xf>
    <xf numFmtId="0" fontId="38" fillId="0" borderId="0" xfId="0" applyFont="1" applyAlignment="1">
      <alignment horizontal="left" vertical="top" wrapText="1"/>
    </xf>
    <xf numFmtId="0" fontId="38" fillId="0" borderId="0" xfId="0" applyFont="1"/>
    <xf numFmtId="0" fontId="13" fillId="19" borderId="0" xfId="0" applyFont="1" applyFill="1" applyAlignment="1">
      <alignment vertical="top"/>
    </xf>
    <xf numFmtId="0" fontId="39" fillId="19" borderId="0" xfId="0" applyFont="1" applyFill="1" applyAlignment="1">
      <alignment vertical="top" wrapText="1"/>
    </xf>
    <xf numFmtId="0" fontId="39" fillId="19" borderId="0" xfId="0" applyFont="1" applyFill="1" applyAlignment="1">
      <alignment horizontal="left" vertical="top" wrapText="1"/>
    </xf>
    <xf numFmtId="0" fontId="13" fillId="19" borderId="0" xfId="0" applyFont="1" applyFill="1" applyAlignment="1">
      <alignment horizontal="left" vertical="top" wrapText="1"/>
    </xf>
    <xf numFmtId="0" fontId="38" fillId="19" borderId="0" xfId="0" applyFont="1" applyFill="1" applyAlignment="1">
      <alignment horizontal="left" vertical="top" wrapText="1"/>
    </xf>
    <xf numFmtId="0" fontId="13" fillId="17" borderId="0" xfId="0" applyFont="1" applyFill="1" applyAlignment="1">
      <alignment vertical="top"/>
    </xf>
    <xf numFmtId="0" fontId="39" fillId="17" borderId="0" xfId="0" applyFont="1" applyFill="1" applyAlignment="1">
      <alignment vertical="top" wrapText="1"/>
    </xf>
    <xf numFmtId="0" fontId="13" fillId="17" borderId="0" xfId="0" applyFont="1" applyFill="1" applyAlignment="1">
      <alignment horizontal="left" vertical="top" wrapText="1"/>
    </xf>
    <xf numFmtId="0" fontId="38" fillId="17" borderId="0" xfId="0" applyFont="1" applyFill="1" applyAlignment="1">
      <alignment horizontal="left" vertical="top" wrapText="1"/>
    </xf>
    <xf numFmtId="0" fontId="40" fillId="19" borderId="0" xfId="0" applyFont="1" applyFill="1" applyAlignment="1">
      <alignment horizontal="left" vertical="top" wrapText="1"/>
    </xf>
    <xf numFmtId="0" fontId="39" fillId="17" borderId="0" xfId="0" applyFont="1" applyFill="1" applyAlignment="1">
      <alignment horizontal="left" vertical="top" wrapText="1"/>
    </xf>
    <xf numFmtId="0" fontId="39" fillId="17" borderId="0" xfId="0" applyFont="1" applyFill="1" applyAlignment="1">
      <alignment vertical="top"/>
    </xf>
    <xf numFmtId="0" fontId="10" fillId="0" borderId="22" xfId="0" applyFont="1" applyBorder="1"/>
    <xf numFmtId="0" fontId="10" fillId="0" borderId="23" xfId="0" applyFont="1" applyBorder="1"/>
    <xf numFmtId="0" fontId="10" fillId="0" borderId="24" xfId="0" applyFont="1" applyBorder="1"/>
    <xf numFmtId="0" fontId="10" fillId="0" borderId="25" xfId="0" applyFont="1" applyBorder="1"/>
    <xf numFmtId="0" fontId="10" fillId="0" borderId="26" xfId="0" applyFont="1" applyBorder="1"/>
    <xf numFmtId="0" fontId="10" fillId="0" borderId="27" xfId="0" applyFont="1" applyBorder="1"/>
    <xf numFmtId="0" fontId="10" fillId="0" borderId="28" xfId="0" applyFont="1" applyBorder="1"/>
    <xf numFmtId="0" fontId="10" fillId="0" borderId="29" xfId="0" applyFont="1" applyBorder="1"/>
    <xf numFmtId="0" fontId="10" fillId="7" borderId="0" xfId="0" applyFont="1" applyFill="1" applyAlignment="1">
      <alignment wrapText="1"/>
    </xf>
    <xf numFmtId="0" fontId="10" fillId="19" borderId="0" xfId="0" applyFont="1" applyFill="1" applyAlignment="1">
      <alignment horizontal="left" vertical="center"/>
    </xf>
    <xf numFmtId="0" fontId="10" fillId="19" borderId="0" xfId="0" applyFont="1" applyFill="1"/>
    <xf numFmtId="0" fontId="10" fillId="20" borderId="0" xfId="0" applyFont="1" applyFill="1"/>
    <xf numFmtId="0" fontId="10" fillId="17" borderId="0" xfId="0" applyFont="1" applyFill="1" applyAlignment="1">
      <alignment horizontal="left" vertical="center"/>
    </xf>
    <xf numFmtId="0" fontId="10" fillId="17" borderId="0" xfId="0" applyFont="1" applyFill="1"/>
    <xf numFmtId="0" fontId="10" fillId="18" borderId="0" xfId="0" applyFont="1" applyFill="1" applyAlignment="1">
      <alignment horizontal="left" vertical="center"/>
    </xf>
    <xf numFmtId="0" fontId="10" fillId="18" borderId="0" xfId="0" applyFont="1" applyFill="1"/>
    <xf numFmtId="0" fontId="28" fillId="18" borderId="0" xfId="0" applyFont="1" applyFill="1" applyAlignment="1">
      <alignment horizontal="center"/>
    </xf>
    <xf numFmtId="0" fontId="10" fillId="12" borderId="0" xfId="0" applyFont="1" applyFill="1"/>
    <xf numFmtId="0" fontId="10" fillId="12" borderId="0" xfId="0" applyFont="1" applyFill="1" applyAlignment="1">
      <alignment horizontal="left" vertical="center"/>
    </xf>
    <xf numFmtId="49" fontId="15" fillId="0" borderId="0" xfId="0" applyNumberFormat="1" applyFont="1" applyAlignment="1">
      <alignment wrapText="1"/>
    </xf>
    <xf numFmtId="0" fontId="15" fillId="0" borderId="0" xfId="0" applyFont="1" applyAlignment="1">
      <alignment wrapText="1"/>
    </xf>
    <xf numFmtId="0" fontId="33" fillId="21" borderId="21" xfId="0" applyFont="1" applyFill="1" applyBorder="1" applyAlignment="1">
      <alignment wrapText="1"/>
    </xf>
    <xf numFmtId="49" fontId="33" fillId="21" borderId="21" xfId="0" applyNumberFormat="1" applyFont="1" applyFill="1" applyBorder="1" applyAlignment="1">
      <alignment wrapText="1"/>
    </xf>
    <xf numFmtId="0" fontId="15" fillId="0" borderId="21" xfId="0" applyFont="1" applyBorder="1" applyAlignment="1">
      <alignment wrapText="1"/>
    </xf>
    <xf numFmtId="49" fontId="15" fillId="0" borderId="21" xfId="0" applyNumberFormat="1" applyFont="1" applyBorder="1" applyAlignment="1">
      <alignment wrapText="1"/>
    </xf>
    <xf numFmtId="0" fontId="46" fillId="0" borderId="0" xfId="0" applyFont="1"/>
    <xf numFmtId="0" fontId="47" fillId="0" borderId="0" xfId="0" applyFont="1"/>
    <xf numFmtId="0" fontId="49" fillId="0" borderId="0" xfId="0" applyFont="1"/>
    <xf numFmtId="0" fontId="50" fillId="0" borderId="0" xfId="0" applyFont="1"/>
    <xf numFmtId="0" fontId="49" fillId="0" borderId="0" xfId="0" applyFont="1" applyAlignment="1">
      <alignment wrapText="1"/>
    </xf>
    <xf numFmtId="9" fontId="49" fillId="0" borderId="0" xfId="0" applyNumberFormat="1" applyFont="1"/>
    <xf numFmtId="0" fontId="49" fillId="3" borderId="7" xfId="0" applyFont="1" applyFill="1" applyBorder="1"/>
    <xf numFmtId="14" fontId="49" fillId="3" borderId="0" xfId="0" applyNumberFormat="1" applyFont="1" applyFill="1"/>
    <xf numFmtId="0" fontId="49" fillId="3" borderId="9" xfId="0" applyFont="1" applyFill="1" applyBorder="1"/>
    <xf numFmtId="14" fontId="49" fillId="3" borderId="10" xfId="0" applyNumberFormat="1" applyFont="1" applyFill="1" applyBorder="1"/>
    <xf numFmtId="0" fontId="55" fillId="0" borderId="2" xfId="0" applyFont="1" applyBorder="1" applyAlignment="1">
      <alignment horizontal="center"/>
    </xf>
    <xf numFmtId="9" fontId="56" fillId="2" borderId="0" xfId="0" applyNumberFormat="1" applyFont="1" applyFill="1" applyAlignment="1">
      <alignment horizontal="center" vertical="center"/>
    </xf>
    <xf numFmtId="0" fontId="57" fillId="4" borderId="0" xfId="0" applyFont="1" applyFill="1" applyAlignment="1">
      <alignment horizontal="center" vertical="center"/>
    </xf>
    <xf numFmtId="0" fontId="57" fillId="4" borderId="10" xfId="0" applyFont="1" applyFill="1" applyBorder="1" applyAlignment="1">
      <alignment horizontal="center" vertical="center"/>
    </xf>
    <xf numFmtId="0" fontId="55" fillId="0" borderId="38" xfId="0" applyFont="1" applyBorder="1" applyAlignment="1">
      <alignment horizontal="center"/>
    </xf>
    <xf numFmtId="9" fontId="56" fillId="2" borderId="39" xfId="0" applyNumberFormat="1" applyFont="1" applyFill="1" applyBorder="1" applyAlignment="1">
      <alignment horizontal="center" vertical="center"/>
    </xf>
    <xf numFmtId="0" fontId="57" fillId="4" borderId="39" xfId="0" applyFont="1" applyFill="1" applyBorder="1" applyAlignment="1">
      <alignment horizontal="center" vertical="center"/>
    </xf>
    <xf numFmtId="0" fontId="57" fillId="4" borderId="40" xfId="0" applyFont="1" applyFill="1" applyBorder="1" applyAlignment="1">
      <alignment horizontal="center" vertical="center"/>
    </xf>
    <xf numFmtId="0" fontId="48" fillId="22" borderId="0" xfId="0" applyFont="1" applyFill="1"/>
    <xf numFmtId="0" fontId="46" fillId="22" borderId="0" xfId="0" applyFont="1" applyFill="1"/>
    <xf numFmtId="0" fontId="58" fillId="22" borderId="0" xfId="0" applyFont="1" applyFill="1"/>
    <xf numFmtId="0" fontId="59" fillId="22" borderId="0" xfId="0" applyFont="1" applyFill="1"/>
    <xf numFmtId="0" fontId="51" fillId="23" borderId="1" xfId="0" applyFont="1" applyFill="1" applyBorder="1"/>
    <xf numFmtId="0" fontId="51" fillId="23" borderId="2" xfId="0" applyFont="1" applyFill="1" applyBorder="1"/>
    <xf numFmtId="0" fontId="51" fillId="23" borderId="2" xfId="0" applyFont="1" applyFill="1" applyBorder="1" applyAlignment="1">
      <alignment textRotation="90"/>
    </xf>
    <xf numFmtId="0" fontId="52" fillId="23" borderId="2" xfId="0" applyFont="1" applyFill="1" applyBorder="1" applyAlignment="1">
      <alignment textRotation="90"/>
    </xf>
    <xf numFmtId="0" fontId="2" fillId="22" borderId="11" xfId="0" applyFont="1" applyFill="1" applyBorder="1" applyAlignment="1">
      <alignment horizontal="center" vertical="center" textRotation="90" wrapText="1"/>
    </xf>
    <xf numFmtId="0" fontId="2" fillId="22" borderId="6" xfId="0" applyFont="1" applyFill="1" applyBorder="1"/>
    <xf numFmtId="0" fontId="2" fillId="22" borderId="12" xfId="0" applyFont="1" applyFill="1" applyBorder="1" applyAlignment="1">
      <alignment horizontal="center"/>
    </xf>
    <xf numFmtId="0" fontId="2" fillId="22" borderId="13" xfId="0" applyFont="1" applyFill="1" applyBorder="1" applyAlignment="1">
      <alignment horizontal="center"/>
    </xf>
    <xf numFmtId="0" fontId="5" fillId="22" borderId="16" xfId="0" applyFont="1" applyFill="1" applyBorder="1" applyAlignment="1">
      <alignment horizontal="right"/>
    </xf>
    <xf numFmtId="0" fontId="60" fillId="26" borderId="8" xfId="0" applyFont="1" applyFill="1" applyBorder="1"/>
    <xf numFmtId="0" fontId="61" fillId="0" borderId="0" xfId="0" applyFont="1" applyAlignment="1">
      <alignment vertical="top"/>
    </xf>
    <xf numFmtId="0" fontId="61" fillId="0" borderId="0" xfId="0" applyFont="1" applyAlignment="1">
      <alignment vertical="top" wrapText="1"/>
    </xf>
    <xf numFmtId="0" fontId="61" fillId="0" borderId="0" xfId="0" applyFont="1" applyAlignment="1">
      <alignment wrapText="1"/>
    </xf>
    <xf numFmtId="0" fontId="62" fillId="0" borderId="0" xfId="0" applyFont="1"/>
    <xf numFmtId="0" fontId="61" fillId="0" borderId="0" xfId="0" applyFont="1" applyAlignment="1">
      <alignment horizontal="center" vertical="top" wrapText="1"/>
    </xf>
    <xf numFmtId="0" fontId="64" fillId="22" borderId="0" xfId="0" applyFont="1" applyFill="1" applyAlignment="1">
      <alignment vertical="center"/>
    </xf>
    <xf numFmtId="0" fontId="64" fillId="22" borderId="0" xfId="0" applyFont="1" applyFill="1" applyAlignment="1">
      <alignment vertical="center" wrapText="1"/>
    </xf>
    <xf numFmtId="0" fontId="61" fillId="0" borderId="0" xfId="0" applyFont="1" applyAlignment="1">
      <alignment horizontal="left" vertical="center" wrapText="1"/>
    </xf>
    <xf numFmtId="0" fontId="65" fillId="22" borderId="0" xfId="0" applyFont="1" applyFill="1" applyAlignment="1">
      <alignment vertical="center" wrapText="1"/>
    </xf>
    <xf numFmtId="0" fontId="61" fillId="0" borderId="0" xfId="0" applyFont="1" applyAlignment="1">
      <alignment horizontal="center" vertical="center" wrapText="1"/>
    </xf>
    <xf numFmtId="0" fontId="61" fillId="0" borderId="0" xfId="0" applyFont="1" applyAlignment="1">
      <alignment horizontal="center" vertical="center"/>
    </xf>
    <xf numFmtId="0" fontId="65" fillId="22" borderId="0" xfId="0" applyFont="1" applyFill="1" applyAlignment="1">
      <alignment horizontal="center" vertical="center" wrapText="1"/>
    </xf>
    <xf numFmtId="0" fontId="61" fillId="8" borderId="0" xfId="0" applyFont="1" applyFill="1" applyAlignment="1">
      <alignment horizontal="center" vertical="center" wrapText="1"/>
    </xf>
    <xf numFmtId="0" fontId="62" fillId="0" borderId="0" xfId="0" applyFont="1" applyAlignment="1">
      <alignment horizontal="center" vertical="center"/>
    </xf>
    <xf numFmtId="0" fontId="65" fillId="6" borderId="0" xfId="0" applyFont="1" applyFill="1" applyAlignment="1">
      <alignment vertical="center" wrapText="1"/>
    </xf>
    <xf numFmtId="0" fontId="61" fillId="25" borderId="17" xfId="0" applyFont="1" applyFill="1" applyBorder="1" applyAlignment="1">
      <alignment vertical="top" wrapText="1"/>
    </xf>
    <xf numFmtId="0" fontId="63" fillId="25" borderId="17" xfId="0" applyFont="1" applyFill="1" applyBorder="1" applyAlignment="1">
      <alignment vertical="top" wrapText="1"/>
    </xf>
    <xf numFmtId="0" fontId="66" fillId="22" borderId="17" xfId="0" applyFont="1" applyFill="1" applyBorder="1" applyAlignment="1">
      <alignment vertical="top" wrapText="1"/>
    </xf>
    <xf numFmtId="0" fontId="61" fillId="26" borderId="0" xfId="0" applyFont="1" applyFill="1" applyAlignment="1">
      <alignment horizontal="left" vertical="center" wrapText="1"/>
    </xf>
    <xf numFmtId="0" fontId="61" fillId="27" borderId="0" xfId="0" applyFont="1" applyFill="1" applyAlignment="1">
      <alignment horizontal="left" vertical="center" wrapText="1"/>
    </xf>
    <xf numFmtId="0" fontId="63" fillId="26" borderId="0" xfId="0" applyFont="1" applyFill="1" applyAlignment="1">
      <alignment horizontal="left" vertical="center" wrapText="1"/>
    </xf>
    <xf numFmtId="0" fontId="63" fillId="27" borderId="0" xfId="0" applyFont="1" applyFill="1" applyAlignment="1">
      <alignment horizontal="left" vertical="center" wrapText="1"/>
    </xf>
    <xf numFmtId="0" fontId="67" fillId="22" borderId="17" xfId="0" applyFont="1" applyFill="1" applyBorder="1" applyAlignment="1">
      <alignment vertical="top" wrapText="1"/>
    </xf>
    <xf numFmtId="0" fontId="49" fillId="25" borderId="17" xfId="0" applyFont="1" applyFill="1" applyBorder="1" applyAlignment="1">
      <alignment vertical="top" wrapText="1"/>
    </xf>
    <xf numFmtId="0" fontId="68" fillId="22" borderId="0" xfId="0" applyFont="1" applyFill="1" applyAlignment="1">
      <alignment vertical="center"/>
    </xf>
    <xf numFmtId="0" fontId="68" fillId="22" borderId="0" xfId="0" applyFont="1" applyFill="1" applyAlignment="1">
      <alignment vertical="center" wrapText="1"/>
    </xf>
    <xf numFmtId="0" fontId="69" fillId="0" borderId="0" xfId="0" applyFont="1" applyAlignment="1">
      <alignment wrapText="1"/>
    </xf>
    <xf numFmtId="0" fontId="49" fillId="0" borderId="0" xfId="0" applyFont="1" applyAlignment="1">
      <alignment vertical="top" wrapText="1"/>
    </xf>
    <xf numFmtId="0" fontId="49" fillId="0" borderId="0" xfId="0" applyFont="1" applyAlignment="1">
      <alignment horizontal="center" vertical="top" wrapText="1"/>
    </xf>
    <xf numFmtId="0" fontId="49" fillId="0" borderId="0" xfId="0" applyFont="1" applyAlignment="1">
      <alignment horizontal="center"/>
    </xf>
    <xf numFmtId="0" fontId="67" fillId="22" borderId="0" xfId="0" applyFont="1" applyFill="1" applyAlignment="1">
      <alignment vertical="center" wrapText="1"/>
    </xf>
    <xf numFmtId="0" fontId="67" fillId="22" borderId="0" xfId="0" applyFont="1" applyFill="1" applyAlignment="1">
      <alignment horizontal="center" vertical="center" wrapText="1"/>
    </xf>
    <xf numFmtId="0" fontId="67" fillId="6" borderId="0" xfId="0" applyFont="1" applyFill="1" applyAlignment="1">
      <alignment vertical="center" wrapText="1"/>
    </xf>
    <xf numFmtId="0" fontId="72" fillId="0" borderId="0" xfId="0" applyFont="1"/>
    <xf numFmtId="0" fontId="73" fillId="0" borderId="0" xfId="0" applyFont="1"/>
    <xf numFmtId="0" fontId="50" fillId="0" borderId="0" xfId="0" applyFont="1" applyAlignment="1">
      <alignment horizontal="left" vertical="center" wrapText="1"/>
    </xf>
    <xf numFmtId="0" fontId="49" fillId="0" borderId="0" xfId="0" applyFont="1" applyAlignment="1">
      <alignment horizontal="left" vertical="center" wrapText="1"/>
    </xf>
    <xf numFmtId="0" fontId="49" fillId="0" borderId="0" xfId="0" applyFont="1" applyAlignment="1">
      <alignment horizontal="center" vertical="center" wrapText="1"/>
    </xf>
    <xf numFmtId="0" fontId="49" fillId="0" borderId="0" xfId="0" applyFont="1" applyAlignment="1">
      <alignment horizontal="center" vertical="center"/>
    </xf>
    <xf numFmtId="0" fontId="71" fillId="0" borderId="0" xfId="0" applyFont="1" applyAlignment="1">
      <alignment horizontal="left" vertical="center" wrapText="1"/>
    </xf>
    <xf numFmtId="0" fontId="49" fillId="0" borderId="0" xfId="0" applyFont="1" applyAlignment="1">
      <alignment horizontal="left" vertical="center"/>
    </xf>
    <xf numFmtId="0" fontId="0" fillId="0" borderId="0" xfId="0" applyAlignment="1">
      <alignment vertical="center"/>
    </xf>
    <xf numFmtId="0" fontId="50" fillId="0" borderId="0" xfId="0" applyFont="1" applyAlignment="1">
      <alignment horizontal="left" vertical="center"/>
    </xf>
    <xf numFmtId="0" fontId="8" fillId="0" borderId="0" xfId="0" applyFont="1" applyAlignment="1">
      <alignment horizontal="left" vertical="center" wrapText="1"/>
    </xf>
    <xf numFmtId="0" fontId="0" fillId="0" borderId="0" xfId="0" applyAlignment="1">
      <alignment horizontal="left" vertical="center"/>
    </xf>
    <xf numFmtId="0" fontId="70" fillId="0" borderId="0" xfId="0" applyFont="1" applyAlignment="1">
      <alignment horizontal="left" vertical="center" wrapText="1"/>
    </xf>
    <xf numFmtId="0" fontId="0" fillId="0" borderId="0" xfId="0" applyAlignment="1">
      <alignment horizontal="left" vertical="center" wrapText="1"/>
    </xf>
    <xf numFmtId="0" fontId="74" fillId="0" borderId="0" xfId="0" applyFont="1" applyAlignment="1">
      <alignment horizontal="left" vertical="center" wrapText="1"/>
    </xf>
    <xf numFmtId="0" fontId="75" fillId="0" borderId="0" xfId="0" applyFont="1" applyAlignment="1">
      <alignment horizontal="left" vertical="center" wrapText="1"/>
    </xf>
    <xf numFmtId="0" fontId="76" fillId="0" borderId="0" xfId="0" applyFont="1" applyAlignment="1">
      <alignment horizontal="center" vertical="center" wrapText="1"/>
    </xf>
    <xf numFmtId="0" fontId="51" fillId="0" borderId="0" xfId="0" applyFont="1" applyAlignment="1">
      <alignment vertical="top" wrapText="1"/>
    </xf>
    <xf numFmtId="0" fontId="83" fillId="0" borderId="0" xfId="0" applyFont="1" applyAlignment="1">
      <alignment horizontal="left" vertical="center" wrapText="1"/>
    </xf>
    <xf numFmtId="0" fontId="78" fillId="0" borderId="0" xfId="0" applyFont="1" applyAlignment="1">
      <alignment horizontal="left" vertical="center" wrapText="1"/>
    </xf>
    <xf numFmtId="0" fontId="77" fillId="0" borderId="0" xfId="0" applyFont="1" applyAlignment="1">
      <alignment horizontal="left" vertical="center" wrapText="1"/>
    </xf>
    <xf numFmtId="0" fontId="10" fillId="0" borderId="0" xfId="0" applyFont="1" applyAlignment="1">
      <alignment horizontal="left" vertical="center" wrapText="1"/>
    </xf>
    <xf numFmtId="0" fontId="77" fillId="0" borderId="0" xfId="0" applyFont="1" applyAlignment="1">
      <alignment horizontal="center" vertical="center" wrapText="1"/>
    </xf>
    <xf numFmtId="0" fontId="77" fillId="0" borderId="0" xfId="0" applyFont="1" applyAlignment="1">
      <alignment horizontal="left" vertical="top" wrapText="1"/>
    </xf>
    <xf numFmtId="0" fontId="80" fillId="0" borderId="0" xfId="0" applyFont="1" applyAlignment="1">
      <alignment horizontal="left" vertical="top" wrapText="1"/>
    </xf>
    <xf numFmtId="0" fontId="63" fillId="26" borderId="0" xfId="0" applyFont="1" applyFill="1" applyAlignment="1">
      <alignment vertical="center" wrapText="1"/>
    </xf>
    <xf numFmtId="0" fontId="78" fillId="0" borderId="20" xfId="0" applyFont="1" applyBorder="1" applyAlignment="1">
      <alignment vertical="top" wrapText="1"/>
    </xf>
    <xf numFmtId="0" fontId="86" fillId="0" borderId="20" xfId="0" applyFont="1" applyBorder="1" applyAlignment="1">
      <alignment horizontal="center" vertical="center" wrapText="1"/>
    </xf>
    <xf numFmtId="0" fontId="77" fillId="0" borderId="20" xfId="0" applyFont="1" applyBorder="1" applyAlignment="1">
      <alignment horizontal="left" vertical="center" wrapText="1"/>
    </xf>
    <xf numFmtId="0" fontId="63" fillId="26" borderId="41" xfId="0" applyFont="1" applyFill="1" applyBorder="1" applyAlignment="1">
      <alignment vertical="center" wrapText="1"/>
    </xf>
    <xf numFmtId="0" fontId="63" fillId="27" borderId="20" xfId="0" applyFont="1" applyFill="1" applyBorder="1" applyAlignment="1">
      <alignment horizontal="left" vertical="center" wrapText="1"/>
    </xf>
    <xf numFmtId="0" fontId="80" fillId="0" borderId="20" xfId="0" applyFont="1" applyBorder="1" applyAlignment="1">
      <alignment horizontal="left" vertical="center" wrapText="1"/>
    </xf>
    <xf numFmtId="0" fontId="63" fillId="26" borderId="20" xfId="0" applyFont="1" applyFill="1" applyBorder="1" applyAlignment="1">
      <alignment horizontal="left" vertical="center" wrapText="1"/>
    </xf>
    <xf numFmtId="0" fontId="78" fillId="0" borderId="20" xfId="0" applyFont="1" applyBorder="1" applyAlignment="1">
      <alignment vertical="center" wrapText="1"/>
    </xf>
    <xf numFmtId="0" fontId="86" fillId="0" borderId="20" xfId="0" applyFont="1" applyBorder="1" applyAlignment="1">
      <alignment vertical="center" wrapText="1"/>
    </xf>
    <xf numFmtId="0" fontId="77" fillId="0" borderId="20" xfId="0" applyFont="1" applyBorder="1" applyAlignment="1">
      <alignment vertical="center" wrapText="1"/>
    </xf>
    <xf numFmtId="0" fontId="77" fillId="0" borderId="20" xfId="0" applyFont="1" applyBorder="1"/>
    <xf numFmtId="0" fontId="82" fillId="0" borderId="20" xfId="0" applyFont="1" applyBorder="1" applyAlignment="1">
      <alignment horizontal="left" wrapText="1"/>
    </xf>
    <xf numFmtId="0" fontId="11" fillId="0" borderId="0" xfId="0" applyFont="1" applyAlignment="1">
      <alignment horizontal="left" vertical="center"/>
    </xf>
    <xf numFmtId="0" fontId="17" fillId="0" borderId="0" xfId="0" applyFont="1" applyAlignment="1">
      <alignment horizontal="left" vertical="center"/>
    </xf>
    <xf numFmtId="0" fontId="18" fillId="0" borderId="0" xfId="0" applyFont="1" applyAlignment="1">
      <alignment horizontal="left" vertical="center"/>
    </xf>
    <xf numFmtId="0" fontId="81" fillId="0" borderId="0" xfId="0" applyFont="1" applyAlignment="1">
      <alignment horizontal="left" vertical="center" wrapText="1"/>
    </xf>
    <xf numFmtId="0" fontId="81" fillId="0" borderId="0" xfId="0" applyFont="1" applyAlignment="1">
      <alignment horizontal="left" vertical="center"/>
    </xf>
    <xf numFmtId="0" fontId="87" fillId="0" borderId="0" xfId="0" applyFont="1" applyAlignment="1">
      <alignment horizontal="left" vertical="center"/>
    </xf>
    <xf numFmtId="0" fontId="81" fillId="0" borderId="0" xfId="0" applyFont="1" applyAlignment="1">
      <alignment horizontal="left" vertical="top" wrapText="1"/>
    </xf>
    <xf numFmtId="0" fontId="81" fillId="0" borderId="0" xfId="0" applyFont="1" applyAlignment="1">
      <alignment horizontal="center" vertical="center"/>
    </xf>
    <xf numFmtId="0" fontId="10" fillId="0" borderId="0" xfId="0" applyFont="1" applyAlignment="1">
      <alignment horizontal="left" vertical="center"/>
    </xf>
    <xf numFmtId="0" fontId="82" fillId="0" borderId="0" xfId="0" applyFont="1" applyAlignment="1">
      <alignment horizontal="left" vertical="center" wrapText="1"/>
    </xf>
    <xf numFmtId="0" fontId="66" fillId="22" borderId="0" xfId="0" applyFont="1" applyFill="1" applyAlignment="1">
      <alignment vertical="center" wrapText="1"/>
    </xf>
    <xf numFmtId="0" fontId="61" fillId="0" borderId="0" xfId="0" applyFont="1" applyAlignment="1">
      <alignment horizontal="center"/>
    </xf>
    <xf numFmtId="0" fontId="66" fillId="22" borderId="0" xfId="0" applyFont="1" applyFill="1" applyAlignment="1">
      <alignment horizontal="center" vertical="center" wrapText="1"/>
    </xf>
    <xf numFmtId="0" fontId="66" fillId="6" borderId="0" xfId="0" applyFont="1" applyFill="1" applyAlignment="1">
      <alignment vertical="center" wrapText="1"/>
    </xf>
    <xf numFmtId="0" fontId="61" fillId="0" borderId="0" xfId="0" applyFont="1" applyAlignment="1">
      <alignment horizontal="left" vertical="top" wrapText="1"/>
    </xf>
    <xf numFmtId="0" fontId="62" fillId="0" borderId="0" xfId="0" applyFont="1" applyAlignment="1">
      <alignment horizontal="left" vertical="top" wrapText="1"/>
    </xf>
    <xf numFmtId="0" fontId="84" fillId="0" borderId="0" xfId="0" applyFont="1" applyAlignment="1">
      <alignment horizontal="left" vertical="top" wrapText="1"/>
    </xf>
    <xf numFmtId="0" fontId="89" fillId="0" borderId="0" xfId="0" applyFont="1" applyAlignment="1">
      <alignment horizontal="left" vertical="top" wrapText="1"/>
    </xf>
    <xf numFmtId="0" fontId="61" fillId="5" borderId="0" xfId="0" applyFont="1" applyFill="1" applyAlignment="1">
      <alignment horizontal="left" vertical="top" wrapText="1"/>
    </xf>
    <xf numFmtId="0" fontId="90" fillId="0" borderId="0" xfId="0" applyFont="1"/>
    <xf numFmtId="0" fontId="63" fillId="26" borderId="0" xfId="0" applyFont="1" applyFill="1" applyAlignment="1">
      <alignment horizontal="left" vertical="top" wrapText="1"/>
    </xf>
    <xf numFmtId="0" fontId="49" fillId="3" borderId="39" xfId="0" applyFont="1" applyFill="1" applyBorder="1"/>
    <xf numFmtId="0" fontId="49" fillId="3" borderId="39" xfId="0" applyFont="1" applyFill="1" applyBorder="1" applyAlignment="1">
      <alignment horizontal="right"/>
    </xf>
    <xf numFmtId="0" fontId="49" fillId="3" borderId="40" xfId="0" applyFont="1" applyFill="1" applyBorder="1"/>
    <xf numFmtId="0" fontId="49" fillId="0" borderId="0" xfId="0" applyFont="1" applyAlignment="1">
      <alignment vertical="center" wrapText="1"/>
    </xf>
    <xf numFmtId="0" fontId="77" fillId="0" borderId="20" xfId="0" applyFont="1" applyBorder="1" applyAlignment="1">
      <alignment horizontal="center" vertical="center"/>
    </xf>
    <xf numFmtId="0" fontId="62" fillId="0" borderId="0" xfId="0" applyFont="1" applyAlignment="1">
      <alignment horizontal="left" vertical="center" wrapText="1"/>
    </xf>
    <xf numFmtId="0" fontId="91" fillId="0" borderId="0" xfId="1" applyAlignment="1">
      <alignment horizontal="left" vertical="center" wrapText="1"/>
    </xf>
    <xf numFmtId="0" fontId="53" fillId="24" borderId="4" xfId="0" applyFont="1" applyFill="1" applyBorder="1" applyAlignment="1">
      <alignment horizontal="right"/>
    </xf>
    <xf numFmtId="0" fontId="50" fillId="25" borderId="0" xfId="0" applyFont="1" applyFill="1"/>
    <xf numFmtId="0" fontId="54" fillId="25" borderId="5" xfId="0" applyFont="1" applyFill="1" applyBorder="1"/>
    <xf numFmtId="0" fontId="46" fillId="0" borderId="0" xfId="0" applyFont="1" applyAlignment="1">
      <alignment horizontal="center"/>
    </xf>
    <xf numFmtId="0" fontId="49" fillId="0" borderId="0" xfId="0" applyFont="1"/>
    <xf numFmtId="0" fontId="50" fillId="0" borderId="0" xfId="0" applyFont="1"/>
    <xf numFmtId="0" fontId="49" fillId="0" borderId="0" xfId="0" applyFont="1" applyAlignment="1">
      <alignment wrapText="1"/>
    </xf>
    <xf numFmtId="0" fontId="53" fillId="24" borderId="1" xfId="0" applyFont="1" applyFill="1" applyBorder="1" applyAlignment="1">
      <alignment horizontal="right"/>
    </xf>
    <xf numFmtId="0" fontId="54" fillId="25" borderId="2" xfId="0" applyFont="1" applyFill="1" applyBorder="1"/>
    <xf numFmtId="0" fontId="54" fillId="25" borderId="3" xfId="0" applyFont="1" applyFill="1" applyBorder="1"/>
    <xf numFmtId="0" fontId="61" fillId="0" borderId="0" xfId="0" applyFont="1" applyAlignment="1">
      <alignment vertical="top" wrapText="1"/>
    </xf>
    <xf numFmtId="0" fontId="70" fillId="0" borderId="0" xfId="0" applyFont="1" applyAlignment="1">
      <alignment vertical="top" wrapText="1"/>
    </xf>
    <xf numFmtId="0" fontId="77" fillId="0" borderId="0" xfId="0" applyFont="1" applyAlignment="1">
      <alignment horizontal="left" vertical="center" wrapText="1"/>
    </xf>
    <xf numFmtId="0" fontId="61" fillId="0" borderId="0" xfId="0" applyFont="1" applyAlignment="1">
      <alignment vertical="top"/>
    </xf>
    <xf numFmtId="0" fontId="63" fillId="0" borderId="0" xfId="0" applyFont="1" applyAlignment="1">
      <alignment horizontal="left" vertical="center"/>
    </xf>
    <xf numFmtId="0" fontId="61" fillId="0" borderId="0" xfId="0" applyFont="1"/>
    <xf numFmtId="0" fontId="62" fillId="0" borderId="0" xfId="0" applyFont="1"/>
    <xf numFmtId="0" fontId="16" fillId="11" borderId="19" xfId="0" applyFont="1" applyFill="1" applyBorder="1" applyAlignment="1">
      <alignment wrapText="1"/>
    </xf>
    <xf numFmtId="0" fontId="3" fillId="0" borderId="20" xfId="0" applyFont="1" applyBorder="1"/>
    <xf numFmtId="0" fontId="10" fillId="0" borderId="25" xfId="0" applyFont="1" applyBorder="1"/>
    <xf numFmtId="0" fontId="0" fillId="0" borderId="0" xfId="0"/>
    <xf numFmtId="0" fontId="3" fillId="0" borderId="26" xfId="0" applyFont="1" applyBorder="1"/>
    <xf numFmtId="49" fontId="15" fillId="0" borderId="30" xfId="0" applyNumberFormat="1" applyFont="1" applyBorder="1" applyAlignment="1">
      <alignment horizontal="left" vertical="top" wrapText="1"/>
    </xf>
    <xf numFmtId="0" fontId="3" fillId="0" borderId="31" xfId="0" applyFont="1" applyBorder="1"/>
    <xf numFmtId="0" fontId="3" fillId="0" borderId="32" xfId="0" applyFont="1" applyBorder="1"/>
    <xf numFmtId="0" fontId="3" fillId="0" borderId="33" xfId="0" applyFont="1" applyBorder="1"/>
    <xf numFmtId="0" fontId="3" fillId="0" borderId="34" xfId="0" applyFont="1" applyBorder="1"/>
    <xf numFmtId="0" fontId="3" fillId="0" borderId="35" xfId="0" applyFont="1" applyBorder="1"/>
    <xf numFmtId="0" fontId="3" fillId="0" borderId="36" xfId="0" applyFont="1" applyBorder="1"/>
    <xf numFmtId="0" fontId="3" fillId="0" borderId="37" xfId="0" applyFont="1" applyBorder="1"/>
  </cellXfs>
  <cellStyles count="2">
    <cellStyle name="Hyperlink" xfId="1" builtinId="8"/>
    <cellStyle name="Normal" xfId="0" builtinId="0"/>
  </cellStyles>
  <dxfs count="126">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A4C2F4"/>
          <bgColor rgb="FFA4C2F4"/>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FFE599"/>
          <bgColor rgb="FFFFE599"/>
        </patternFill>
      </fill>
    </dxf>
    <dxf>
      <fill>
        <patternFill patternType="solid">
          <fgColor rgb="FFA4C2F4"/>
          <bgColor rgb="FFA4C2F4"/>
        </patternFill>
      </fill>
    </dxf>
    <dxf>
      <fill>
        <patternFill patternType="solid">
          <fgColor rgb="FFA4C2F4"/>
          <bgColor rgb="FFA4C2F4"/>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A4C2F4"/>
          <bgColor rgb="FFA4C2F4"/>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A4C2F4"/>
          <bgColor rgb="FFA4C2F4"/>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A4C2F4"/>
          <bgColor rgb="FFA4C2F4"/>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A4C2F4"/>
          <bgColor rgb="FFA4C2F4"/>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A4C2F4"/>
          <bgColor rgb="FFA4C2F4"/>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A4C2F4"/>
          <bgColor rgb="FFA4C2F4"/>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A4C2F4"/>
          <bgColor rgb="FFA4C2F4"/>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A4C2F4"/>
          <bgColor rgb="FFA4C2F4"/>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A4C2F4"/>
          <bgColor rgb="FFA4C2F4"/>
        </patternFill>
      </fill>
    </dxf>
    <dxf>
      <fill>
        <patternFill patternType="solid">
          <fgColor rgb="FFA4C2F4"/>
          <bgColor rgb="FFA4C2F4"/>
        </patternFill>
      </fill>
    </dxf>
    <dxf>
      <fill>
        <patternFill patternType="solid">
          <fgColor rgb="FFFFE599"/>
          <bgColor rgb="FFFFE599"/>
        </patternFill>
      </fill>
    </dxf>
    <dxf>
      <fill>
        <patternFill patternType="solid">
          <fgColor rgb="FFA4C2F4"/>
          <bgColor rgb="FFA4C2F4"/>
        </patternFill>
      </fill>
    </dxf>
    <dxf>
      <fill>
        <patternFill patternType="solid">
          <fgColor rgb="FFEA9999"/>
          <bgColor rgb="FFEA9999"/>
        </patternFill>
      </fill>
    </dxf>
    <dxf>
      <fill>
        <patternFill patternType="solid">
          <fgColor rgb="FFB7E1CD"/>
          <bgColor rgb="FFB7E1CD"/>
        </patternFill>
      </fill>
    </dxf>
    <dxf>
      <fill>
        <patternFill patternType="solid">
          <fgColor rgb="FFFFE599"/>
          <bgColor rgb="FFFFE599"/>
        </patternFill>
      </fill>
    </dxf>
    <dxf>
      <fill>
        <patternFill patternType="solid">
          <fgColor rgb="FFA4C2F4"/>
          <bgColor rgb="FFA4C2F4"/>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A4C2F4"/>
          <bgColor rgb="FFA4C2F4"/>
        </patternFill>
      </fill>
    </dxf>
    <dxf>
      <fill>
        <patternFill patternType="solid">
          <fgColor rgb="FFA4C2F4"/>
          <bgColor rgb="FFA4C2F4"/>
        </patternFill>
      </fill>
    </dxf>
    <dxf>
      <fill>
        <patternFill patternType="solid">
          <fgColor rgb="FFFFE599"/>
          <bgColor rgb="FFFFE599"/>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A4C2F4"/>
          <bgColor rgb="FFA4C2F4"/>
        </patternFill>
      </fill>
    </dxf>
    <dxf>
      <font>
        <color rgb="FF999999"/>
      </font>
      <fill>
        <patternFill patternType="solid">
          <fgColor rgb="FFB7B7B7"/>
          <bgColor rgb="FFB7B7B7"/>
        </patternFill>
      </fill>
    </dxf>
    <dxf>
      <font>
        <b/>
        <color rgb="FF38761D"/>
      </font>
      <fill>
        <patternFill patternType="solid">
          <fgColor rgb="FFB7E1CD"/>
          <bgColor rgb="FFB7E1CD"/>
        </patternFill>
      </fill>
    </dxf>
    <dxf>
      <font>
        <color rgb="FF38761D"/>
      </font>
      <fill>
        <patternFill patternType="solid">
          <fgColor rgb="FFB6D7A8"/>
          <bgColor rgb="FFB6D7A8"/>
        </patternFill>
      </fill>
    </dxf>
    <dxf>
      <font>
        <color rgb="FFB45F06"/>
      </font>
      <fill>
        <patternFill patternType="solid">
          <fgColor rgb="FFF9CB9C"/>
          <bgColor rgb="FFF9CB9C"/>
        </patternFill>
      </fill>
    </dxf>
    <dxf>
      <font>
        <color rgb="FF990000"/>
      </font>
      <fill>
        <patternFill patternType="solid">
          <fgColor rgb="FFEA9999"/>
          <bgColor rgb="FFEA9999"/>
        </patternFill>
      </fill>
    </dxf>
    <dxf>
      <font>
        <color rgb="FF434343"/>
      </font>
      <fill>
        <patternFill patternType="solid">
          <fgColor rgb="FFB7B7B7"/>
          <bgColor rgb="FFB7B7B7"/>
        </patternFill>
      </fill>
    </dxf>
    <dxf>
      <font>
        <color rgb="FFEA9999"/>
      </font>
      <fill>
        <patternFill patternType="solid">
          <fgColor rgb="FFEA9999"/>
          <bgColor rgb="FFEA9999"/>
        </patternFill>
      </fill>
    </dxf>
    <dxf>
      <font>
        <color rgb="FFB6D7A8"/>
      </font>
      <fill>
        <patternFill patternType="solid">
          <fgColor rgb="FFB6D7A8"/>
          <bgColor rgb="FFB6D7A8"/>
        </patternFill>
      </fill>
    </dxf>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s>
  <tableStyles count="1">
    <tableStyle name="GPC Send Document Test Scenario-style" pivot="0" count="3" xr9:uid="{00000000-0011-0000-FFFF-FFFF00000000}">
      <tableStyleElement type="headerRow" dxfId="125"/>
      <tableStyleElement type="firstRowStripe" dxfId="124"/>
      <tableStyleElement type="secondRowStripe" dxfId="123"/>
    </tableStyle>
  </tableStyles>
  <colors>
    <mruColors>
      <color rgb="FFA3FFA3"/>
      <color rgb="FFFFFF7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microsoft.com/office/2017/06/relationships/rdRichValueStructure" Target="richData/rdrichvaluestructure.xml"/><Relationship Id="rId8" Type="http://schemas.openxmlformats.org/officeDocument/2006/relationships/worksheet" Target="worksheets/sheet8.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Z14" headerRowCount="0">
  <tableColumns count="2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s>
  <tableStyleInfo name="GPC Send Document Test Scenario-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CLEOBrand">
      <a:dk1>
        <a:srgbClr val="000000"/>
      </a:dk1>
      <a:lt1>
        <a:srgbClr val="FFFFFF"/>
      </a:lt1>
      <a:dk2>
        <a:srgbClr val="181732"/>
      </a:dk2>
      <a:lt2>
        <a:srgbClr val="EEEBEA"/>
      </a:lt2>
      <a:accent1>
        <a:srgbClr val="706F6F"/>
      </a:accent1>
      <a:accent2>
        <a:srgbClr val="B02275"/>
      </a:accent2>
      <a:accent3>
        <a:srgbClr val="E6C5D8"/>
      </a:accent3>
      <a:accent4>
        <a:srgbClr val="54329E"/>
      </a:accent4>
      <a:accent5>
        <a:srgbClr val="A594F9"/>
      </a:accent5>
      <a:accent6>
        <a:srgbClr val="1A1832"/>
      </a:accent6>
      <a:hlink>
        <a:srgbClr val="1155CC"/>
      </a:hlink>
      <a:folHlink>
        <a:srgbClr val="1155CC"/>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hyperlink" Target="https://connectedhs.atlassian.net/browse/FEM-36187"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cleosystems.atlassian.net/browse/UE-461" TargetMode="External"/><Relationship Id="rId2" Type="http://schemas.openxmlformats.org/officeDocument/2006/relationships/hyperlink" Target="https://digital.nhs.uk/developer/api-catalogue/electronic-prescription-service-fhir" TargetMode="External"/><Relationship Id="rId1" Type="http://schemas.openxmlformats.org/officeDocument/2006/relationships/hyperlink" Target="https://digital.nhs.uk/developer/api-catalogue/electronic-prescription-service-fhir" TargetMode="External"/><Relationship Id="rId4" Type="http://schemas.openxmlformats.org/officeDocument/2006/relationships/hyperlink" Target="https://cleosystems.atlassian.net/browse/UE-462"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evahealthtech.atlassian.net/browse/EJ-1664" TargetMode="External"/><Relationship Id="rId2" Type="http://schemas.openxmlformats.org/officeDocument/2006/relationships/hyperlink" Target="https://evahealthtech.atlassian.net/jira/software/c/projects/EJ/boards/80?modal=detail&amp;selectedIssue=EJ-1274" TargetMode="External"/><Relationship Id="rId1" Type="http://schemas.openxmlformats.org/officeDocument/2006/relationships/hyperlink" Target="https://evahealthtech.atlassian.net/jira/software/c/projects/EJ/boards/80?modal=detail&amp;selectedIssue=EJ-1272" TargetMode="External"/><Relationship Id="rId4" Type="http://schemas.openxmlformats.org/officeDocument/2006/relationships/hyperlink" Target="https://evahealthtech.atlassian.net/browse/EJ-1667"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evahealthtech.atlassian.net/browse/EJ-1319" TargetMode="External"/><Relationship Id="rId3" Type="http://schemas.openxmlformats.org/officeDocument/2006/relationships/hyperlink" Target="https://evahealthtech.atlassian.net/browse/EJ-1324" TargetMode="External"/><Relationship Id="rId7" Type="http://schemas.openxmlformats.org/officeDocument/2006/relationships/hyperlink" Target="https://evahealthtech.atlassian.net/browse/EJ-1330" TargetMode="External"/><Relationship Id="rId2" Type="http://schemas.openxmlformats.org/officeDocument/2006/relationships/hyperlink" Target="https://evahealthtech.atlassian.net/browse/EJ-1325" TargetMode="External"/><Relationship Id="rId1" Type="http://schemas.openxmlformats.org/officeDocument/2006/relationships/hyperlink" Target="https://evahealthtech.atlassian.net/browse/EJ-1325" TargetMode="External"/><Relationship Id="rId6" Type="http://schemas.openxmlformats.org/officeDocument/2006/relationships/hyperlink" Target="https://evahealthtech.atlassian.net/browse/EJ-1323" TargetMode="External"/><Relationship Id="rId5" Type="http://schemas.openxmlformats.org/officeDocument/2006/relationships/hyperlink" Target="https://evahealthtech.atlassian.net/browse/EJ-1324" TargetMode="External"/><Relationship Id="rId10" Type="http://schemas.openxmlformats.org/officeDocument/2006/relationships/hyperlink" Target="https://evahealthtech.atlassian.net/browse/EJ-1320" TargetMode="External"/><Relationship Id="rId4" Type="http://schemas.openxmlformats.org/officeDocument/2006/relationships/hyperlink" Target="https://evahealthtech.atlassian.net/browse/EJ-1324" TargetMode="External"/><Relationship Id="rId9" Type="http://schemas.openxmlformats.org/officeDocument/2006/relationships/hyperlink" Target="https://evahealthtech.atlassian.net/browse/EJ-1319"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fhir.nhs.uk/CodeSystem/medicationrequest-endorsement" TargetMode="External"/><Relationship Id="rId13" Type="http://schemas.openxmlformats.org/officeDocument/2006/relationships/hyperlink" Target="https://fhir.nhs.uk/StructureDefinition/Extension-DM-PrescriptionId" TargetMode="External"/><Relationship Id="rId18" Type="http://schemas.openxmlformats.org/officeDocument/2006/relationships/hyperlink" Target="http://snomed.info/sct" TargetMode="External"/><Relationship Id="rId26" Type="http://schemas.openxmlformats.org/officeDocument/2006/relationships/hyperlink" Target="https://fhir.nhs.uk/Id/nhs-number" TargetMode="External"/><Relationship Id="rId3" Type="http://schemas.openxmlformats.org/officeDocument/2006/relationships/hyperlink" Target="https://fhir.nhs.uk/StructureDefinition/Extension-EPS-DispensingInformation" TargetMode="External"/><Relationship Id="rId21" Type="http://schemas.openxmlformats.org/officeDocument/2006/relationships/hyperlink" Target="https://fhir.nhs.uk/CodeSystem/dispensing-site-preference" TargetMode="External"/><Relationship Id="rId7" Type="http://schemas.openxmlformats.org/officeDocument/2006/relationships/hyperlink" Target="https://fhir.nhs.uk/StructureDefinition/Extension-DM-PrescriptionEndorsement" TargetMode="External"/><Relationship Id="rId12" Type="http://schemas.openxmlformats.org/officeDocument/2006/relationships/hyperlink" Target="https://fhir.nhs.uk/Id/prescription-order-number" TargetMode="External"/><Relationship Id="rId17" Type="http://schemas.openxmlformats.org/officeDocument/2006/relationships/hyperlink" Target="http://snomed.info/sct" TargetMode="External"/><Relationship Id="rId25" Type="http://schemas.openxmlformats.org/officeDocument/2006/relationships/hyperlink" Target="http://snomed.info/sct" TargetMode="External"/><Relationship Id="rId2" Type="http://schemas.openxmlformats.org/officeDocument/2006/relationships/hyperlink" Target="https://fhir.nhs.uk/StructureDefinition/Extension-DM-ResponsiblePractitioner" TargetMode="External"/><Relationship Id="rId16" Type="http://schemas.openxmlformats.org/officeDocument/2006/relationships/hyperlink" Target="http://snomed.info/sct" TargetMode="External"/><Relationship Id="rId20" Type="http://schemas.openxmlformats.org/officeDocument/2006/relationships/hyperlink" Target="https://fhir.nhs.uk/StructureDefinition/Extension-DM-PerformerSiteType" TargetMode="External"/><Relationship Id="rId29" Type="http://schemas.openxmlformats.org/officeDocument/2006/relationships/hyperlink" Target="https://fhir.nhs.uk/Id/ods-organization-code" TargetMode="External"/><Relationship Id="rId1" Type="http://schemas.openxmlformats.org/officeDocument/2006/relationships/hyperlink" Target="https://fhir.nhs.uk/CodeSystem/medicationrequest-controlled-drug" TargetMode="External"/><Relationship Id="rId6" Type="http://schemas.openxmlformats.org/officeDocument/2006/relationships/hyperlink" Target="https://fhir.nhs.uk/CodeSystem/prescription-type" TargetMode="External"/><Relationship Id="rId11" Type="http://schemas.openxmlformats.org/officeDocument/2006/relationships/hyperlink" Target="http://snomed.info/sct" TargetMode="External"/><Relationship Id="rId24" Type="http://schemas.openxmlformats.org/officeDocument/2006/relationships/hyperlink" Target="https://fhir.nhs.uk/Id/ods-organization-code" TargetMode="External"/><Relationship Id="rId32" Type="http://schemas.openxmlformats.org/officeDocument/2006/relationships/hyperlink" Target="https://fhir.nhs.uk/CodeSystem/NHSDigital-SDS-JobRoleCode" TargetMode="External"/><Relationship Id="rId5" Type="http://schemas.openxmlformats.org/officeDocument/2006/relationships/hyperlink" Target="https://fhir.nhs.uk/StructureDefinition/Extension-DM-PrescriptionType" TargetMode="External"/><Relationship Id="rId15" Type="http://schemas.openxmlformats.org/officeDocument/2006/relationships/hyperlink" Target="http://terminology.hl7.org/CodeSystem/medicationrequest-course-of-therapy" TargetMode="External"/><Relationship Id="rId23" Type="http://schemas.openxmlformats.org/officeDocument/2006/relationships/hyperlink" Target="https://fhir.nhs.uk/Id/ods-organization-code" TargetMode="External"/><Relationship Id="rId28" Type="http://schemas.openxmlformats.org/officeDocument/2006/relationships/hyperlink" Target="https://fhir.nhs.uk/Id/ods-organization-code" TargetMode="External"/><Relationship Id="rId10" Type="http://schemas.openxmlformats.org/officeDocument/2006/relationships/hyperlink" Target="http://terminology.hl7.org/CodeSystem/medicationrequest-category" TargetMode="External"/><Relationship Id="rId19" Type="http://schemas.openxmlformats.org/officeDocument/2006/relationships/hyperlink" Target="http://snomed.info/sct" TargetMode="External"/><Relationship Id="rId31" Type="http://schemas.openxmlformats.org/officeDocument/2006/relationships/hyperlink" Target="https://fhir.nhs.uk/Id/sds-role-profile-id" TargetMode="External"/><Relationship Id="rId4" Type="http://schemas.openxmlformats.org/officeDocument/2006/relationships/hyperlink" Target="https://fhir.hl7.org.uk/StructureDefinition/Extension-UKCore-MedicationRepeatInformation" TargetMode="External"/><Relationship Id="rId9" Type="http://schemas.openxmlformats.org/officeDocument/2006/relationships/hyperlink" Target="https://fhir.nhs.uk/Id/prescription-order-item-number" TargetMode="External"/><Relationship Id="rId14" Type="http://schemas.openxmlformats.org/officeDocument/2006/relationships/hyperlink" Target="https://fhir.nhs.uk/Id/prescription" TargetMode="External"/><Relationship Id="rId22" Type="http://schemas.openxmlformats.org/officeDocument/2006/relationships/hyperlink" Target="http://unitsofmeasure.org/" TargetMode="External"/><Relationship Id="rId27" Type="http://schemas.openxmlformats.org/officeDocument/2006/relationships/hyperlink" Target="https://fhir.nhs.uk/Id/ods-organization-code" TargetMode="External"/><Relationship Id="rId30" Type="http://schemas.openxmlformats.org/officeDocument/2006/relationships/hyperlink" Target="https://fhir.nhs.uk/Id/nhs-number"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fhir.nhs.uk/StructureDefinition/Extension-DM-PrescriptionId" TargetMode="External"/><Relationship Id="rId13" Type="http://schemas.openxmlformats.org/officeDocument/2006/relationships/hyperlink" Target="http://snomed.info/sct" TargetMode="External"/><Relationship Id="rId18" Type="http://schemas.openxmlformats.org/officeDocument/2006/relationships/hyperlink" Target="https://fhir.nhs.uk/Id/ods-organization-code" TargetMode="External"/><Relationship Id="rId26" Type="http://schemas.openxmlformats.org/officeDocument/2006/relationships/hyperlink" Target="https://fhir.nhs.uk/Id/sds-role-profile-id" TargetMode="External"/><Relationship Id="rId3" Type="http://schemas.openxmlformats.org/officeDocument/2006/relationships/hyperlink" Target="https://fhir.nhs.uk/StructureDefinition/Extension-DM-ResponsiblePractitioner" TargetMode="External"/><Relationship Id="rId21" Type="http://schemas.openxmlformats.org/officeDocument/2006/relationships/hyperlink" Target="https://fhir.nhs.uk/Id/nhs-number" TargetMode="External"/><Relationship Id="rId7" Type="http://schemas.openxmlformats.org/officeDocument/2006/relationships/hyperlink" Target="https://fhir.nhs.uk/Id/prescription-order-number" TargetMode="External"/><Relationship Id="rId12" Type="http://schemas.openxmlformats.org/officeDocument/2006/relationships/hyperlink" Target="http://snomed.info/sct" TargetMode="External"/><Relationship Id="rId17" Type="http://schemas.openxmlformats.org/officeDocument/2006/relationships/hyperlink" Target="http://unitsofmeasure.org/" TargetMode="External"/><Relationship Id="rId25" Type="http://schemas.openxmlformats.org/officeDocument/2006/relationships/hyperlink" Target="https://fhir.nhs.uk/Id/nhs-number" TargetMode="External"/><Relationship Id="rId2" Type="http://schemas.openxmlformats.org/officeDocument/2006/relationships/hyperlink" Target="https://fhir.nhs.uk/CodeSystem/medicationrequest-status-reason" TargetMode="External"/><Relationship Id="rId16" Type="http://schemas.openxmlformats.org/officeDocument/2006/relationships/hyperlink" Target="https://fhir.nhs.uk/CodeSystem/dispensing-site-preference" TargetMode="External"/><Relationship Id="rId20" Type="http://schemas.openxmlformats.org/officeDocument/2006/relationships/hyperlink" Target="http://snomed.info/sct" TargetMode="External"/><Relationship Id="rId1" Type="http://schemas.openxmlformats.org/officeDocument/2006/relationships/hyperlink" Target="https://fhir.nhs.uk/CodeSystem/message-event" TargetMode="External"/><Relationship Id="rId6" Type="http://schemas.openxmlformats.org/officeDocument/2006/relationships/hyperlink" Target="http://snomed.info/sct" TargetMode="External"/><Relationship Id="rId11" Type="http://schemas.openxmlformats.org/officeDocument/2006/relationships/hyperlink" Target="http://snomed.info/sct" TargetMode="External"/><Relationship Id="rId24" Type="http://schemas.openxmlformats.org/officeDocument/2006/relationships/hyperlink" Target="https://fhir.nhs.uk/Id/ods-organization-code" TargetMode="External"/><Relationship Id="rId5" Type="http://schemas.openxmlformats.org/officeDocument/2006/relationships/hyperlink" Target="http://terminology.hl7.org/CodeSystem/medicationrequest-category" TargetMode="External"/><Relationship Id="rId15" Type="http://schemas.openxmlformats.org/officeDocument/2006/relationships/hyperlink" Target="https://fhir.nhs.uk/StructureDefinition/Extension-DM-PerformerSiteType" TargetMode="External"/><Relationship Id="rId23" Type="http://schemas.openxmlformats.org/officeDocument/2006/relationships/hyperlink" Target="https://fhir.nhs.uk/Id/ods-organization-code" TargetMode="External"/><Relationship Id="rId10" Type="http://schemas.openxmlformats.org/officeDocument/2006/relationships/hyperlink" Target="http://terminology.hl7.org/CodeSystem/medicationrequest-course-of-therapy" TargetMode="External"/><Relationship Id="rId19" Type="http://schemas.openxmlformats.org/officeDocument/2006/relationships/hyperlink" Target="https://fhir.nhs.uk/Id/ods-organization-code" TargetMode="External"/><Relationship Id="rId4" Type="http://schemas.openxmlformats.org/officeDocument/2006/relationships/hyperlink" Target="https://fhir.nhs.uk/Id/prescription-order-item-number" TargetMode="External"/><Relationship Id="rId9" Type="http://schemas.openxmlformats.org/officeDocument/2006/relationships/hyperlink" Target="https://fhir.nhs.uk/Id/prescription" TargetMode="External"/><Relationship Id="rId14" Type="http://schemas.openxmlformats.org/officeDocument/2006/relationships/hyperlink" Target="http://snomed.info/sct" TargetMode="External"/><Relationship Id="rId22" Type="http://schemas.openxmlformats.org/officeDocument/2006/relationships/hyperlink" Target="https://fhir.nhs.uk/Id/ods-organization-code" TargetMode="External"/><Relationship Id="rId27" Type="http://schemas.openxmlformats.org/officeDocument/2006/relationships/hyperlink" Target="https://fhir.nhs.uk/CodeSystem/NHSDigital-SDS-JobRoleCode"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orange.testlab.nhs.uk/demonstrator-v0.html" TargetMode="External"/></Relationships>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Y17"/>
  <sheetViews>
    <sheetView topLeftCell="A6" workbookViewId="0">
      <selection activeCell="H20" sqref="H20"/>
    </sheetView>
  </sheetViews>
  <sheetFormatPr defaultColWidth="12.5703125" defaultRowHeight="15" customHeight="1"/>
  <cols>
    <col min="1" max="1" width="15.7109375" style="119" customWidth="1"/>
    <col min="2" max="2" width="21.42578125" style="119" customWidth="1"/>
    <col min="3" max="3" width="12.5703125" style="119" customWidth="1"/>
    <col min="4" max="4" width="13.5703125" style="119" customWidth="1"/>
    <col min="5" max="16" width="5.7109375" style="119" customWidth="1"/>
    <col min="17" max="27" width="4.140625" style="119" customWidth="1"/>
    <col min="28" max="16384" width="12.5703125" style="119"/>
  </cols>
  <sheetData>
    <row r="2" spans="1:25" ht="30" customHeight="1">
      <c r="A2" s="138" t="s">
        <v>0</v>
      </c>
      <c r="B2" s="136"/>
      <c r="C2" s="136"/>
      <c r="D2" s="136"/>
      <c r="E2" s="136"/>
      <c r="F2" s="136"/>
      <c r="G2" s="136"/>
      <c r="H2" s="136"/>
      <c r="I2" s="136"/>
      <c r="J2" s="137"/>
      <c r="K2" s="137"/>
      <c r="L2" s="137"/>
      <c r="M2" s="137"/>
      <c r="N2" s="137"/>
      <c r="O2" s="137"/>
      <c r="P2" s="137"/>
      <c r="Q2" s="118"/>
      <c r="R2" s="252" t="e" vm="1">
        <v>#VALUE!</v>
      </c>
      <c r="S2" s="252"/>
      <c r="T2" s="252"/>
      <c r="U2" s="252"/>
      <c r="V2" s="252"/>
      <c r="W2" s="252"/>
      <c r="X2" s="252"/>
      <c r="Y2" s="252"/>
    </row>
    <row r="3" spans="1:25" ht="30" customHeight="1">
      <c r="A3" s="138" t="s">
        <v>5455</v>
      </c>
      <c r="B3" s="136"/>
      <c r="C3" s="136"/>
      <c r="D3" s="136"/>
      <c r="E3" s="136"/>
      <c r="F3" s="136"/>
      <c r="G3" s="136"/>
      <c r="H3" s="136"/>
      <c r="I3" s="136"/>
      <c r="J3" s="137"/>
      <c r="K3" s="137"/>
      <c r="L3" s="137"/>
      <c r="M3" s="137"/>
      <c r="N3" s="137"/>
      <c r="O3" s="137"/>
      <c r="P3" s="137"/>
      <c r="Q3" s="118"/>
      <c r="R3" s="252"/>
      <c r="S3" s="252"/>
      <c r="T3" s="252"/>
      <c r="U3" s="252"/>
      <c r="V3" s="252"/>
      <c r="W3" s="252"/>
      <c r="X3" s="252"/>
      <c r="Y3" s="252"/>
    </row>
    <row r="4" spans="1:25" s="121" customFormat="1" ht="15.75" customHeight="1">
      <c r="A4" s="139" t="s">
        <v>1</v>
      </c>
      <c r="B4" s="253" t="s">
        <v>2</v>
      </c>
      <c r="C4" s="254"/>
      <c r="D4" s="254"/>
      <c r="E4" s="254"/>
      <c r="F4" s="254"/>
      <c r="G4" s="254"/>
      <c r="H4" s="254"/>
      <c r="I4" s="254"/>
      <c r="J4" s="254"/>
      <c r="K4" s="254"/>
      <c r="L4" s="254"/>
      <c r="M4" s="254"/>
      <c r="N4" s="254"/>
      <c r="O4" s="254"/>
      <c r="P4" s="120"/>
      <c r="Q4" s="120"/>
      <c r="R4" s="120"/>
      <c r="S4" s="120"/>
      <c r="T4" s="120"/>
      <c r="U4" s="120"/>
      <c r="V4" s="120"/>
      <c r="W4" s="120"/>
      <c r="X4" s="120"/>
      <c r="Y4" s="120"/>
    </row>
    <row r="5" spans="1:25" s="121" customFormat="1" ht="15.75" customHeight="1">
      <c r="A5" s="139" t="s">
        <v>3</v>
      </c>
      <c r="B5" s="120"/>
      <c r="C5" s="120"/>
      <c r="D5" s="120"/>
      <c r="E5" s="120"/>
      <c r="F5" s="120"/>
      <c r="G5" s="120"/>
      <c r="H5" s="120"/>
      <c r="I5" s="120"/>
      <c r="J5" s="120"/>
      <c r="K5" s="120"/>
      <c r="L5" s="120"/>
      <c r="M5" s="120"/>
      <c r="N5" s="120"/>
      <c r="O5" s="120"/>
      <c r="P5" s="120"/>
      <c r="Q5" s="120"/>
      <c r="R5" s="120"/>
      <c r="S5" s="120"/>
      <c r="T5" s="120"/>
      <c r="U5" s="120"/>
      <c r="V5" s="120"/>
      <c r="W5" s="120"/>
      <c r="X5" s="120"/>
      <c r="Y5" s="120"/>
    </row>
    <row r="6" spans="1:25" s="121" customFormat="1" ht="15.75" customHeight="1">
      <c r="A6" s="139" t="s">
        <v>4</v>
      </c>
      <c r="B6" s="253" t="s">
        <v>5</v>
      </c>
      <c r="C6" s="254"/>
      <c r="D6" s="254"/>
      <c r="E6" s="254"/>
      <c r="F6" s="254"/>
      <c r="G6" s="254"/>
      <c r="H6" s="254"/>
      <c r="I6" s="254"/>
      <c r="J6" s="254"/>
      <c r="K6" s="254"/>
      <c r="L6" s="254"/>
      <c r="M6" s="254"/>
      <c r="N6" s="254"/>
      <c r="O6" s="254"/>
      <c r="P6" s="120"/>
      <c r="Q6" s="120"/>
      <c r="R6" s="120"/>
      <c r="S6" s="120"/>
      <c r="T6" s="120"/>
      <c r="U6" s="120"/>
      <c r="V6" s="120"/>
      <c r="W6" s="120"/>
      <c r="X6" s="120"/>
      <c r="Y6" s="120"/>
    </row>
    <row r="7" spans="1:25" s="121" customFormat="1" ht="15.75" customHeight="1">
      <c r="A7" s="120"/>
      <c r="B7" s="120"/>
      <c r="C7" s="120"/>
      <c r="D7" s="120"/>
      <c r="E7" s="120"/>
      <c r="F7" s="120"/>
      <c r="G7" s="120"/>
      <c r="H7" s="120"/>
      <c r="I7" s="120"/>
      <c r="J7" s="120"/>
      <c r="K7" s="120"/>
      <c r="L7" s="120"/>
      <c r="M7" s="120"/>
      <c r="N7" s="120"/>
      <c r="O7" s="120"/>
      <c r="P7" s="120"/>
      <c r="Q7" s="120"/>
      <c r="R7" s="120"/>
      <c r="S7" s="120"/>
      <c r="T7" s="120"/>
      <c r="U7" s="120"/>
      <c r="V7" s="120"/>
      <c r="W7" s="120"/>
      <c r="X7" s="120"/>
      <c r="Y7" s="120"/>
    </row>
    <row r="8" spans="1:25" s="121" customFormat="1" ht="15.75" customHeight="1">
      <c r="A8" s="120"/>
      <c r="B8" s="120"/>
      <c r="C8" s="120"/>
      <c r="D8" s="120"/>
      <c r="E8" s="120"/>
      <c r="F8" s="120"/>
      <c r="G8" s="120"/>
      <c r="H8" s="120"/>
      <c r="I8" s="120"/>
      <c r="J8" s="120"/>
      <c r="K8" s="120"/>
      <c r="L8" s="120"/>
      <c r="M8" s="120"/>
      <c r="N8" s="120"/>
      <c r="O8" s="120"/>
      <c r="P8" s="120"/>
      <c r="Q8" s="120"/>
      <c r="R8" s="120"/>
      <c r="S8" s="120"/>
      <c r="T8" s="120"/>
      <c r="U8" s="120"/>
      <c r="V8" s="120"/>
      <c r="W8" s="120"/>
      <c r="X8" s="120"/>
      <c r="Y8" s="120"/>
    </row>
    <row r="9" spans="1:25" s="121" customFormat="1" ht="15.75" customHeight="1">
      <c r="A9" s="120"/>
      <c r="B9" s="255" t="s">
        <v>6</v>
      </c>
      <c r="C9" s="254"/>
      <c r="D9" s="254"/>
      <c r="E9" s="254"/>
      <c r="F9" s="254"/>
      <c r="G9" s="254"/>
      <c r="H9" s="254"/>
      <c r="I9" s="254"/>
      <c r="J9" s="254"/>
      <c r="K9" s="254"/>
      <c r="L9" s="254"/>
      <c r="M9" s="254"/>
      <c r="N9" s="254"/>
      <c r="O9" s="254"/>
      <c r="P9" s="120"/>
      <c r="Q9" s="120"/>
      <c r="R9" s="120"/>
      <c r="S9" s="120"/>
      <c r="T9" s="120"/>
      <c r="U9" s="120"/>
      <c r="V9" s="120"/>
      <c r="W9" s="120"/>
      <c r="X9" s="120"/>
      <c r="Y9" s="120"/>
    </row>
    <row r="10" spans="1:25" s="121" customFormat="1" ht="15.75" customHeight="1">
      <c r="A10" s="120"/>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row>
    <row r="11" spans="1:25" s="121" customFormat="1" ht="213" customHeight="1">
      <c r="A11" s="120"/>
      <c r="B11" s="140" t="s">
        <v>7</v>
      </c>
      <c r="C11" s="141" t="s">
        <v>8</v>
      </c>
      <c r="D11" s="142" t="s">
        <v>9</v>
      </c>
      <c r="E11" s="143" t="s">
        <v>10</v>
      </c>
      <c r="F11" s="143" t="s">
        <v>11</v>
      </c>
      <c r="G11" s="143" t="s">
        <v>5461</v>
      </c>
      <c r="H11" s="143" t="s">
        <v>5467</v>
      </c>
      <c r="I11" s="143" t="s">
        <v>12</v>
      </c>
      <c r="J11" s="143" t="s">
        <v>13</v>
      </c>
      <c r="K11" s="143" t="s">
        <v>14</v>
      </c>
      <c r="L11" s="143" t="s">
        <v>15</v>
      </c>
      <c r="M11" s="143" t="s">
        <v>16</v>
      </c>
      <c r="N11" s="143" t="s">
        <v>17</v>
      </c>
      <c r="O11" s="142"/>
      <c r="P11" s="142"/>
      <c r="Q11" s="120"/>
      <c r="R11" s="120"/>
      <c r="S11" s="120"/>
      <c r="T11" s="120"/>
      <c r="U11" s="120"/>
      <c r="V11" s="120"/>
      <c r="W11" s="120"/>
      <c r="X11" s="120"/>
      <c r="Y11" s="120"/>
    </row>
    <row r="12" spans="1:25" s="121" customFormat="1" ht="15.75" customHeight="1">
      <c r="A12" s="120"/>
      <c r="B12" s="256" t="s">
        <v>18</v>
      </c>
      <c r="C12" s="257"/>
      <c r="D12" s="258"/>
      <c r="E12" s="128">
        <f t="shared" ref="E12:P12" si="0">IF(OR(COUNTIF(E14:E17, "N/A"),COUNTIF(E14:E17, "X")), 1, 0)</f>
        <v>1</v>
      </c>
      <c r="F12" s="128">
        <f t="shared" si="0"/>
        <v>1</v>
      </c>
      <c r="G12" s="128">
        <f t="shared" si="0"/>
        <v>1</v>
      </c>
      <c r="H12" s="128">
        <f t="shared" si="0"/>
        <v>1</v>
      </c>
      <c r="I12" s="128">
        <f t="shared" si="0"/>
        <v>1</v>
      </c>
      <c r="J12" s="128">
        <f t="shared" si="0"/>
        <v>1</v>
      </c>
      <c r="K12" s="128">
        <f t="shared" si="0"/>
        <v>1</v>
      </c>
      <c r="L12" s="128">
        <f t="shared" si="0"/>
        <v>1</v>
      </c>
      <c r="M12" s="128">
        <f t="shared" si="0"/>
        <v>1</v>
      </c>
      <c r="N12" s="128">
        <f t="shared" si="0"/>
        <v>1</v>
      </c>
      <c r="O12" s="128">
        <f t="shared" si="0"/>
        <v>1</v>
      </c>
      <c r="P12" s="132">
        <f t="shared" si="0"/>
        <v>1</v>
      </c>
      <c r="Q12" s="120"/>
      <c r="R12" s="120"/>
      <c r="S12" s="120"/>
      <c r="T12" s="120"/>
      <c r="U12" s="120"/>
      <c r="V12" s="120"/>
      <c r="W12" s="120"/>
      <c r="X12" s="120"/>
      <c r="Y12" s="120"/>
    </row>
    <row r="13" spans="1:25" s="121" customFormat="1" ht="15.75" customHeight="1">
      <c r="A13" s="120"/>
      <c r="B13" s="249" t="s">
        <v>19</v>
      </c>
      <c r="C13" s="250"/>
      <c r="D13" s="251"/>
      <c r="E13" s="129" t="str">
        <f>IF(COUNTIF(E14:E17, "=N/A"), "N/A", VLOOKUP(E11, Stats!$B$4:'Stats'!$H$16, 7, FALSE))</f>
        <v>N/A</v>
      </c>
      <c r="F13" s="129" t="str">
        <f>IF(COUNTIF(F14:F17, "=N/A"), "N/A", VLOOKUP(F11, Stats!$B$4:'Stats'!$H$16, 7, FALSE))</f>
        <v>N/A</v>
      </c>
      <c r="G13" s="129" t="str">
        <f>IF(COUNTIF(G14:G17, "=N/A"), "N/A", VLOOKUP(G11, Stats!$B$4:'Stats'!$H$16, 7, FALSE))</f>
        <v>N/A</v>
      </c>
      <c r="H13" s="129" t="str">
        <f>IF(COUNTIF(H14:H17, "=N/A"), "N/A", VLOOKUP(H11, Stats!$B$4:'Stats'!$H$16, 7, FALSE))</f>
        <v>N/A</v>
      </c>
      <c r="I13" s="129" t="str">
        <f>IF(COUNTIF(I14:I17, "=N/A"), "N/A", VLOOKUP(I11, Stats!$B$4:'Stats'!$H$16, 7, FALSE))</f>
        <v>N/A</v>
      </c>
      <c r="J13" s="129" t="str">
        <f>IF(COUNTIF(J14:J17, "=N/A"), "N/A", VLOOKUP(J11, Stats!$B$4:'Stats'!$H$16, 7, FALSE))</f>
        <v>N/A</v>
      </c>
      <c r="K13" s="129" t="str">
        <f>IF(COUNTIF(K14:K17, "=N/A"), "N/A", VLOOKUP(K11, Stats!$B$4:'Stats'!$H$16, 7, FALSE))</f>
        <v>N/A</v>
      </c>
      <c r="L13" s="129" t="str">
        <f>IF(COUNTIF(L14:L17, "=N/A"), "N/A", VLOOKUP(L11, Stats!$B$4:'Stats'!$H$16, 7, FALSE))</f>
        <v>N/A</v>
      </c>
      <c r="M13" s="129" t="str">
        <f>IF(COUNTIF(M14:M17, "=N/A"), "N/A", VLOOKUP(M11, Stats!$B$4:'Stats'!$H$16, 7, FALSE))</f>
        <v>N/A</v>
      </c>
      <c r="N13" s="129" t="str">
        <f>IF(COUNTIF(N14:N17, "=N/A"), "N/A", VLOOKUP(N11, Stats!$B$4:'Stats'!$H$16, 7, FALSE))</f>
        <v>N/A</v>
      </c>
      <c r="O13" s="129" t="str">
        <f>IF(COUNTIF(O14:O17, "=N/A"), "N/A", VLOOKUP(O11, Stats!$B$4:'Stats'!$H$16, 7, FALSE))</f>
        <v>N/A</v>
      </c>
      <c r="P13" s="133" t="str">
        <f>IF(COUNTIF(P14:P17, "=N/A"), "N/A", VLOOKUP(P11, Stats!$B$4:'Stats'!$H$16, 7, FALSE))</f>
        <v>N/A</v>
      </c>
      <c r="Q13" s="123"/>
      <c r="R13" s="123"/>
      <c r="S13" s="123"/>
      <c r="T13" s="123"/>
      <c r="U13" s="123"/>
      <c r="V13" s="123"/>
      <c r="W13" s="123"/>
      <c r="X13" s="123"/>
      <c r="Y13" s="123"/>
    </row>
    <row r="14" spans="1:25" s="121" customFormat="1" ht="15.75" customHeight="1">
      <c r="A14" s="120"/>
      <c r="B14" s="124" t="s">
        <v>21</v>
      </c>
      <c r="C14" s="125"/>
      <c r="D14" s="242"/>
      <c r="E14" s="130" t="s">
        <v>20</v>
      </c>
      <c r="F14" s="130" t="s">
        <v>20</v>
      </c>
      <c r="G14" s="130" t="s">
        <v>20</v>
      </c>
      <c r="H14" s="130" t="s">
        <v>20</v>
      </c>
      <c r="I14" s="130" t="s">
        <v>20</v>
      </c>
      <c r="J14" s="130" t="s">
        <v>20</v>
      </c>
      <c r="K14" s="130" t="s">
        <v>20</v>
      </c>
      <c r="L14" s="130" t="s">
        <v>20</v>
      </c>
      <c r="M14" s="130" t="s">
        <v>20</v>
      </c>
      <c r="N14" s="130" t="s">
        <v>20</v>
      </c>
      <c r="O14" s="130" t="s">
        <v>20</v>
      </c>
      <c r="P14" s="134" t="s">
        <v>20</v>
      </c>
      <c r="Q14" s="120"/>
      <c r="R14" s="120"/>
      <c r="S14" s="120"/>
      <c r="T14" s="120"/>
      <c r="U14" s="120"/>
      <c r="V14" s="120"/>
      <c r="W14" s="120"/>
      <c r="X14" s="120"/>
      <c r="Y14" s="120"/>
    </row>
    <row r="15" spans="1:25" s="121" customFormat="1" ht="15.75" customHeight="1">
      <c r="A15" s="120"/>
      <c r="B15" s="124" t="s">
        <v>22</v>
      </c>
      <c r="C15" s="125"/>
      <c r="D15" s="243"/>
      <c r="E15" s="130" t="s">
        <v>20</v>
      </c>
      <c r="F15" s="130" t="s">
        <v>20</v>
      </c>
      <c r="G15" s="130" t="s">
        <v>20</v>
      </c>
      <c r="H15" s="130" t="s">
        <v>20</v>
      </c>
      <c r="I15" s="130" t="s">
        <v>20</v>
      </c>
      <c r="J15" s="130" t="s">
        <v>20</v>
      </c>
      <c r="K15" s="130" t="s">
        <v>20</v>
      </c>
      <c r="L15" s="130" t="s">
        <v>20</v>
      </c>
      <c r="M15" s="130" t="s">
        <v>20</v>
      </c>
      <c r="N15" s="130" t="s">
        <v>20</v>
      </c>
      <c r="O15" s="130" t="s">
        <v>20</v>
      </c>
      <c r="P15" s="134" t="s">
        <v>20</v>
      </c>
      <c r="Q15" s="120"/>
      <c r="R15" s="120"/>
      <c r="S15" s="120"/>
      <c r="T15" s="120"/>
      <c r="U15" s="120"/>
      <c r="V15" s="120"/>
      <c r="W15" s="120"/>
      <c r="X15" s="120"/>
      <c r="Y15" s="120"/>
    </row>
    <row r="16" spans="1:25" s="121" customFormat="1" ht="15.75" customHeight="1">
      <c r="A16" s="120"/>
      <c r="B16" s="124" t="s">
        <v>23</v>
      </c>
      <c r="C16" s="125"/>
      <c r="D16" s="242"/>
      <c r="E16" s="130" t="s">
        <v>20</v>
      </c>
      <c r="F16" s="130" t="s">
        <v>20</v>
      </c>
      <c r="G16" s="130" t="s">
        <v>20</v>
      </c>
      <c r="H16" s="130" t="s">
        <v>20</v>
      </c>
      <c r="I16" s="130" t="s">
        <v>20</v>
      </c>
      <c r="J16" s="130" t="s">
        <v>20</v>
      </c>
      <c r="K16" s="130" t="s">
        <v>20</v>
      </c>
      <c r="L16" s="130" t="s">
        <v>20</v>
      </c>
      <c r="M16" s="130" t="s">
        <v>20</v>
      </c>
      <c r="N16" s="130" t="s">
        <v>20</v>
      </c>
      <c r="O16" s="130" t="s">
        <v>20</v>
      </c>
      <c r="P16" s="134" t="s">
        <v>20</v>
      </c>
      <c r="Q16" s="120"/>
      <c r="R16" s="120"/>
      <c r="S16" s="120"/>
      <c r="T16" s="120"/>
      <c r="U16" s="120"/>
      <c r="V16" s="120"/>
      <c r="W16" s="120"/>
      <c r="X16" s="120"/>
      <c r="Y16" s="120"/>
    </row>
    <row r="17" spans="2:16" s="121" customFormat="1" ht="15.75" customHeight="1">
      <c r="B17" s="126" t="s">
        <v>5505</v>
      </c>
      <c r="C17" s="127"/>
      <c r="D17" s="244"/>
      <c r="E17" s="131" t="s">
        <v>5506</v>
      </c>
      <c r="F17" s="131" t="s">
        <v>20</v>
      </c>
      <c r="G17" s="131" t="s">
        <v>20</v>
      </c>
      <c r="H17" s="131" t="s">
        <v>20</v>
      </c>
      <c r="I17" s="131" t="s">
        <v>20</v>
      </c>
      <c r="J17" s="131" t="s">
        <v>5506</v>
      </c>
      <c r="K17" s="131" t="s">
        <v>20</v>
      </c>
      <c r="L17" s="131" t="s">
        <v>20</v>
      </c>
      <c r="M17" s="131" t="s">
        <v>20</v>
      </c>
      <c r="N17" s="131" t="s">
        <v>20</v>
      </c>
      <c r="O17" s="131" t="s">
        <v>20</v>
      </c>
      <c r="P17" s="135" t="s">
        <v>20</v>
      </c>
    </row>
  </sheetData>
  <mergeCells count="6">
    <mergeCell ref="B13:D13"/>
    <mergeCell ref="R2:Y3"/>
    <mergeCell ref="B4:O4"/>
    <mergeCell ref="B6:O6"/>
    <mergeCell ref="B9:O9"/>
    <mergeCell ref="B12:D12"/>
  </mergeCells>
  <conditionalFormatting sqref="E12:P12">
    <cfRule type="cellIs" dxfId="122" priority="1" operator="equal">
      <formula>1</formula>
    </cfRule>
    <cfRule type="cellIs" dxfId="121" priority="2" operator="equal">
      <formula>0</formula>
    </cfRule>
  </conditionalFormatting>
  <conditionalFormatting sqref="E13:P13">
    <cfRule type="cellIs" dxfId="120" priority="3" operator="equal">
      <formula>"N/A"</formula>
    </cfRule>
    <cfRule type="cellIs" dxfId="119" priority="4" operator="equal">
      <formula>0</formula>
    </cfRule>
    <cfRule type="cellIs" dxfId="118" priority="5" operator="lessThan">
      <formula>1</formula>
    </cfRule>
    <cfRule type="cellIs" dxfId="117" priority="6" operator="equal">
      <formula>1</formula>
    </cfRule>
  </conditionalFormatting>
  <hyperlinks>
    <hyperlink ref="E11" location="'General Checks'!A1" display="General Checks" xr:uid="{00000000-0004-0000-0000-000000000000}"/>
    <hyperlink ref="F11" location="'Login and User Profile'!A1" display="Login and User Profile" xr:uid="{00000000-0004-0000-0000-000001000000}"/>
    <hyperlink ref="G11" location="'Ummanu360 Specifics'!A1" display="Ummanu360 Specifics" xr:uid="{00000000-0004-0000-0000-000002000000}"/>
    <hyperlink ref="H11" location="'Ummanu White Labeling'!A1" display="Ummanu White Labeling" xr:uid="{00000000-0004-0000-0000-000003000000}"/>
    <hyperlink ref="I11" location="'Audit Log Viewer'!A1" display="Audit Log Viewer" xr:uid="{00000000-0004-0000-0000-000004000000}"/>
    <hyperlink ref="J11" location="Prescribing!A1" display="Prescribing" xr:uid="{00000000-0004-0000-0000-000005000000}"/>
    <hyperlink ref="K11" location="'CIS2'!A1" display="CIS2" xr:uid="{00000000-0004-0000-0000-000006000000}"/>
    <hyperlink ref="L11" location="ECDS!A1" display="ECDS" xr:uid="{00000000-0004-0000-0000-000007000000}"/>
    <hyperlink ref="M11" location="CPIS!A1" display="CPIS" xr:uid="{00000000-0004-0000-0000-000008000000}"/>
    <hyperlink ref="N11" location="'GPC-SD'!A1" display="GPC-SD" xr:uid="{00000000-0004-0000-0000-000009000000}"/>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3:O1055"/>
  <sheetViews>
    <sheetView workbookViewId="0">
      <selection activeCell="C4" sqref="C4"/>
    </sheetView>
  </sheetViews>
  <sheetFormatPr defaultColWidth="12.5703125" defaultRowHeight="15" customHeight="1"/>
  <cols>
    <col min="1" max="1" width="5.28515625" customWidth="1"/>
    <col min="2" max="2" width="32.7109375" customWidth="1"/>
    <col min="3" max="9" width="15.7109375" customWidth="1"/>
    <col min="10" max="11" width="2.28515625" customWidth="1"/>
    <col min="12" max="12" width="28.5703125" customWidth="1"/>
    <col min="13" max="13" width="28.42578125" customWidth="1"/>
    <col min="14" max="14" width="15.28515625" customWidth="1"/>
    <col min="15" max="15" width="32.85546875" customWidth="1"/>
  </cols>
  <sheetData>
    <row r="3" spans="1:9" ht="62.25" customHeight="1">
      <c r="A3" s="144" t="s">
        <v>25</v>
      </c>
      <c r="B3" s="145"/>
      <c r="C3" s="146" t="s">
        <v>26</v>
      </c>
      <c r="D3" s="146" t="s">
        <v>27</v>
      </c>
      <c r="E3" s="146" t="s">
        <v>28</v>
      </c>
      <c r="F3" s="146" t="s">
        <v>29</v>
      </c>
      <c r="G3" s="146" t="s">
        <v>20</v>
      </c>
      <c r="H3" s="146" t="s">
        <v>30</v>
      </c>
      <c r="I3" s="147" t="s">
        <v>31</v>
      </c>
    </row>
    <row r="4" spans="1:9" ht="15.75" customHeight="1">
      <c r="A4" s="3" t="s">
        <v>32</v>
      </c>
      <c r="B4" s="149" t="s">
        <v>10</v>
      </c>
      <c r="C4" s="2">
        <f t="shared" ref="C4:C12" ca="1" si="0">COUNTA(INDIRECT("'"&amp;$B4&amp;"'!D9:D999"))</f>
        <v>36</v>
      </c>
      <c r="D4" s="2">
        <f t="shared" ref="D4:D9" ca="1" si="1">COUNTIF(INDIRECT("'"&amp;$B4&amp;"'!$E$9:$E$999"), "*PASS*")</f>
        <v>2</v>
      </c>
      <c r="E4" s="2">
        <f t="shared" ref="E4:E9" ca="1" si="2">COUNTIF(INDIRECT("'"&amp;$B4&amp;"'!$E$9:$E$999"), "*FAIL*")</f>
        <v>0</v>
      </c>
      <c r="F4" s="2">
        <f t="shared" ref="F4:F9" ca="1" si="3">COUNTIF(INDIRECT("'"&amp;$B4&amp;"'!$E$9:$E$999"), "*CYPRESS*")</f>
        <v>25</v>
      </c>
      <c r="G4" s="2">
        <f t="shared" ref="G4:G9" ca="1" si="4">COUNTIF(INDIRECT("'"&amp;$B4&amp;"'!$E$9:$E$999"), "*N/A*")</f>
        <v>9</v>
      </c>
      <c r="H4" s="4">
        <f t="shared" ref="H4:H14" ca="1" si="5">(E4+D4+F4)/(C4-G4)</f>
        <v>1</v>
      </c>
      <c r="I4" s="5">
        <f t="shared" ref="I4:I14" ca="1" si="6">IF(E4 &gt; 0, E4/(E4+D4), 0)</f>
        <v>0</v>
      </c>
    </row>
    <row r="5" spans="1:9" ht="15" customHeight="1">
      <c r="A5" s="3" t="s">
        <v>33</v>
      </c>
      <c r="B5" s="149" t="s">
        <v>11</v>
      </c>
      <c r="C5" s="2">
        <f t="shared" ca="1" si="0"/>
        <v>1</v>
      </c>
      <c r="D5" s="2">
        <f t="shared" ca="1" si="1"/>
        <v>0</v>
      </c>
      <c r="E5" s="2">
        <f t="shared" ca="1" si="2"/>
        <v>0</v>
      </c>
      <c r="F5" s="2">
        <f t="shared" ca="1" si="3"/>
        <v>0</v>
      </c>
      <c r="G5" s="2">
        <f t="shared" ca="1" si="4"/>
        <v>0</v>
      </c>
      <c r="H5" s="4">
        <f t="shared" ca="1" si="5"/>
        <v>0</v>
      </c>
      <c r="I5" s="5">
        <f t="shared" ca="1" si="6"/>
        <v>0</v>
      </c>
    </row>
    <row r="6" spans="1:9" ht="15" customHeight="1">
      <c r="A6" s="3" t="s">
        <v>33</v>
      </c>
      <c r="B6" s="149" t="s">
        <v>5461</v>
      </c>
      <c r="C6" s="2">
        <f t="shared" ca="1" si="0"/>
        <v>26</v>
      </c>
      <c r="D6" s="2">
        <f t="shared" ca="1" si="1"/>
        <v>0</v>
      </c>
      <c r="E6" s="2">
        <f t="shared" ca="1" si="2"/>
        <v>0</v>
      </c>
      <c r="F6" s="2">
        <f t="shared" ca="1" si="3"/>
        <v>0</v>
      </c>
      <c r="G6" s="2">
        <f t="shared" ca="1" si="4"/>
        <v>0</v>
      </c>
      <c r="H6" s="4">
        <f t="shared" ca="1" si="5"/>
        <v>0</v>
      </c>
      <c r="I6" s="5">
        <f t="shared" ca="1" si="6"/>
        <v>0</v>
      </c>
    </row>
    <row r="7" spans="1:9" ht="15" customHeight="1">
      <c r="A7" s="3" t="s">
        <v>33</v>
      </c>
      <c r="B7" s="149" t="s">
        <v>5467</v>
      </c>
      <c r="C7" s="2">
        <f t="shared" ca="1" si="0"/>
        <v>50</v>
      </c>
      <c r="D7" s="2">
        <f t="shared" ca="1" si="1"/>
        <v>0</v>
      </c>
      <c r="E7" s="2">
        <f t="shared" ca="1" si="2"/>
        <v>0</v>
      </c>
      <c r="F7" s="2">
        <f t="shared" ca="1" si="3"/>
        <v>0</v>
      </c>
      <c r="G7" s="2">
        <f t="shared" ca="1" si="4"/>
        <v>0</v>
      </c>
      <c r="H7" s="4">
        <f t="shared" ca="1" si="5"/>
        <v>0</v>
      </c>
      <c r="I7" s="5">
        <f t="shared" ca="1" si="6"/>
        <v>0</v>
      </c>
    </row>
    <row r="8" spans="1:9" ht="15" customHeight="1">
      <c r="A8" s="3" t="s">
        <v>33</v>
      </c>
      <c r="B8" s="149" t="s">
        <v>12</v>
      </c>
      <c r="C8" s="2">
        <f t="shared" ca="1" si="0"/>
        <v>6</v>
      </c>
      <c r="D8" s="2">
        <f t="shared" ca="1" si="1"/>
        <v>0</v>
      </c>
      <c r="E8" s="2">
        <f t="shared" ca="1" si="2"/>
        <v>0</v>
      </c>
      <c r="F8" s="2">
        <f t="shared" ca="1" si="3"/>
        <v>0</v>
      </c>
      <c r="G8" s="2">
        <f t="shared" ca="1" si="4"/>
        <v>0</v>
      </c>
      <c r="H8" s="4">
        <f t="shared" ca="1" si="5"/>
        <v>0</v>
      </c>
      <c r="I8" s="5">
        <f t="shared" ca="1" si="6"/>
        <v>0</v>
      </c>
    </row>
    <row r="9" spans="1:9" ht="15" customHeight="1">
      <c r="A9" s="3" t="s">
        <v>32</v>
      </c>
      <c r="B9" s="149" t="s">
        <v>13</v>
      </c>
      <c r="C9" s="2">
        <f t="shared" ca="1" si="0"/>
        <v>76</v>
      </c>
      <c r="D9" s="2">
        <f t="shared" ca="1" si="1"/>
        <v>20</v>
      </c>
      <c r="E9" s="2">
        <f t="shared" ca="1" si="2"/>
        <v>0</v>
      </c>
      <c r="F9" s="2">
        <f t="shared" ca="1" si="3"/>
        <v>0</v>
      </c>
      <c r="G9" s="2">
        <f t="shared" ca="1" si="4"/>
        <v>56</v>
      </c>
      <c r="H9" s="4">
        <f t="shared" ca="1" si="5"/>
        <v>1</v>
      </c>
      <c r="I9" s="5">
        <f t="shared" ca="1" si="6"/>
        <v>0</v>
      </c>
    </row>
    <row r="10" spans="1:9" ht="15" customHeight="1">
      <c r="A10" s="3" t="s">
        <v>33</v>
      </c>
      <c r="B10" s="149" t="s">
        <v>14</v>
      </c>
      <c r="C10" s="2">
        <f t="shared" ca="1" si="0"/>
        <v>17</v>
      </c>
      <c r="D10" s="2">
        <f t="shared" ref="D10:D13" ca="1" si="7">COUNTIF(INDIRECT("'"&amp;$B10&amp;"'!$E$9:$E$999"), "*PASS*")</f>
        <v>0</v>
      </c>
      <c r="E10" s="2">
        <f t="shared" ref="E10:E13" ca="1" si="8">COUNTIF(INDIRECT("'"&amp;$B10&amp;"'!$E$9:$E$999"), "*FAIL*")</f>
        <v>0</v>
      </c>
      <c r="F10" s="2">
        <f t="shared" ref="F10:F13" ca="1" si="9">COUNTIF(INDIRECT("'"&amp;$B10&amp;"'!$E$9:$E$999"), "*CYPRESS*")</f>
        <v>0</v>
      </c>
      <c r="G10" s="2">
        <f t="shared" ref="G10:G13" ca="1" si="10">COUNTIF(INDIRECT("'"&amp;$B10&amp;"'!$E$9:$E$999"), "*N/A*")</f>
        <v>0</v>
      </c>
      <c r="H10" s="4">
        <f t="shared" ca="1" si="5"/>
        <v>0</v>
      </c>
      <c r="I10" s="5">
        <f t="shared" ca="1" si="6"/>
        <v>0</v>
      </c>
    </row>
    <row r="11" spans="1:9" ht="15" customHeight="1">
      <c r="A11" s="3" t="s">
        <v>33</v>
      </c>
      <c r="B11" s="149" t="s">
        <v>15</v>
      </c>
      <c r="C11" s="2">
        <f t="shared" ca="1" si="0"/>
        <v>17</v>
      </c>
      <c r="D11" s="2">
        <f t="shared" ca="1" si="7"/>
        <v>0</v>
      </c>
      <c r="E11" s="2">
        <f t="shared" ca="1" si="8"/>
        <v>0</v>
      </c>
      <c r="F11" s="2">
        <f t="shared" ca="1" si="9"/>
        <v>0</v>
      </c>
      <c r="G11" s="2">
        <f t="shared" ca="1" si="10"/>
        <v>0</v>
      </c>
      <c r="H11" s="4">
        <f t="shared" ca="1" si="5"/>
        <v>0</v>
      </c>
      <c r="I11" s="5">
        <f t="shared" ca="1" si="6"/>
        <v>0</v>
      </c>
    </row>
    <row r="12" spans="1:9" ht="15" customHeight="1">
      <c r="A12" s="3" t="s">
        <v>33</v>
      </c>
      <c r="B12" s="149" t="s">
        <v>16</v>
      </c>
      <c r="C12" s="2">
        <f t="shared" ca="1" si="0"/>
        <v>28</v>
      </c>
      <c r="D12" s="2">
        <f t="shared" ca="1" si="7"/>
        <v>0</v>
      </c>
      <c r="E12" s="2">
        <f t="shared" ca="1" si="8"/>
        <v>0</v>
      </c>
      <c r="F12" s="2">
        <f t="shared" ca="1" si="9"/>
        <v>0</v>
      </c>
      <c r="G12" s="2">
        <f t="shared" ca="1" si="10"/>
        <v>0</v>
      </c>
      <c r="H12" s="4">
        <f t="shared" ca="1" si="5"/>
        <v>0</v>
      </c>
      <c r="I12" s="5">
        <f t="shared" ca="1" si="6"/>
        <v>0</v>
      </c>
    </row>
    <row r="13" spans="1:9" ht="15" customHeight="1">
      <c r="A13" s="3" t="s">
        <v>33</v>
      </c>
      <c r="B13" s="149" t="s">
        <v>17</v>
      </c>
      <c r="C13" s="2">
        <f ca="1">COUNTA(INDIRECT("'"&amp;$B13&amp;"'!D18:D999"))</f>
        <v>21</v>
      </c>
      <c r="D13" s="2">
        <f t="shared" ca="1" si="7"/>
        <v>1</v>
      </c>
      <c r="E13" s="2">
        <f t="shared" ca="1" si="8"/>
        <v>1</v>
      </c>
      <c r="F13" s="2">
        <f t="shared" ca="1" si="9"/>
        <v>0</v>
      </c>
      <c r="G13" s="2">
        <f t="shared" ca="1" si="10"/>
        <v>0</v>
      </c>
      <c r="H13" s="4">
        <f t="shared" ca="1" si="5"/>
        <v>9.5238095238095233E-2</v>
      </c>
      <c r="I13" s="5">
        <f t="shared" ca="1" si="6"/>
        <v>0.5</v>
      </c>
    </row>
    <row r="14" spans="1:9" ht="15" customHeight="1">
      <c r="A14" s="3" t="s">
        <v>33</v>
      </c>
      <c r="B14" s="149" t="s">
        <v>34</v>
      </c>
      <c r="C14" s="2">
        <f t="array" aca="1" ref="C14" ca="1">COUNTA(INDIRECT("'"&amp;$B14&amp;"'!D9:D999"))</f>
        <v>60</v>
      </c>
      <c r="D14" s="2">
        <f t="array" aca="1" ref="D14" ca="1">COUNTIF(INDIRECT("'"&amp;$B14&amp;"'!$E$9:$E$999"), "*PASS*")</f>
        <v>0</v>
      </c>
      <c r="E14" s="2">
        <f t="array" aca="1" ref="E14" ca="1">COUNTIF(INDIRECT("'"&amp;$B14&amp;"'!$E$9:$E$999"), "*FAIL*")</f>
        <v>0</v>
      </c>
      <c r="F14" s="2">
        <f t="array" aca="1" ref="F14" ca="1">COUNTIF(INDIRECT("'"&amp;$B14&amp;"'!$E$9:$E$999"), "*CYPRESS*")</f>
        <v>0</v>
      </c>
      <c r="G14" s="2">
        <f t="array" aca="1" ref="G14" ca="1">COUNTIF(INDIRECT("'"&amp;$B14&amp;"'!$E$9:$E$999"), "*N/A*")</f>
        <v>0</v>
      </c>
      <c r="H14" s="4">
        <f t="shared" ca="1" si="5"/>
        <v>0</v>
      </c>
      <c r="I14" s="5">
        <f t="shared" ca="1" si="6"/>
        <v>0</v>
      </c>
    </row>
    <row r="17" spans="2:9" ht="15.75" customHeight="1">
      <c r="B17" s="148" t="s">
        <v>35</v>
      </c>
      <c r="C17" s="6">
        <f ca="1">SUM(IF($A3="Y",$C3,0),IF($A4="Y",$C4,0),IF($A5="Y",$C5,0),IF($A6="Y",$C6,0),IF($A7="Y",$C7,0),IF($A8="Y",$C8,0),IF($A9="Y",$C9,0),IF($A10="Y",$C10,0),IF($A12="Y",$C12,0),IF($A13="Y",$C13,0),IF($A14="Y",$C14,0),IF($A15="Y",$C15,0),IF($A16="Y",$C16,0))</f>
        <v>112</v>
      </c>
      <c r="D17" s="6">
        <f ca="1">SUM(IF($A3="Y",$D3,0),IF($A4="Y",$D4,0),IF($A5="Y",$D5,0),IF($A6="Y",$D6,0),IF($A7="Y",$D7,0),IF($A8="Y",$D8,0),IF($A9="Y",$D9,0),IF($A10="Y",$D10,0),IF($A12="Y",$D12,0),IF($A13="Y",$D13,0),IF($A14="Y",$D14,0),IF($A15="Y",$D15,0),IF($A16="Y",$D16,0))</f>
        <v>22</v>
      </c>
      <c r="E17" s="6">
        <f ca="1">SUM(IF($A3="Y",$E3,0),IF($A4="Y",$E4,0),IF($A5="Y",$E5,0),IF($A6="Y",$E6,0),IF($A7="Y",$E7,0),IF($A8="Y",$E8,0),IF($A9="Y",$E9,0),IF($A10="Y",$E10,0),IF($A12="Y",$E12,0),IF($A13="Y",$E13,0),IF($A14="Y",$E14,0),IF($A15="Y",$E15,0),IF($A16="Y",$E16,0))</f>
        <v>0</v>
      </c>
      <c r="F17" s="6">
        <f ca="1">SUM(IF($A4="Y",$F4,0),IF($A5="Y",$F5,0),IF($A6="Y",$F6,0),IF($A7="Y",$F7,0),IF($A8="Y",$F8,0),IF($A9="Y",$F9,0),IF($A10="Y",$F10,0),IF($A12="Y",$F12,0),IF($A13="Y",$F13,0),IF($A14="Y",$F14,0),IF($A15="Y",$F15,0),IF($A16="Y",$F16,0))</f>
        <v>25</v>
      </c>
      <c r="G17" s="6">
        <f ca="1">SUM(IF($A3="Y",$G3,0),IF($A4="Y",$G4,0),IF($A5="Y",$G5,0),IF($A6="Y",$G6,0),IF($A7="Y",$G7,0),IF($A8="Y",$G8,0),IF($A9="Y",$G9,0),IF($A10="Y",$G10,0),IF($A12="Y",$G12,0),IF($A13="Y",$G13,0),IF($A14="Y",$G14,0),IF($A15="Y",$G15,0),IF($A16="Y",$G16,0))</f>
        <v>65</v>
      </c>
      <c r="H17" s="7">
        <f ca="1">(E17+D17+F17)/(C17-G17)</f>
        <v>1</v>
      </c>
      <c r="I17" s="8">
        <f ca="1">IF(E17 &gt; 0, E17/(E17+D17), 0)</f>
        <v>0</v>
      </c>
    </row>
    <row r="109" spans="15:15" ht="15.75" customHeight="1">
      <c r="O109" s="9" t="s">
        <v>5454</v>
      </c>
    </row>
    <row r="1046" spans="15:15" ht="15.75" customHeight="1">
      <c r="O1046" s="1" t="e">
        <v>#REF!</v>
      </c>
    </row>
    <row r="1047" spans="15:15" ht="15.75" customHeight="1">
      <c r="O1047" s="1" t="e">
        <v>#REF!</v>
      </c>
    </row>
    <row r="1048" spans="15:15" ht="15.75" customHeight="1">
      <c r="O1048" s="1" t="e">
        <v>#REF!</v>
      </c>
    </row>
    <row r="1049" spans="15:15" ht="15.75" customHeight="1">
      <c r="O1049" s="1" t="e">
        <v>#REF!</v>
      </c>
    </row>
    <row r="1050" spans="15:15" ht="15.75" customHeight="1">
      <c r="O1050" s="1" t="e">
        <v>#REF!</v>
      </c>
    </row>
    <row r="1051" spans="15:15" ht="15.75" customHeight="1">
      <c r="O1051" s="1" t="e">
        <v>#REF!</v>
      </c>
    </row>
    <row r="1052" spans="15:15" ht="15.75" customHeight="1">
      <c r="O1052" s="1" t="e">
        <v>#REF!</v>
      </c>
    </row>
    <row r="1053" spans="15:15" ht="15.75" customHeight="1">
      <c r="O1053" s="1" t="e">
        <v>#REF!</v>
      </c>
    </row>
    <row r="1054" spans="15:15" ht="15.75" customHeight="1">
      <c r="O1054" s="1" t="e">
        <v>#REF!</v>
      </c>
    </row>
    <row r="1055" spans="15:15" ht="15.75" customHeight="1">
      <c r="O1055" s="1" t="e">
        <v>#REF!</v>
      </c>
    </row>
  </sheetData>
  <conditionalFormatting sqref="A4:A16">
    <cfRule type="cellIs" dxfId="116" priority="2" operator="equal">
      <formula>"Y"</formula>
    </cfRule>
    <cfRule type="cellIs" dxfId="115" priority="3" operator="equal">
      <formula>"N"</formula>
    </cfRule>
  </conditionalFormatting>
  <conditionalFormatting sqref="H4:H17">
    <cfRule type="colorScale" priority="1">
      <colorScale>
        <cfvo type="percent" val="0"/>
        <cfvo type="percent" val="50"/>
        <cfvo type="percent" val="100"/>
        <color rgb="FFFF0000"/>
        <color rgb="FFFFFF00"/>
        <color rgb="FF00FF00"/>
      </colorScale>
    </cfRule>
  </conditionalFormatting>
  <hyperlinks>
    <hyperlink ref="B4" location="'General Checks'!A1" display="General Checks" xr:uid="{00000000-0004-0000-0100-000000000000}"/>
    <hyperlink ref="B5" location="'Login and User Profile'!A1" display="Login and User Profile" xr:uid="{00000000-0004-0000-0100-000001000000}"/>
    <hyperlink ref="B6" location="'VWR Specifics'!A1" display="VWR Specifics" xr:uid="{00000000-0004-0000-0100-000002000000}"/>
    <hyperlink ref="B7" location="'Ummanu White Labeling'!A1" display="Ummanu White Labeling" xr:uid="{00000000-0004-0000-0100-000003000000}"/>
    <hyperlink ref="B8" location="'Audit Log Viewer'!A1" display="Audit Log Viewer" xr:uid="{00000000-0004-0000-0100-000004000000}"/>
    <hyperlink ref="B9" location="Prescribing!A1" display="Prescribing" xr:uid="{00000000-0004-0000-0100-000005000000}"/>
    <hyperlink ref="B10" location="'CIS2'!A1" display="CIS2" xr:uid="{00000000-0004-0000-0100-000006000000}"/>
    <hyperlink ref="B11" location="ECDS!A1" display="ECDS" xr:uid="{00000000-0004-0000-0100-000007000000}"/>
    <hyperlink ref="B12" location="CPIS!A1" display="CPIS" xr:uid="{00000000-0004-0000-0100-000008000000}"/>
    <hyperlink ref="B13" location="'GPC-SD'!A1" display="GPC-SD" xr:uid="{00000000-0004-0000-0100-000009000000}"/>
    <hyperlink ref="B14" location="BaRS!A1" display="BaRS" xr:uid="{00000000-0004-0000-0100-00000A000000}"/>
  </hyperlinks>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G44"/>
  <sheetViews>
    <sheetView topLeftCell="A35" workbookViewId="0">
      <selection activeCell="E9" sqref="E9:E44"/>
    </sheetView>
  </sheetViews>
  <sheetFormatPr defaultColWidth="12.5703125" defaultRowHeight="15" customHeight="1"/>
  <cols>
    <col min="1" max="1" width="18.7109375" style="153" customWidth="1"/>
    <col min="2" max="4" width="45.7109375" style="153" customWidth="1"/>
    <col min="5" max="5" width="15.7109375" style="163" customWidth="1"/>
    <col min="6" max="7" width="30.7109375" style="153" customWidth="1"/>
    <col min="8" max="8" width="16.42578125" style="153" customWidth="1"/>
    <col min="9" max="9" width="46.85546875" style="153" customWidth="1"/>
    <col min="10" max="10" width="29.5703125" style="153" customWidth="1"/>
    <col min="11" max="16384" width="12.5703125" style="153"/>
  </cols>
  <sheetData>
    <row r="2" spans="1:7" ht="18" customHeight="1">
      <c r="A2" s="167" t="s">
        <v>36</v>
      </c>
      <c r="B2" s="165" t="s">
        <v>37</v>
      </c>
      <c r="D2" s="259" t="e" vm="2">
        <v>#VALUE!</v>
      </c>
      <c r="E2" s="160"/>
      <c r="F2" s="151"/>
      <c r="G2" s="151"/>
    </row>
    <row r="3" spans="1:7" ht="18" customHeight="1">
      <c r="A3" s="167" t="s">
        <v>3</v>
      </c>
      <c r="B3" s="165"/>
      <c r="D3" s="259"/>
      <c r="E3" s="160"/>
      <c r="F3" s="151"/>
      <c r="G3" s="151"/>
    </row>
    <row r="4" spans="1:7" ht="18" customHeight="1">
      <c r="A4" s="167" t="s">
        <v>4</v>
      </c>
      <c r="B4" s="165" t="s">
        <v>5</v>
      </c>
      <c r="D4" s="259"/>
      <c r="E4" s="160"/>
      <c r="F4" s="151"/>
      <c r="G4" s="151"/>
    </row>
    <row r="5" spans="1:7" ht="18" customHeight="1">
      <c r="A5" s="167" t="s">
        <v>38</v>
      </c>
      <c r="B5" s="166"/>
      <c r="D5" s="259"/>
      <c r="E5" s="160"/>
      <c r="F5" s="151"/>
      <c r="G5" s="151"/>
    </row>
    <row r="6" spans="1:7" ht="18" customHeight="1">
      <c r="A6" s="150"/>
      <c r="B6" s="150"/>
      <c r="C6" s="151"/>
      <c r="D6" s="151"/>
      <c r="E6" s="159"/>
      <c r="F6" s="151"/>
      <c r="G6" s="151"/>
    </row>
    <row r="7" spans="1:7" ht="18" customHeight="1">
      <c r="A7" s="150"/>
      <c r="B7" s="150"/>
      <c r="C7" s="151"/>
      <c r="D7" s="151"/>
      <c r="E7" s="159"/>
      <c r="F7" s="151"/>
      <c r="G7" s="151"/>
    </row>
    <row r="8" spans="1:7" ht="30" customHeight="1">
      <c r="A8" s="155" t="s">
        <v>39</v>
      </c>
      <c r="B8" s="156" t="s">
        <v>40</v>
      </c>
      <c r="C8" s="156" t="s">
        <v>41</v>
      </c>
      <c r="D8" s="156" t="s">
        <v>42</v>
      </c>
      <c r="E8" s="161" t="s">
        <v>5456</v>
      </c>
      <c r="F8" s="158" t="s">
        <v>43</v>
      </c>
      <c r="G8" s="164" t="s">
        <v>44</v>
      </c>
    </row>
    <row r="9" spans="1:7" ht="158.65" customHeight="1">
      <c r="A9" s="170" t="s">
        <v>45</v>
      </c>
      <c r="B9" s="157" t="s">
        <v>46</v>
      </c>
      <c r="C9" s="157" t="s">
        <v>47</v>
      </c>
      <c r="D9" s="157" t="s">
        <v>48</v>
      </c>
      <c r="E9" s="159" t="s">
        <v>5507</v>
      </c>
      <c r="F9" s="151" t="s">
        <v>5508</v>
      </c>
      <c r="G9" s="151"/>
    </row>
    <row r="10" spans="1:7" ht="50.1" customHeight="1">
      <c r="A10" s="168"/>
      <c r="B10" s="157" t="s">
        <v>49</v>
      </c>
      <c r="C10" s="157" t="s">
        <v>50</v>
      </c>
      <c r="D10" s="157" t="s">
        <v>51</v>
      </c>
      <c r="E10" s="159" t="s">
        <v>29</v>
      </c>
      <c r="F10" s="151"/>
      <c r="G10" s="151"/>
    </row>
    <row r="11" spans="1:7" ht="50.1" customHeight="1">
      <c r="A11" s="168"/>
      <c r="B11" s="157"/>
      <c r="C11" s="157"/>
      <c r="D11" s="157" t="s">
        <v>52</v>
      </c>
      <c r="E11" s="162" t="s">
        <v>29</v>
      </c>
      <c r="F11" s="151"/>
      <c r="G11" s="151"/>
    </row>
    <row r="12" spans="1:7" ht="50.1" customHeight="1">
      <c r="A12" s="171" t="s">
        <v>53</v>
      </c>
      <c r="B12" s="157" t="s">
        <v>54</v>
      </c>
      <c r="C12" s="157" t="s">
        <v>55</v>
      </c>
      <c r="D12" s="157" t="s">
        <v>56</v>
      </c>
      <c r="E12" s="162" t="s">
        <v>29</v>
      </c>
      <c r="F12" s="151"/>
      <c r="G12" s="151"/>
    </row>
    <row r="13" spans="1:7" ht="50.1" customHeight="1">
      <c r="A13" s="169"/>
      <c r="B13" s="157"/>
      <c r="C13" s="157"/>
      <c r="D13" s="157" t="s">
        <v>57</v>
      </c>
      <c r="E13" s="162" t="s">
        <v>29</v>
      </c>
      <c r="F13" s="154"/>
      <c r="G13" s="151"/>
    </row>
    <row r="14" spans="1:7" ht="50.1" customHeight="1">
      <c r="A14" s="170" t="s">
        <v>58</v>
      </c>
      <c r="B14" s="157" t="s">
        <v>59</v>
      </c>
      <c r="C14" s="157" t="s">
        <v>60</v>
      </c>
      <c r="D14" s="157" t="s">
        <v>61</v>
      </c>
      <c r="E14" s="162" t="s">
        <v>29</v>
      </c>
      <c r="F14" s="154"/>
      <c r="G14" s="151"/>
    </row>
    <row r="15" spans="1:7" ht="50.1" customHeight="1">
      <c r="A15" s="168"/>
      <c r="B15" s="157" t="s">
        <v>59</v>
      </c>
      <c r="C15" s="157" t="s">
        <v>62</v>
      </c>
      <c r="D15" s="157" t="s">
        <v>61</v>
      </c>
      <c r="E15" s="162" t="s">
        <v>29</v>
      </c>
      <c r="F15" s="154"/>
      <c r="G15" s="151"/>
    </row>
    <row r="16" spans="1:7" ht="50.1" customHeight="1">
      <c r="A16" s="171" t="s">
        <v>63</v>
      </c>
      <c r="B16" s="157" t="s">
        <v>64</v>
      </c>
      <c r="C16" s="157" t="s">
        <v>65</v>
      </c>
      <c r="D16" s="157" t="s">
        <v>66</v>
      </c>
      <c r="E16" s="162" t="s">
        <v>29</v>
      </c>
      <c r="F16" s="154"/>
      <c r="G16" s="151"/>
    </row>
    <row r="17" spans="1:7" ht="50.1" customHeight="1">
      <c r="A17" s="169"/>
      <c r="B17" s="157"/>
      <c r="C17" s="157" t="s">
        <v>67</v>
      </c>
      <c r="D17" s="157" t="s">
        <v>68</v>
      </c>
      <c r="E17" s="162" t="s">
        <v>29</v>
      </c>
      <c r="F17" s="154"/>
      <c r="G17" s="151"/>
    </row>
    <row r="18" spans="1:7" ht="50.1" customHeight="1">
      <c r="A18" s="170" t="s">
        <v>69</v>
      </c>
      <c r="B18" s="157" t="s">
        <v>70</v>
      </c>
      <c r="C18" s="157" t="s">
        <v>71</v>
      </c>
      <c r="D18" s="157" t="s">
        <v>72</v>
      </c>
      <c r="E18" s="162" t="s">
        <v>29</v>
      </c>
      <c r="F18" s="154"/>
      <c r="G18" s="151"/>
    </row>
    <row r="19" spans="1:7" ht="50.1" customHeight="1">
      <c r="A19" s="171" t="s">
        <v>73</v>
      </c>
      <c r="B19" s="157" t="s">
        <v>74</v>
      </c>
      <c r="C19" s="157" t="s">
        <v>75</v>
      </c>
      <c r="D19" s="157" t="s">
        <v>76</v>
      </c>
      <c r="E19" s="162" t="s">
        <v>29</v>
      </c>
      <c r="F19" s="154"/>
      <c r="G19" s="151"/>
    </row>
    <row r="20" spans="1:7" ht="50.1" customHeight="1">
      <c r="A20" s="170" t="s">
        <v>77</v>
      </c>
      <c r="B20" s="157" t="s">
        <v>78</v>
      </c>
      <c r="C20" s="157" t="s">
        <v>79</v>
      </c>
      <c r="D20" s="157" t="s">
        <v>80</v>
      </c>
      <c r="E20" s="162" t="s">
        <v>29</v>
      </c>
      <c r="F20" s="154"/>
      <c r="G20" s="151"/>
    </row>
    <row r="21" spans="1:7" ht="50.1" customHeight="1">
      <c r="A21" s="168"/>
      <c r="B21" s="157"/>
      <c r="C21" s="157"/>
      <c r="D21" s="157" t="s">
        <v>81</v>
      </c>
      <c r="E21" s="159" t="s">
        <v>29</v>
      </c>
      <c r="F21" s="154"/>
      <c r="G21" s="151"/>
    </row>
    <row r="22" spans="1:7" ht="50.1" customHeight="1">
      <c r="A22" s="171" t="s">
        <v>82</v>
      </c>
      <c r="B22" s="157" t="s">
        <v>83</v>
      </c>
      <c r="C22" s="157" t="s">
        <v>84</v>
      </c>
      <c r="D22" s="157" t="s">
        <v>85</v>
      </c>
      <c r="E22" s="159" t="s">
        <v>5507</v>
      </c>
      <c r="F22" s="154"/>
      <c r="G22" s="151"/>
    </row>
    <row r="23" spans="1:7" ht="50.1" customHeight="1">
      <c r="A23" s="171" t="s">
        <v>86</v>
      </c>
      <c r="B23" s="157" t="s">
        <v>87</v>
      </c>
      <c r="C23" s="157" t="s">
        <v>88</v>
      </c>
      <c r="D23" s="157" t="s">
        <v>89</v>
      </c>
      <c r="E23" s="159" t="s">
        <v>29</v>
      </c>
      <c r="F23" s="154"/>
      <c r="G23" s="151"/>
    </row>
    <row r="24" spans="1:7" ht="50.1" customHeight="1">
      <c r="A24" s="170" t="s">
        <v>90</v>
      </c>
      <c r="B24" s="157" t="s">
        <v>91</v>
      </c>
      <c r="C24" s="157" t="s">
        <v>92</v>
      </c>
      <c r="D24" s="157" t="s">
        <v>93</v>
      </c>
      <c r="E24" s="159" t="s">
        <v>29</v>
      </c>
      <c r="F24" s="151"/>
      <c r="G24" s="151"/>
    </row>
    <row r="25" spans="1:7" ht="50.1" customHeight="1">
      <c r="A25" s="171" t="s">
        <v>94</v>
      </c>
      <c r="B25" s="157" t="s">
        <v>95</v>
      </c>
      <c r="C25" s="157" t="s">
        <v>96</v>
      </c>
      <c r="D25" s="157" t="s">
        <v>97</v>
      </c>
      <c r="E25" s="159" t="s">
        <v>29</v>
      </c>
      <c r="F25" s="151"/>
      <c r="G25" s="151"/>
    </row>
    <row r="26" spans="1:7" ht="50.1" customHeight="1">
      <c r="A26" s="170" t="s">
        <v>98</v>
      </c>
      <c r="B26" s="157" t="s">
        <v>99</v>
      </c>
      <c r="C26" s="157" t="s">
        <v>100</v>
      </c>
      <c r="D26" s="157" t="s">
        <v>101</v>
      </c>
      <c r="E26" s="159" t="s">
        <v>29</v>
      </c>
      <c r="F26" s="151"/>
      <c r="G26" s="151"/>
    </row>
    <row r="27" spans="1:7" ht="50.1" customHeight="1">
      <c r="A27" s="168"/>
      <c r="B27" s="157" t="s">
        <v>102</v>
      </c>
      <c r="C27" s="157" t="s">
        <v>100</v>
      </c>
      <c r="D27" s="157" t="s">
        <v>103</v>
      </c>
      <c r="E27" s="159" t="s">
        <v>29</v>
      </c>
      <c r="F27" s="151"/>
      <c r="G27" s="151"/>
    </row>
    <row r="28" spans="1:7" ht="50.1" customHeight="1">
      <c r="A28" s="168"/>
      <c r="B28" s="157" t="s">
        <v>104</v>
      </c>
      <c r="C28" s="157" t="s">
        <v>100</v>
      </c>
      <c r="D28" s="157" t="s">
        <v>105</v>
      </c>
      <c r="E28" s="159" t="s">
        <v>29</v>
      </c>
      <c r="F28" s="151"/>
      <c r="G28" s="151"/>
    </row>
    <row r="29" spans="1:7" ht="50.1" customHeight="1">
      <c r="A29" s="168"/>
      <c r="B29" s="157" t="s">
        <v>106</v>
      </c>
      <c r="C29" s="157" t="s">
        <v>100</v>
      </c>
      <c r="D29" s="157" t="s">
        <v>107</v>
      </c>
      <c r="E29" s="159" t="s">
        <v>29</v>
      </c>
      <c r="F29" s="151"/>
      <c r="G29" s="151"/>
    </row>
    <row r="30" spans="1:7" ht="50.1" customHeight="1">
      <c r="A30" s="168"/>
      <c r="B30" s="157" t="s">
        <v>108</v>
      </c>
      <c r="C30" s="157" t="s">
        <v>100</v>
      </c>
      <c r="D30" s="157" t="s">
        <v>109</v>
      </c>
      <c r="E30" s="159" t="s">
        <v>29</v>
      </c>
      <c r="F30" s="151"/>
      <c r="G30" s="151"/>
    </row>
    <row r="31" spans="1:7" ht="50.1" customHeight="1">
      <c r="A31" s="168"/>
      <c r="B31" s="157" t="s">
        <v>110</v>
      </c>
      <c r="C31" s="157" t="s">
        <v>100</v>
      </c>
      <c r="D31" s="157" t="s">
        <v>111</v>
      </c>
      <c r="E31" s="159" t="s">
        <v>29</v>
      </c>
      <c r="F31" s="151"/>
      <c r="G31" s="151"/>
    </row>
    <row r="32" spans="1:7" ht="50.1" customHeight="1">
      <c r="A32" s="171" t="s">
        <v>112</v>
      </c>
      <c r="B32" s="157" t="s">
        <v>113</v>
      </c>
      <c r="C32" s="157" t="s">
        <v>114</v>
      </c>
      <c r="D32" s="157" t="s">
        <v>115</v>
      </c>
      <c r="E32" s="159" t="s">
        <v>29</v>
      </c>
      <c r="F32" s="151"/>
      <c r="G32" s="151"/>
    </row>
    <row r="33" spans="1:7" ht="50.1" customHeight="1">
      <c r="A33" s="170" t="s">
        <v>116</v>
      </c>
      <c r="B33" s="157" t="s">
        <v>113</v>
      </c>
      <c r="C33" s="157" t="s">
        <v>117</v>
      </c>
      <c r="D33" s="157" t="s">
        <v>118</v>
      </c>
      <c r="E33" s="159" t="s">
        <v>29</v>
      </c>
      <c r="F33" s="151"/>
      <c r="G33" s="151"/>
    </row>
    <row r="34" spans="1:7" ht="50.1" customHeight="1">
      <c r="A34" s="171" t="s">
        <v>119</v>
      </c>
      <c r="B34" s="157" t="s">
        <v>113</v>
      </c>
      <c r="C34" s="157" t="s">
        <v>120</v>
      </c>
      <c r="D34" s="157" t="s">
        <v>121</v>
      </c>
      <c r="E34" s="159" t="s">
        <v>29</v>
      </c>
      <c r="F34" s="151"/>
      <c r="G34" s="151"/>
    </row>
    <row r="35" spans="1:7" ht="50.1" customHeight="1">
      <c r="A35" s="169"/>
      <c r="B35" s="157"/>
      <c r="C35" s="157" t="s">
        <v>122</v>
      </c>
      <c r="D35" s="157" t="s">
        <v>123</v>
      </c>
      <c r="E35" s="159" t="s">
        <v>29</v>
      </c>
      <c r="F35" s="151"/>
      <c r="G35" s="151"/>
    </row>
    <row r="36" spans="1:7" ht="50.1" customHeight="1">
      <c r="A36" s="170" t="s">
        <v>124</v>
      </c>
      <c r="B36" s="157" t="s">
        <v>125</v>
      </c>
      <c r="C36" s="157" t="s">
        <v>126</v>
      </c>
      <c r="D36" s="157" t="s">
        <v>127</v>
      </c>
      <c r="E36" s="159" t="s">
        <v>20</v>
      </c>
      <c r="F36" s="151"/>
      <c r="G36" s="151"/>
    </row>
    <row r="37" spans="1:7" ht="50.1" customHeight="1">
      <c r="A37" s="168"/>
      <c r="B37" s="157"/>
      <c r="C37" s="157"/>
      <c r="D37" s="157" t="s">
        <v>128</v>
      </c>
      <c r="E37" s="159" t="s">
        <v>20</v>
      </c>
      <c r="F37" s="151"/>
      <c r="G37" s="151"/>
    </row>
    <row r="38" spans="1:7" ht="50.1" customHeight="1">
      <c r="A38" s="171" t="s">
        <v>129</v>
      </c>
      <c r="B38" s="157" t="s">
        <v>130</v>
      </c>
      <c r="C38" s="157" t="s">
        <v>131</v>
      </c>
      <c r="D38" s="157" t="s">
        <v>132</v>
      </c>
      <c r="E38" s="159" t="s">
        <v>20</v>
      </c>
      <c r="F38" s="151"/>
      <c r="G38" s="151"/>
    </row>
    <row r="39" spans="1:7" ht="50.1" customHeight="1">
      <c r="A39" s="169"/>
      <c r="B39" s="157" t="s">
        <v>130</v>
      </c>
      <c r="C39" s="157" t="s">
        <v>133</v>
      </c>
      <c r="D39" s="157" t="s">
        <v>134</v>
      </c>
      <c r="E39" s="159" t="s">
        <v>20</v>
      </c>
      <c r="F39" s="151"/>
      <c r="G39" s="151"/>
    </row>
    <row r="40" spans="1:7" ht="50.1" customHeight="1">
      <c r="A40" s="169"/>
      <c r="B40" s="157" t="s">
        <v>135</v>
      </c>
      <c r="C40" s="157" t="s">
        <v>133</v>
      </c>
      <c r="D40" s="157" t="s">
        <v>134</v>
      </c>
      <c r="E40" s="159" t="s">
        <v>20</v>
      </c>
      <c r="F40" s="151" t="s">
        <v>140</v>
      </c>
      <c r="G40" s="151"/>
    </row>
    <row r="41" spans="1:7" ht="50.1" customHeight="1">
      <c r="A41" s="170" t="s">
        <v>136</v>
      </c>
      <c r="B41" s="157" t="s">
        <v>137</v>
      </c>
      <c r="C41" s="157" t="s">
        <v>138</v>
      </c>
      <c r="D41" s="157" t="s">
        <v>139</v>
      </c>
      <c r="E41" s="159" t="s">
        <v>20</v>
      </c>
      <c r="F41" s="151" t="s">
        <v>140</v>
      </c>
      <c r="G41" s="151"/>
    </row>
    <row r="42" spans="1:7" ht="50.1" customHeight="1">
      <c r="A42" s="168"/>
      <c r="B42" s="157" t="s">
        <v>141</v>
      </c>
      <c r="C42" s="157" t="s">
        <v>142</v>
      </c>
      <c r="D42" s="157" t="s">
        <v>143</v>
      </c>
      <c r="E42" s="159" t="s">
        <v>20</v>
      </c>
      <c r="F42" s="151" t="s">
        <v>140</v>
      </c>
      <c r="G42" s="151"/>
    </row>
    <row r="43" spans="1:7" ht="50.1" customHeight="1">
      <c r="A43" s="171" t="s">
        <v>144</v>
      </c>
      <c r="B43" s="157" t="s">
        <v>145</v>
      </c>
      <c r="C43" s="157" t="s">
        <v>146</v>
      </c>
      <c r="D43" s="157" t="s">
        <v>147</v>
      </c>
      <c r="E43" s="159" t="s">
        <v>20</v>
      </c>
      <c r="F43" s="151" t="s">
        <v>140</v>
      </c>
      <c r="G43" s="151"/>
    </row>
    <row r="44" spans="1:7" ht="50.1" customHeight="1">
      <c r="A44" s="169"/>
      <c r="B44" s="157" t="s">
        <v>148</v>
      </c>
      <c r="C44" s="157" t="s">
        <v>149</v>
      </c>
      <c r="D44" s="157" t="s">
        <v>150</v>
      </c>
      <c r="E44" s="163" t="s">
        <v>20</v>
      </c>
      <c r="F44" s="151" t="s">
        <v>140</v>
      </c>
    </row>
  </sheetData>
  <mergeCells count="1">
    <mergeCell ref="D2:D5"/>
  </mergeCells>
  <conditionalFormatting sqref="E1:E985">
    <cfRule type="containsText" dxfId="114" priority="4" operator="containsText" text="cypress">
      <formula>NOT(ISERROR(SEARCH(("cypress"),(E1))))</formula>
    </cfRule>
  </conditionalFormatting>
  <conditionalFormatting sqref="E9:E495">
    <cfRule type="containsText" dxfId="113" priority="1" operator="containsText" text="pass">
      <formula>NOT(ISERROR(SEARCH(("pass"),(E9))))</formula>
    </cfRule>
  </conditionalFormatting>
  <conditionalFormatting sqref="E9:E985">
    <cfRule type="containsText" dxfId="112" priority="2" operator="containsText" text="fail">
      <formula>NOT(ISERROR(SEARCH(("fail"),(E9))))</formula>
    </cfRule>
    <cfRule type="containsText" dxfId="111" priority="3" operator="containsText" text="n/a">
      <formula>NOT(ISERROR(SEARCH(("n/a"),(E9))))</formula>
    </cfRule>
  </conditionalFormatting>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G9"/>
  <sheetViews>
    <sheetView workbookViewId="0"/>
  </sheetViews>
  <sheetFormatPr defaultColWidth="12.5703125" defaultRowHeight="15" customHeight="1"/>
  <cols>
    <col min="1" max="1" width="18.7109375" style="121" customWidth="1"/>
    <col min="2" max="4" width="45.7109375" style="121" customWidth="1"/>
    <col min="5" max="5" width="15.7109375" style="121" customWidth="1"/>
    <col min="6" max="7" width="30.7109375" style="121" customWidth="1"/>
    <col min="8" max="8" width="16.42578125" style="121" customWidth="1"/>
    <col min="9" max="9" width="73.85546875" style="121" customWidth="1"/>
    <col min="10" max="10" width="31.140625" style="121" customWidth="1"/>
    <col min="11" max="16384" width="12.5703125" style="121"/>
  </cols>
  <sheetData>
    <row r="2" spans="1:7" ht="18" customHeight="1">
      <c r="A2" s="172" t="s">
        <v>36</v>
      </c>
      <c r="B2" s="173" t="s">
        <v>37</v>
      </c>
      <c r="C2" s="177"/>
      <c r="D2" s="253" t="e" vm="2">
        <v>#VALUE!</v>
      </c>
      <c r="E2" s="179"/>
      <c r="F2" s="177"/>
      <c r="G2" s="122"/>
    </row>
    <row r="3" spans="1:7" ht="18" customHeight="1">
      <c r="A3" s="172" t="s">
        <v>3</v>
      </c>
      <c r="B3" s="173"/>
      <c r="C3" s="177"/>
      <c r="D3" s="254"/>
      <c r="E3" s="179"/>
      <c r="F3" s="177"/>
      <c r="G3" s="122"/>
    </row>
    <row r="4" spans="1:7" ht="18" customHeight="1">
      <c r="A4" s="172" t="s">
        <v>4</v>
      </c>
      <c r="B4" s="173" t="s">
        <v>5</v>
      </c>
      <c r="C4" s="177"/>
      <c r="D4" s="254"/>
      <c r="E4" s="179"/>
      <c r="F4" s="177"/>
      <c r="G4" s="122"/>
    </row>
    <row r="5" spans="1:7" ht="18" customHeight="1">
      <c r="A5" s="172" t="s">
        <v>38</v>
      </c>
      <c r="B5" s="173" t="s">
        <v>151</v>
      </c>
      <c r="C5" s="177"/>
      <c r="D5" s="254"/>
      <c r="E5" s="179"/>
      <c r="F5" s="177"/>
      <c r="G5" s="122"/>
    </row>
    <row r="6" spans="1:7" ht="18" customHeight="1">
      <c r="A6" s="200"/>
      <c r="C6" s="177"/>
      <c r="D6" s="260"/>
      <c r="E6" s="254"/>
      <c r="F6" s="177"/>
      <c r="G6" s="122"/>
    </row>
    <row r="7" spans="1:7" ht="18" customHeight="1">
      <c r="A7" s="177"/>
      <c r="B7" s="177"/>
      <c r="C7" s="177"/>
      <c r="D7" s="177"/>
      <c r="E7" s="178"/>
      <c r="G7" s="122"/>
    </row>
    <row r="8" spans="1:7" s="184" customFormat="1" ht="30" customHeight="1">
      <c r="A8" s="174" t="s">
        <v>39</v>
      </c>
      <c r="B8" s="175" t="s">
        <v>40</v>
      </c>
      <c r="C8" s="175" t="s">
        <v>41</v>
      </c>
      <c r="D8" s="175" t="s">
        <v>42</v>
      </c>
      <c r="E8" s="181" t="s">
        <v>5456</v>
      </c>
      <c r="F8" s="180" t="s">
        <v>43</v>
      </c>
      <c r="G8" s="182" t="s">
        <v>44</v>
      </c>
    </row>
    <row r="9" spans="1:7" ht="65.099999999999994" customHeight="1">
      <c r="A9" s="170" t="s">
        <v>152</v>
      </c>
      <c r="B9" s="185" t="s">
        <v>5457</v>
      </c>
      <c r="C9" s="186" t="s">
        <v>153</v>
      </c>
      <c r="D9" s="186" t="s">
        <v>154</v>
      </c>
      <c r="E9" s="188"/>
      <c r="F9" s="245" t="s">
        <v>5495</v>
      </c>
      <c r="G9" s="190"/>
    </row>
  </sheetData>
  <mergeCells count="2">
    <mergeCell ref="D6:E6"/>
    <mergeCell ref="D2:D5"/>
  </mergeCells>
  <conditionalFormatting sqref="C2:C6">
    <cfRule type="containsText" dxfId="110" priority="1" operator="containsText" text="n/a">
      <formula>NOT(ISERROR(SEARCH(("n/a"),(D2))))</formula>
    </cfRule>
    <cfRule type="containsText" dxfId="109" priority="2" operator="containsText" text="Cypress">
      <formula>NOT(ISERROR(SEARCH(("Cypress"),(D2))))</formula>
    </cfRule>
  </conditionalFormatting>
  <conditionalFormatting sqref="E8">
    <cfRule type="containsText" dxfId="108" priority="3" operator="containsText" text="cypress">
      <formula>NOT(ISERROR(SEARCH(("cypress"),(E8))))</formula>
    </cfRule>
  </conditionalFormatting>
  <conditionalFormatting sqref="E9:E91">
    <cfRule type="containsText" dxfId="107" priority="4" operator="containsText" text="Pass">
      <formula>NOT(ISERROR(SEARCH(("Pass"),(E9))))</formula>
    </cfRule>
    <cfRule type="containsText" dxfId="106" priority="5" operator="containsText" text="fail">
      <formula>NOT(ISERROR(SEARCH(("fail"),(E9))))</formula>
    </cfRule>
  </conditionalFormatting>
  <conditionalFormatting sqref="E73:E91">
    <cfRule type="containsText" dxfId="105" priority="6" operator="containsText" text="n/a">
      <formula>NOT(ISERROR(SEARCH(("n/a"),(E73))))</formula>
    </cfRule>
    <cfRule type="containsText" dxfId="104" priority="7" operator="containsText" text="Cypress">
      <formula>NOT(ISERROR(SEARCH(("Cypress"),(E73))))</formula>
    </cfRule>
  </conditionalFormatting>
  <conditionalFormatting sqref="E75:E95 F96:F950 E9:E72 F1:F7">
    <cfRule type="containsText" dxfId="103" priority="10" operator="containsText" text="n/a">
      <formula>NOT(ISERROR(SEARCH(("n/a"),(F1))))</formula>
    </cfRule>
  </conditionalFormatting>
  <conditionalFormatting sqref="E75:E95 F96:F950">
    <cfRule type="containsText" dxfId="102" priority="8" operator="containsText" text="Pass">
      <formula>NOT(ISERROR(SEARCH(("Pass"),(E75))))</formula>
    </cfRule>
    <cfRule type="containsText" dxfId="101" priority="9" operator="containsText" text="fail">
      <formula>NOT(ISERROR(SEARCH(("fail"),(E75))))</formula>
    </cfRule>
  </conditionalFormatting>
  <conditionalFormatting sqref="F1:F7 E9:E72 E75:E95 F96:F950">
    <cfRule type="containsText" dxfId="100" priority="11" operator="containsText" text="Cypress">
      <formula>NOT(ISERROR(SEARCH(("Cypress"),(F1))))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G34"/>
  <sheetViews>
    <sheetView topLeftCell="A25" workbookViewId="0">
      <selection activeCell="D9" sqref="D9:D34"/>
    </sheetView>
  </sheetViews>
  <sheetFormatPr defaultColWidth="12.5703125" defaultRowHeight="15" customHeight="1"/>
  <cols>
    <col min="1" max="1" width="18.7109375" customWidth="1"/>
    <col min="2" max="4" width="45.7109375" customWidth="1"/>
    <col min="5" max="5" width="18.7109375" customWidth="1"/>
    <col min="6" max="7" width="30.7109375" customWidth="1"/>
    <col min="8" max="8" width="16.42578125" customWidth="1"/>
    <col min="9" max="9" width="73.85546875" customWidth="1"/>
    <col min="10" max="10" width="31.140625" customWidth="1"/>
  </cols>
  <sheetData>
    <row r="2" spans="1:7" s="121" customFormat="1" ht="18" customHeight="1">
      <c r="A2" s="172" t="s">
        <v>36</v>
      </c>
      <c r="B2" s="173" t="s">
        <v>37</v>
      </c>
      <c r="C2" s="177"/>
      <c r="D2" s="253" t="e" vm="2">
        <v>#VALUE!</v>
      </c>
      <c r="E2" s="179"/>
      <c r="F2" s="177"/>
      <c r="G2" s="122"/>
    </row>
    <row r="3" spans="1:7" s="121" customFormat="1" ht="18" customHeight="1">
      <c r="A3" s="172" t="s">
        <v>3</v>
      </c>
      <c r="B3" s="173"/>
      <c r="C3" s="177"/>
      <c r="D3" s="254"/>
      <c r="E3" s="179"/>
      <c r="F3" s="177"/>
      <c r="G3" s="122"/>
    </row>
    <row r="4" spans="1:7" s="121" customFormat="1" ht="18" customHeight="1">
      <c r="A4" s="172" t="s">
        <v>4</v>
      </c>
      <c r="B4" s="173" t="s">
        <v>5</v>
      </c>
      <c r="C4" s="177"/>
      <c r="D4" s="254"/>
      <c r="E4" s="179"/>
      <c r="F4" s="177"/>
      <c r="G4" s="122"/>
    </row>
    <row r="5" spans="1:7" s="121" customFormat="1" ht="18" customHeight="1">
      <c r="A5" s="172" t="s">
        <v>38</v>
      </c>
      <c r="B5" s="173" t="s">
        <v>5461</v>
      </c>
      <c r="C5" s="177"/>
      <c r="D5" s="254"/>
      <c r="E5" s="179"/>
      <c r="F5" s="177"/>
      <c r="G5" s="122"/>
    </row>
    <row r="6" spans="1:7" s="121" customFormat="1" ht="18" customHeight="1">
      <c r="A6" s="200"/>
      <c r="C6" s="177"/>
      <c r="D6" s="260"/>
      <c r="E6" s="254"/>
      <c r="F6" s="177"/>
      <c r="G6" s="122"/>
    </row>
    <row r="7" spans="1:7" s="121" customFormat="1" ht="18" customHeight="1">
      <c r="A7" s="177"/>
      <c r="B7" s="177"/>
      <c r="C7" s="177"/>
      <c r="D7" s="177"/>
      <c r="E7" s="178"/>
      <c r="G7" s="122"/>
    </row>
    <row r="8" spans="1:7" s="184" customFormat="1" ht="30" customHeight="1">
      <c r="A8" s="174" t="s">
        <v>39</v>
      </c>
      <c r="B8" s="175" t="s">
        <v>40</v>
      </c>
      <c r="C8" s="175" t="s">
        <v>41</v>
      </c>
      <c r="D8" s="175" t="s">
        <v>42</v>
      </c>
      <c r="E8" s="181" t="s">
        <v>5456</v>
      </c>
      <c r="F8" s="180" t="s">
        <v>43</v>
      </c>
      <c r="G8" s="182" t="s">
        <v>44</v>
      </c>
    </row>
    <row r="9" spans="1:7" s="196" customFormat="1" ht="50.1" customHeight="1">
      <c r="A9" s="170"/>
      <c r="B9" s="185" t="s">
        <v>5462</v>
      </c>
      <c r="C9" s="186" t="s">
        <v>155</v>
      </c>
      <c r="D9" s="186" t="s">
        <v>5458</v>
      </c>
      <c r="E9" s="186"/>
      <c r="F9" s="185"/>
      <c r="G9" s="185"/>
    </row>
    <row r="10" spans="1:7" s="196" customFormat="1" ht="50.1" customHeight="1">
      <c r="A10" s="170"/>
      <c r="B10" s="185" t="s">
        <v>156</v>
      </c>
      <c r="C10" s="186" t="s">
        <v>157</v>
      </c>
      <c r="D10" s="186" t="s">
        <v>158</v>
      </c>
      <c r="E10" s="186"/>
      <c r="F10" s="185"/>
      <c r="G10" s="185"/>
    </row>
    <row r="11" spans="1:7" s="196" customFormat="1" ht="50.1" customHeight="1">
      <c r="A11" s="170"/>
      <c r="B11" s="185" t="s">
        <v>159</v>
      </c>
      <c r="C11" s="186" t="s">
        <v>5459</v>
      </c>
      <c r="D11" s="186" t="s">
        <v>160</v>
      </c>
      <c r="E11" s="186"/>
      <c r="F11" s="185"/>
      <c r="G11" s="185"/>
    </row>
    <row r="12" spans="1:7" s="196" customFormat="1" ht="50.1" customHeight="1">
      <c r="A12" s="170"/>
      <c r="B12" s="185"/>
      <c r="C12" s="186"/>
      <c r="D12" s="186" t="s">
        <v>161</v>
      </c>
      <c r="E12" s="186"/>
      <c r="F12" s="189"/>
      <c r="G12" s="186"/>
    </row>
    <row r="13" spans="1:7" s="196" customFormat="1" ht="50.1" customHeight="1">
      <c r="A13" s="170"/>
      <c r="B13" s="185" t="s">
        <v>162</v>
      </c>
      <c r="C13" s="186" t="s">
        <v>163</v>
      </c>
      <c r="D13" s="186" t="s">
        <v>164</v>
      </c>
      <c r="E13" s="186"/>
      <c r="F13" s="189"/>
      <c r="G13" s="185"/>
    </row>
    <row r="14" spans="1:7" s="196" customFormat="1" ht="50.1" customHeight="1">
      <c r="A14" s="170"/>
      <c r="B14" s="185"/>
      <c r="C14" s="186" t="s">
        <v>165</v>
      </c>
      <c r="D14" s="186" t="s">
        <v>166</v>
      </c>
      <c r="E14" s="186"/>
      <c r="F14" s="189"/>
      <c r="G14" s="185"/>
    </row>
    <row r="15" spans="1:7" s="196" customFormat="1" ht="50.1" customHeight="1">
      <c r="A15" s="170"/>
      <c r="B15" s="185"/>
      <c r="C15" s="186"/>
      <c r="D15" s="186" t="s">
        <v>167</v>
      </c>
      <c r="E15" s="186"/>
      <c r="F15" s="189"/>
      <c r="G15" s="185"/>
    </row>
    <row r="16" spans="1:7" s="196" customFormat="1" ht="50.1" customHeight="1">
      <c r="A16" s="170"/>
      <c r="B16" s="185"/>
      <c r="C16" s="186"/>
      <c r="D16" s="186" t="s">
        <v>168</v>
      </c>
      <c r="E16" s="186"/>
      <c r="F16" s="185"/>
      <c r="G16" s="185"/>
    </row>
    <row r="17" spans="1:7" s="196" customFormat="1" ht="50.1" customHeight="1">
      <c r="A17" s="170"/>
      <c r="B17" s="185"/>
      <c r="C17" s="186"/>
      <c r="D17" s="186" t="s">
        <v>169</v>
      </c>
      <c r="E17" s="186"/>
      <c r="F17" s="186" t="s">
        <v>170</v>
      </c>
      <c r="G17" s="185"/>
    </row>
    <row r="18" spans="1:7" s="196" customFormat="1" ht="50.1" customHeight="1">
      <c r="A18" s="170"/>
      <c r="B18" s="185"/>
      <c r="C18" s="186"/>
      <c r="D18" s="186" t="s">
        <v>171</v>
      </c>
      <c r="E18" s="186"/>
      <c r="F18" s="185" t="s">
        <v>172</v>
      </c>
      <c r="G18" s="197" t="s">
        <v>173</v>
      </c>
    </row>
    <row r="19" spans="1:7" s="196" customFormat="1" ht="65.099999999999994" customHeight="1">
      <c r="A19" s="170"/>
      <c r="B19" s="185"/>
      <c r="C19" s="186"/>
      <c r="D19" s="186" t="s">
        <v>174</v>
      </c>
      <c r="E19" s="186"/>
      <c r="F19" s="186" t="s">
        <v>175</v>
      </c>
      <c r="G19" s="186"/>
    </row>
    <row r="20" spans="1:7" s="196" customFormat="1" ht="50.1" customHeight="1">
      <c r="A20" s="170"/>
      <c r="B20" s="186" t="s">
        <v>176</v>
      </c>
      <c r="C20" s="186" t="s">
        <v>177</v>
      </c>
      <c r="D20" s="186" t="s">
        <v>178</v>
      </c>
      <c r="E20" s="186"/>
      <c r="F20" s="186"/>
      <c r="G20" s="185"/>
    </row>
    <row r="21" spans="1:7" s="196" customFormat="1" ht="50.1" customHeight="1">
      <c r="A21" s="170"/>
      <c r="B21" s="186"/>
      <c r="C21" s="186"/>
      <c r="D21" s="186" t="s">
        <v>179</v>
      </c>
      <c r="E21" s="186"/>
      <c r="F21" s="195"/>
      <c r="G21" s="186"/>
    </row>
    <row r="22" spans="1:7" s="196" customFormat="1" ht="50.1" customHeight="1">
      <c r="A22" s="170"/>
      <c r="B22" s="186" t="s">
        <v>176</v>
      </c>
      <c r="C22" s="186" t="s">
        <v>177</v>
      </c>
      <c r="D22" s="186" t="s">
        <v>180</v>
      </c>
      <c r="E22" s="186"/>
      <c r="F22" s="195"/>
      <c r="G22" s="186"/>
    </row>
    <row r="23" spans="1:7" s="196" customFormat="1" ht="50.1" customHeight="1">
      <c r="A23" s="170"/>
      <c r="B23" s="186"/>
      <c r="C23" s="186"/>
      <c r="D23" s="186" t="s">
        <v>181</v>
      </c>
      <c r="E23" s="186"/>
      <c r="F23" s="186"/>
      <c r="G23" s="185"/>
    </row>
    <row r="24" spans="1:7" s="196" customFormat="1" ht="50.1" customHeight="1">
      <c r="A24" s="170"/>
      <c r="B24" s="186" t="s">
        <v>182</v>
      </c>
      <c r="C24" s="186" t="s">
        <v>183</v>
      </c>
      <c r="D24" s="186" t="s">
        <v>184</v>
      </c>
      <c r="E24" s="186"/>
      <c r="F24" s="189"/>
      <c r="G24" s="185"/>
    </row>
    <row r="25" spans="1:7" s="196" customFormat="1" ht="50.1" customHeight="1">
      <c r="A25" s="170"/>
      <c r="B25" s="186"/>
      <c r="C25" s="186"/>
      <c r="D25" s="186" t="s">
        <v>185</v>
      </c>
      <c r="E25" s="186"/>
      <c r="F25" s="189"/>
      <c r="G25" s="185"/>
    </row>
    <row r="26" spans="1:7" s="196" customFormat="1" ht="50.1" customHeight="1">
      <c r="A26" s="170"/>
      <c r="B26" s="186" t="s">
        <v>186</v>
      </c>
      <c r="C26" s="186" t="s">
        <v>187</v>
      </c>
      <c r="D26" s="186" t="s">
        <v>178</v>
      </c>
      <c r="E26" s="186"/>
      <c r="F26" s="186"/>
      <c r="G26" s="185"/>
    </row>
    <row r="27" spans="1:7" s="196" customFormat="1" ht="50.1" customHeight="1">
      <c r="A27" s="170"/>
      <c r="B27" s="186"/>
      <c r="C27" s="186"/>
      <c r="D27" s="186" t="s">
        <v>188</v>
      </c>
      <c r="E27" s="186"/>
      <c r="F27" s="186"/>
      <c r="G27" s="185"/>
    </row>
    <row r="28" spans="1:7" s="196" customFormat="1" ht="50.1" customHeight="1">
      <c r="A28" s="170"/>
      <c r="B28" s="186" t="s">
        <v>186</v>
      </c>
      <c r="C28" s="186" t="s">
        <v>187</v>
      </c>
      <c r="D28" s="186" t="s">
        <v>180</v>
      </c>
      <c r="E28" s="186"/>
      <c r="F28" s="186"/>
      <c r="G28" s="185"/>
    </row>
    <row r="29" spans="1:7" s="196" customFormat="1" ht="50.1" customHeight="1">
      <c r="A29" s="170"/>
      <c r="B29" s="186"/>
      <c r="C29" s="186"/>
      <c r="D29" s="186" t="s">
        <v>189</v>
      </c>
      <c r="E29" s="186"/>
      <c r="F29" s="186"/>
      <c r="G29" s="185"/>
    </row>
    <row r="30" spans="1:7" s="196" customFormat="1" ht="50.1" customHeight="1">
      <c r="A30" s="170"/>
      <c r="B30" s="185" t="s">
        <v>190</v>
      </c>
      <c r="C30" s="186" t="s">
        <v>191</v>
      </c>
      <c r="D30" s="186" t="s">
        <v>192</v>
      </c>
      <c r="E30" s="186"/>
      <c r="F30" s="186"/>
      <c r="G30" s="185"/>
    </row>
    <row r="31" spans="1:7" s="196" customFormat="1" ht="50.1" customHeight="1">
      <c r="A31" s="170"/>
      <c r="B31" s="185"/>
      <c r="C31" s="186"/>
      <c r="D31" s="186" t="s">
        <v>193</v>
      </c>
      <c r="E31" s="186"/>
      <c r="F31" s="186" t="s">
        <v>194</v>
      </c>
      <c r="G31" s="185"/>
    </row>
    <row r="32" spans="1:7" s="196" customFormat="1" ht="50.1" customHeight="1">
      <c r="A32" s="170"/>
      <c r="B32" s="185"/>
      <c r="C32" s="186"/>
      <c r="D32" s="186" t="s">
        <v>195</v>
      </c>
      <c r="E32" s="186"/>
      <c r="F32" s="186"/>
      <c r="G32" s="185"/>
    </row>
    <row r="33" spans="1:7" s="196" customFormat="1" ht="50.1" customHeight="1">
      <c r="A33" s="170"/>
      <c r="B33" s="185"/>
      <c r="C33" s="186"/>
      <c r="D33" s="186" t="s">
        <v>5460</v>
      </c>
      <c r="E33" s="186"/>
      <c r="F33" s="186"/>
      <c r="G33" s="185"/>
    </row>
    <row r="34" spans="1:7" s="196" customFormat="1" ht="50.1" customHeight="1">
      <c r="A34" s="170"/>
      <c r="B34" s="185" t="s">
        <v>159</v>
      </c>
      <c r="C34" s="186" t="s">
        <v>5459</v>
      </c>
      <c r="D34" s="186" t="s">
        <v>196</v>
      </c>
      <c r="E34" s="186"/>
      <c r="F34" s="186"/>
      <c r="G34" s="185"/>
    </row>
  </sheetData>
  <mergeCells count="2">
    <mergeCell ref="D6:E6"/>
    <mergeCell ref="D2:D5"/>
  </mergeCells>
  <conditionalFormatting sqref="C2:C6">
    <cfRule type="containsText" dxfId="99" priority="1" operator="containsText" text="n/a">
      <formula>NOT(ISERROR(SEARCH(("n/a"),(D2))))</formula>
    </cfRule>
    <cfRule type="containsText" dxfId="98" priority="2" operator="containsText" text="Cypress">
      <formula>NOT(ISERROR(SEARCH(("Cypress"),(D2))))</formula>
    </cfRule>
  </conditionalFormatting>
  <conditionalFormatting sqref="E8">
    <cfRule type="containsText" dxfId="97" priority="3" operator="containsText" text="cypress">
      <formula>NOT(ISERROR(SEARCH(("cypress"),(E8))))</formula>
    </cfRule>
  </conditionalFormatting>
  <conditionalFormatting sqref="E9:E34">
    <cfRule type="containsText" dxfId="96" priority="6" operator="containsText" text="pass">
      <formula>NOT(ISERROR(SEARCH("pass",E9)))</formula>
    </cfRule>
    <cfRule type="containsText" dxfId="95" priority="7" operator="containsText" text="fail">
      <formula>NOT(ISERROR(SEARCH("fail",E9)))</formula>
    </cfRule>
    <cfRule type="containsText" dxfId="94" priority="8" operator="containsText" text="n/a">
      <formula>NOT(ISERROR(SEARCH("n/a",E9)))</formula>
    </cfRule>
    <cfRule type="containsText" dxfId="93" priority="9" operator="containsText" text="Cypress">
      <formula>NOT(ISERROR(SEARCH("Cypress",E9)))</formula>
    </cfRule>
  </conditionalFormatting>
  <conditionalFormatting sqref="F1:F7">
    <cfRule type="containsText" dxfId="92" priority="4" operator="containsText" text="n/a">
      <formula>NOT(ISERROR(SEARCH(("n/a"),(G1))))</formula>
    </cfRule>
    <cfRule type="containsText" dxfId="91" priority="5" operator="containsText" text="Cypress">
      <formula>NOT(ISERROR(SEARCH(("Cypress"),(G1))))</formula>
    </cfRule>
  </conditionalFormatting>
  <hyperlinks>
    <hyperlink ref="G18"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G60"/>
  <sheetViews>
    <sheetView topLeftCell="A25" workbookViewId="0">
      <selection activeCell="A32" sqref="A32:XFD35"/>
    </sheetView>
  </sheetViews>
  <sheetFormatPr defaultColWidth="12.5703125" defaultRowHeight="15" customHeight="1"/>
  <cols>
    <col min="1" max="1" width="18.7109375" customWidth="1"/>
    <col min="2" max="4" width="45.7109375" customWidth="1"/>
    <col min="5" max="5" width="18.7109375" customWidth="1"/>
    <col min="6" max="7" width="30.7109375" customWidth="1"/>
    <col min="8" max="8" width="16.42578125" customWidth="1"/>
    <col min="9" max="9" width="73.85546875" customWidth="1"/>
    <col min="10" max="10" width="31.140625" customWidth="1"/>
  </cols>
  <sheetData>
    <row r="2" spans="1:7" s="121" customFormat="1" ht="18" customHeight="1">
      <c r="A2" s="172" t="s">
        <v>36</v>
      </c>
      <c r="B2" s="173" t="s">
        <v>37</v>
      </c>
      <c r="C2" s="177"/>
      <c r="D2" s="253" t="e" vm="2">
        <v>#VALUE!</v>
      </c>
      <c r="E2" s="179"/>
      <c r="F2" s="177"/>
      <c r="G2" s="122"/>
    </row>
    <row r="3" spans="1:7" s="121" customFormat="1" ht="18" customHeight="1">
      <c r="A3" s="172" t="s">
        <v>3</v>
      </c>
      <c r="B3" s="173"/>
      <c r="C3" s="177"/>
      <c r="D3" s="254"/>
      <c r="E3" s="179"/>
      <c r="F3" s="177"/>
      <c r="G3" s="122"/>
    </row>
    <row r="4" spans="1:7" s="121" customFormat="1" ht="18" customHeight="1">
      <c r="A4" s="172" t="s">
        <v>4</v>
      </c>
      <c r="B4" s="173" t="s">
        <v>5</v>
      </c>
      <c r="C4" s="177"/>
      <c r="D4" s="254"/>
      <c r="E4" s="179"/>
      <c r="F4" s="177"/>
      <c r="G4" s="122"/>
    </row>
    <row r="5" spans="1:7" s="121" customFormat="1" ht="18" customHeight="1">
      <c r="A5" s="172" t="s">
        <v>38</v>
      </c>
      <c r="B5" s="173" t="s">
        <v>5467</v>
      </c>
      <c r="C5" s="177"/>
      <c r="D5" s="254"/>
      <c r="E5" s="179"/>
      <c r="F5" s="177"/>
      <c r="G5" s="122"/>
    </row>
    <row r="6" spans="1:7" s="121" customFormat="1" ht="18" customHeight="1">
      <c r="A6" s="200"/>
      <c r="C6" s="177"/>
      <c r="D6" s="260"/>
      <c r="E6" s="254"/>
      <c r="F6" s="177"/>
      <c r="G6" s="122"/>
    </row>
    <row r="7" spans="1:7" s="121" customFormat="1" ht="18" customHeight="1">
      <c r="A7" s="177"/>
      <c r="B7" s="177"/>
      <c r="C7" s="177"/>
      <c r="D7" s="177"/>
      <c r="E7" s="178"/>
      <c r="G7" s="122"/>
    </row>
    <row r="8" spans="1:7" s="184" customFormat="1" ht="30" customHeight="1">
      <c r="A8" s="174" t="s">
        <v>39</v>
      </c>
      <c r="B8" s="175" t="s">
        <v>40</v>
      </c>
      <c r="C8" s="175" t="s">
        <v>41</v>
      </c>
      <c r="D8" s="175" t="s">
        <v>42</v>
      </c>
      <c r="E8" s="181" t="s">
        <v>5456</v>
      </c>
      <c r="F8" s="180" t="s">
        <v>43</v>
      </c>
      <c r="G8" s="182" t="s">
        <v>44</v>
      </c>
    </row>
    <row r="9" spans="1:7" s="194" customFormat="1" ht="50.1" customHeight="1">
      <c r="A9" s="170" t="s">
        <v>197</v>
      </c>
      <c r="B9" s="186" t="s">
        <v>198</v>
      </c>
      <c r="C9" s="186" t="s">
        <v>199</v>
      </c>
      <c r="D9" s="186" t="s">
        <v>200</v>
      </c>
      <c r="E9" s="179"/>
      <c r="F9" s="186"/>
      <c r="G9" s="192"/>
    </row>
    <row r="10" spans="1:7" s="194" customFormat="1" ht="50.1" customHeight="1">
      <c r="A10" s="170"/>
      <c r="B10" s="186"/>
      <c r="C10" s="186" t="s">
        <v>201</v>
      </c>
      <c r="D10" s="186" t="s">
        <v>202</v>
      </c>
      <c r="E10" s="179"/>
      <c r="F10" s="195"/>
      <c r="G10" s="190"/>
    </row>
    <row r="11" spans="1:7" s="194" customFormat="1" ht="50.1" customHeight="1">
      <c r="A11" s="170"/>
      <c r="B11" s="186"/>
      <c r="C11" s="186"/>
      <c r="D11" s="186" t="s">
        <v>203</v>
      </c>
      <c r="E11" s="179"/>
      <c r="F11" s="195"/>
      <c r="G11" s="190"/>
    </row>
    <row r="12" spans="1:7" s="194" customFormat="1" ht="50.1" customHeight="1">
      <c r="A12" s="171" t="s">
        <v>204</v>
      </c>
      <c r="B12" s="186" t="s">
        <v>205</v>
      </c>
      <c r="C12" s="186" t="s">
        <v>206</v>
      </c>
      <c r="D12" s="186" t="s">
        <v>200</v>
      </c>
      <c r="E12" s="179"/>
      <c r="F12" s="186"/>
      <c r="G12" s="192"/>
    </row>
    <row r="13" spans="1:7" s="194" customFormat="1" ht="50.1" customHeight="1">
      <c r="A13" s="171"/>
      <c r="B13" s="186"/>
      <c r="C13" s="186"/>
      <c r="D13" s="186" t="s">
        <v>207</v>
      </c>
      <c r="E13" s="179"/>
      <c r="F13" s="189"/>
      <c r="G13" s="192"/>
    </row>
    <row r="14" spans="1:7" s="194" customFormat="1" ht="50.1" customHeight="1">
      <c r="A14" s="171"/>
      <c r="B14" s="186"/>
      <c r="C14" s="186"/>
      <c r="D14" s="186" t="s">
        <v>208</v>
      </c>
      <c r="E14" s="179"/>
      <c r="F14" s="189"/>
      <c r="G14" s="192"/>
    </row>
    <row r="15" spans="1:7" s="194" customFormat="1" ht="50.1" customHeight="1">
      <c r="A15" s="171"/>
      <c r="B15" s="186"/>
      <c r="C15" s="186"/>
      <c r="D15" s="186" t="s">
        <v>209</v>
      </c>
      <c r="E15" s="179"/>
      <c r="F15" s="186"/>
      <c r="G15" s="192"/>
    </row>
    <row r="16" spans="1:7" s="194" customFormat="1" ht="50.1" customHeight="1">
      <c r="A16" s="171"/>
      <c r="B16" s="186"/>
      <c r="C16" s="186"/>
      <c r="D16" s="186" t="s">
        <v>210</v>
      </c>
      <c r="E16" s="179"/>
      <c r="F16" s="186"/>
      <c r="G16" s="192"/>
    </row>
    <row r="17" spans="1:7" s="194" customFormat="1" ht="50.1" customHeight="1">
      <c r="A17" s="171"/>
      <c r="B17" s="186" t="s">
        <v>211</v>
      </c>
      <c r="C17" s="186" t="s">
        <v>212</v>
      </c>
      <c r="D17" s="186" t="s">
        <v>213</v>
      </c>
      <c r="E17" s="179"/>
      <c r="F17" s="186"/>
      <c r="G17" s="192"/>
    </row>
    <row r="18" spans="1:7" s="194" customFormat="1" ht="50.1" customHeight="1">
      <c r="A18" s="171"/>
      <c r="B18" s="186"/>
      <c r="C18" s="186"/>
      <c r="D18" s="186" t="s">
        <v>214</v>
      </c>
      <c r="E18" s="179"/>
      <c r="F18" s="186"/>
      <c r="G18" s="192"/>
    </row>
    <row r="19" spans="1:7" s="194" customFormat="1" ht="50.1" customHeight="1">
      <c r="A19" s="170" t="s">
        <v>215</v>
      </c>
      <c r="B19" s="186" t="s">
        <v>216</v>
      </c>
      <c r="C19" s="186" t="s">
        <v>217</v>
      </c>
      <c r="D19" s="186" t="s">
        <v>218</v>
      </c>
      <c r="E19" s="179"/>
      <c r="F19" s="186"/>
      <c r="G19" s="192"/>
    </row>
    <row r="20" spans="1:7" s="194" customFormat="1" ht="50.1" customHeight="1">
      <c r="A20" s="170"/>
      <c r="B20" s="186"/>
      <c r="C20" s="186" t="s">
        <v>219</v>
      </c>
      <c r="D20" s="186" t="s">
        <v>220</v>
      </c>
      <c r="E20" s="179"/>
      <c r="F20" s="186"/>
      <c r="G20" s="192"/>
    </row>
    <row r="21" spans="1:7" s="194" customFormat="1" ht="50.1" customHeight="1">
      <c r="A21" s="170"/>
      <c r="B21" s="186"/>
      <c r="C21" s="186"/>
      <c r="D21" s="186" t="s">
        <v>221</v>
      </c>
      <c r="E21" s="179"/>
      <c r="F21" s="186"/>
      <c r="G21" s="192"/>
    </row>
    <row r="22" spans="1:7" s="194" customFormat="1" ht="50.1" customHeight="1">
      <c r="A22" s="170"/>
      <c r="B22" s="186"/>
      <c r="C22" s="186"/>
      <c r="D22" s="186" t="s">
        <v>222</v>
      </c>
      <c r="E22" s="179"/>
      <c r="F22" s="186"/>
      <c r="G22" s="192"/>
    </row>
    <row r="23" spans="1:7" s="194" customFormat="1" ht="50.1" customHeight="1">
      <c r="A23" s="171" t="s">
        <v>223</v>
      </c>
      <c r="B23" s="186" t="s">
        <v>224</v>
      </c>
      <c r="C23" s="186" t="s">
        <v>225</v>
      </c>
      <c r="D23" s="186" t="s">
        <v>226</v>
      </c>
      <c r="E23" s="179"/>
      <c r="F23" s="186"/>
      <c r="G23" s="192"/>
    </row>
    <row r="24" spans="1:7" s="194" customFormat="1" ht="50.1" customHeight="1">
      <c r="A24" s="171"/>
      <c r="B24" s="186"/>
      <c r="C24" s="186" t="s">
        <v>227</v>
      </c>
      <c r="D24" s="186" t="s">
        <v>228</v>
      </c>
      <c r="E24" s="179"/>
      <c r="F24" s="186"/>
      <c r="G24" s="192"/>
    </row>
    <row r="25" spans="1:7" s="194" customFormat="1" ht="50.1" customHeight="1">
      <c r="A25" s="171"/>
      <c r="B25" s="186"/>
      <c r="C25" s="186" t="s">
        <v>229</v>
      </c>
      <c r="D25" s="186" t="s">
        <v>230</v>
      </c>
      <c r="E25" s="179"/>
      <c r="F25" s="186"/>
      <c r="G25" s="192"/>
    </row>
    <row r="26" spans="1:7" s="194" customFormat="1" ht="50.1" customHeight="1">
      <c r="A26" s="171"/>
      <c r="B26" s="186"/>
      <c r="C26" s="186"/>
      <c r="D26" s="186" t="s">
        <v>231</v>
      </c>
      <c r="E26" s="179"/>
      <c r="F26" s="186"/>
      <c r="G26" s="192"/>
    </row>
    <row r="27" spans="1:7" s="194" customFormat="1" ht="50.1" customHeight="1">
      <c r="A27" s="171"/>
      <c r="B27" s="186" t="s">
        <v>232</v>
      </c>
      <c r="C27" s="186" t="s">
        <v>233</v>
      </c>
      <c r="D27" s="186" t="s">
        <v>234</v>
      </c>
      <c r="E27" s="179"/>
      <c r="F27" s="186"/>
      <c r="G27" s="192"/>
    </row>
    <row r="28" spans="1:7" s="194" customFormat="1" ht="50.1" customHeight="1">
      <c r="A28" s="170" t="s">
        <v>235</v>
      </c>
      <c r="B28" s="186" t="s">
        <v>236</v>
      </c>
      <c r="C28" s="186" t="s">
        <v>237</v>
      </c>
      <c r="D28" s="186" t="s">
        <v>238</v>
      </c>
      <c r="E28" s="179"/>
      <c r="F28" s="186"/>
      <c r="G28" s="192"/>
    </row>
    <row r="29" spans="1:7" s="194" customFormat="1" ht="50.1" customHeight="1">
      <c r="A29" s="170"/>
      <c r="B29" s="186"/>
      <c r="C29" s="186" t="s">
        <v>239</v>
      </c>
      <c r="D29" s="186" t="s">
        <v>240</v>
      </c>
      <c r="E29" s="179"/>
      <c r="F29" s="186"/>
      <c r="G29" s="192"/>
    </row>
    <row r="30" spans="1:7" s="194" customFormat="1" ht="50.1" customHeight="1">
      <c r="A30" s="170"/>
      <c r="B30" s="186"/>
      <c r="C30" s="186" t="s">
        <v>241</v>
      </c>
      <c r="D30" s="186" t="s">
        <v>242</v>
      </c>
      <c r="E30" s="179"/>
      <c r="F30" s="186"/>
      <c r="G30" s="192"/>
    </row>
    <row r="31" spans="1:7" s="194" customFormat="1" ht="50.1" customHeight="1">
      <c r="A31" s="170"/>
      <c r="B31" s="186"/>
      <c r="C31" s="186"/>
      <c r="D31" s="186" t="s">
        <v>243</v>
      </c>
      <c r="E31" s="179"/>
      <c r="F31" s="186"/>
      <c r="G31" s="192"/>
    </row>
    <row r="32" spans="1:7" s="194" customFormat="1" ht="50.1" customHeight="1">
      <c r="A32" s="171" t="s">
        <v>244</v>
      </c>
      <c r="B32" s="186" t="s">
        <v>245</v>
      </c>
      <c r="C32" s="186" t="s">
        <v>246</v>
      </c>
      <c r="D32" s="186" t="s">
        <v>247</v>
      </c>
    </row>
    <row r="33" spans="1:4" s="194" customFormat="1" ht="50.1" customHeight="1">
      <c r="A33" s="171"/>
      <c r="B33" s="186"/>
      <c r="C33" s="186"/>
      <c r="D33" s="186" t="s">
        <v>248</v>
      </c>
    </row>
    <row r="34" spans="1:4" s="194" customFormat="1" ht="50.1" customHeight="1">
      <c r="A34" s="171"/>
      <c r="B34" s="186"/>
      <c r="C34" s="186"/>
      <c r="D34" s="186" t="s">
        <v>249</v>
      </c>
    </row>
    <row r="35" spans="1:4" s="194" customFormat="1" ht="50.1" customHeight="1">
      <c r="A35" s="171"/>
      <c r="B35" s="186"/>
      <c r="C35" s="186"/>
      <c r="D35" s="186" t="s">
        <v>250</v>
      </c>
    </row>
    <row r="36" spans="1:4" s="194" customFormat="1" ht="50.1" customHeight="1">
      <c r="A36" s="170" t="s">
        <v>251</v>
      </c>
      <c r="B36" s="186" t="s">
        <v>252</v>
      </c>
      <c r="C36" s="186" t="s">
        <v>253</v>
      </c>
      <c r="D36" s="186" t="s">
        <v>254</v>
      </c>
    </row>
    <row r="37" spans="1:4" s="194" customFormat="1" ht="50.1" customHeight="1">
      <c r="A37" s="170"/>
      <c r="B37" s="186"/>
      <c r="C37" s="186"/>
      <c r="D37" s="186" t="s">
        <v>255</v>
      </c>
    </row>
    <row r="38" spans="1:4" s="194" customFormat="1" ht="50.1" customHeight="1">
      <c r="A38" s="170"/>
      <c r="B38" s="186"/>
      <c r="C38" s="186"/>
      <c r="D38" s="186" t="s">
        <v>256</v>
      </c>
    </row>
    <row r="39" spans="1:4" s="194" customFormat="1" ht="50.1" customHeight="1">
      <c r="A39" s="170"/>
      <c r="B39" s="186"/>
      <c r="C39" s="186"/>
      <c r="D39" s="186" t="s">
        <v>257</v>
      </c>
    </row>
    <row r="40" spans="1:4" s="194" customFormat="1" ht="50.1" customHeight="1">
      <c r="A40" s="171" t="s">
        <v>5463</v>
      </c>
      <c r="B40" s="186" t="s">
        <v>258</v>
      </c>
      <c r="C40" s="186" t="s">
        <v>259</v>
      </c>
      <c r="D40" s="186" t="s">
        <v>254</v>
      </c>
    </row>
    <row r="41" spans="1:4" s="194" customFormat="1" ht="50.1" customHeight="1">
      <c r="A41" s="171"/>
      <c r="B41" s="186"/>
      <c r="C41" s="186"/>
      <c r="D41" s="186" t="s">
        <v>260</v>
      </c>
    </row>
    <row r="42" spans="1:4" s="194" customFormat="1" ht="50.1" customHeight="1">
      <c r="A42" s="171"/>
      <c r="B42" s="186"/>
      <c r="C42" s="186"/>
      <c r="D42" s="186" t="s">
        <v>261</v>
      </c>
    </row>
    <row r="43" spans="1:4" s="194" customFormat="1" ht="50.1" customHeight="1">
      <c r="A43" s="171"/>
      <c r="B43" s="186"/>
      <c r="C43" s="186" t="s">
        <v>262</v>
      </c>
      <c r="D43" s="186" t="s">
        <v>263</v>
      </c>
    </row>
    <row r="44" spans="1:4" s="194" customFormat="1" ht="50.1" customHeight="1">
      <c r="A44" s="171"/>
      <c r="B44" s="186" t="s">
        <v>264</v>
      </c>
      <c r="C44" s="186" t="s">
        <v>265</v>
      </c>
      <c r="D44" s="186" t="s">
        <v>266</v>
      </c>
    </row>
    <row r="47" spans="1:4" s="194" customFormat="1" ht="50.1" customHeight="1">
      <c r="A47" s="170" t="s">
        <v>267</v>
      </c>
      <c r="B47" s="186" t="s">
        <v>268</v>
      </c>
      <c r="C47" s="186" t="s">
        <v>269</v>
      </c>
      <c r="D47" s="186" t="s">
        <v>254</v>
      </c>
    </row>
    <row r="48" spans="1:4" s="194" customFormat="1" ht="50.1" customHeight="1">
      <c r="A48" s="170"/>
      <c r="B48" s="186"/>
      <c r="C48" s="186"/>
      <c r="D48" s="186" t="s">
        <v>270</v>
      </c>
    </row>
    <row r="49" spans="1:4" s="194" customFormat="1" ht="50.1" customHeight="1">
      <c r="A49" s="170"/>
      <c r="B49" s="186"/>
      <c r="C49" s="186"/>
      <c r="D49" s="186" t="s">
        <v>261</v>
      </c>
    </row>
    <row r="50" spans="1:4" s="194" customFormat="1" ht="50.1" customHeight="1">
      <c r="A50" s="170"/>
      <c r="B50" s="186"/>
      <c r="C50" s="186" t="s">
        <v>271</v>
      </c>
      <c r="D50" s="186" t="s">
        <v>272</v>
      </c>
    </row>
    <row r="51" spans="1:4" s="194" customFormat="1" ht="50.1" customHeight="1">
      <c r="A51" s="171" t="s">
        <v>5464</v>
      </c>
      <c r="B51" s="186" t="s">
        <v>273</v>
      </c>
      <c r="C51" s="186" t="s">
        <v>274</v>
      </c>
      <c r="D51" s="186" t="s">
        <v>254</v>
      </c>
    </row>
    <row r="52" spans="1:4" s="194" customFormat="1" ht="50.1" customHeight="1">
      <c r="A52" s="171"/>
      <c r="B52" s="186"/>
      <c r="C52" s="186"/>
      <c r="D52" s="186" t="s">
        <v>275</v>
      </c>
    </row>
    <row r="53" spans="1:4" s="194" customFormat="1" ht="50.1" customHeight="1">
      <c r="A53" s="171"/>
      <c r="B53" s="186"/>
      <c r="C53" s="186"/>
      <c r="D53" s="186" t="s">
        <v>276</v>
      </c>
    </row>
    <row r="54" spans="1:4" s="194" customFormat="1" ht="50.1" customHeight="1">
      <c r="A54" s="171"/>
      <c r="B54" s="186"/>
      <c r="C54" s="186"/>
      <c r="D54" s="186" t="s">
        <v>277</v>
      </c>
    </row>
    <row r="55" spans="1:4" s="194" customFormat="1" ht="50.1" customHeight="1">
      <c r="A55" s="170" t="s">
        <v>5465</v>
      </c>
      <c r="B55" s="186" t="s">
        <v>278</v>
      </c>
      <c r="C55" s="186" t="s">
        <v>279</v>
      </c>
      <c r="D55" s="186" t="s">
        <v>254</v>
      </c>
    </row>
    <row r="56" spans="1:4" s="194" customFormat="1" ht="50.1" customHeight="1">
      <c r="A56" s="170"/>
      <c r="B56" s="186"/>
      <c r="C56" s="186"/>
      <c r="D56" s="186" t="s">
        <v>280</v>
      </c>
    </row>
    <row r="57" spans="1:4" s="194" customFormat="1" ht="50.1" customHeight="1">
      <c r="A57" s="170"/>
      <c r="B57" s="186"/>
      <c r="C57" s="186"/>
      <c r="D57" s="186" t="s">
        <v>281</v>
      </c>
    </row>
    <row r="58" spans="1:4" s="194" customFormat="1" ht="50.1" customHeight="1">
      <c r="A58" s="170"/>
      <c r="B58" s="186"/>
      <c r="C58" s="186"/>
      <c r="D58" s="186" t="s">
        <v>282</v>
      </c>
    </row>
    <row r="59" spans="1:4" s="194" customFormat="1" ht="50.1" customHeight="1">
      <c r="A59" s="170"/>
      <c r="B59" s="186"/>
      <c r="C59" s="186"/>
      <c r="D59" s="186" t="s">
        <v>283</v>
      </c>
    </row>
    <row r="60" spans="1:4" s="194" customFormat="1" ht="50.1" customHeight="1">
      <c r="A60" s="171" t="s">
        <v>5466</v>
      </c>
      <c r="B60" s="186" t="s">
        <v>284</v>
      </c>
      <c r="C60" s="186" t="s">
        <v>285</v>
      </c>
      <c r="D60" s="186" t="s">
        <v>286</v>
      </c>
    </row>
  </sheetData>
  <mergeCells count="2">
    <mergeCell ref="D6:E6"/>
    <mergeCell ref="D2:D5"/>
  </mergeCells>
  <conditionalFormatting sqref="C2:C6">
    <cfRule type="containsText" dxfId="90" priority="1" operator="containsText" text="n/a">
      <formula>NOT(ISERROR(SEARCH(("n/a"),(D2))))</formula>
    </cfRule>
    <cfRule type="containsText" dxfId="89" priority="2" operator="containsText" text="Cypress">
      <formula>NOT(ISERROR(SEARCH(("Cypress"),(D2))))</formula>
    </cfRule>
  </conditionalFormatting>
  <conditionalFormatting sqref="E8">
    <cfRule type="containsText" dxfId="88" priority="3" operator="containsText" text="cypress">
      <formula>NOT(ISERROR(SEARCH(("cypress"),(E8))))</formula>
    </cfRule>
  </conditionalFormatting>
  <conditionalFormatting sqref="E9:E86">
    <cfRule type="containsText" dxfId="87" priority="6" operator="containsText" text="pass">
      <formula>NOT(ISERROR(SEARCH("pass",E9)))</formula>
    </cfRule>
    <cfRule type="containsText" dxfId="86" priority="7" operator="containsText" text="fail">
      <formula>NOT(ISERROR(SEARCH(("fail"),(E9))))</formula>
    </cfRule>
    <cfRule type="containsText" dxfId="85" priority="12" operator="containsText" text="n/a">
      <formula>NOT(ISERROR(SEARCH("n/a",E9)))</formula>
    </cfRule>
    <cfRule type="containsText" dxfId="84" priority="13" operator="containsText" text="cypress">
      <formula>NOT(ISERROR(SEARCH("cypress",E9)))</formula>
    </cfRule>
  </conditionalFormatting>
  <conditionalFormatting sqref="E68:E86">
    <cfRule type="containsText" dxfId="83" priority="8" operator="containsText" text="n/a">
      <formula>NOT(ISERROR(SEARCH(("n/a"),(E68))))</formula>
    </cfRule>
    <cfRule type="containsText" dxfId="82" priority="9" operator="containsText" text="Cypress">
      <formula>NOT(ISERROR(SEARCH(("Cypress"),(E68))))</formula>
    </cfRule>
  </conditionalFormatting>
  <conditionalFormatting sqref="E70:E90 F91:F945">
    <cfRule type="containsText" dxfId="81" priority="10" operator="containsText" text="Pass">
      <formula>NOT(ISERROR(SEARCH(("Pass"),(E70))))</formula>
    </cfRule>
    <cfRule type="containsText" dxfId="80" priority="11" operator="containsText" text="fail">
      <formula>NOT(ISERROR(SEARCH(("fail"),(E70))))</formula>
    </cfRule>
  </conditionalFormatting>
  <conditionalFormatting sqref="F1:F7">
    <cfRule type="containsText" dxfId="79" priority="4" operator="containsText" text="n/a">
      <formula>NOT(ISERROR(SEARCH(("n/a"),(G1))))</formula>
    </cfRule>
    <cfRule type="containsText" dxfId="78" priority="5" operator="containsText" text="Cypress">
      <formula>NOT(ISERROR(SEARCH(("Cypress"),(G1))))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G14"/>
  <sheetViews>
    <sheetView topLeftCell="A8" workbookViewId="0">
      <selection activeCell="D14" sqref="D14"/>
    </sheetView>
  </sheetViews>
  <sheetFormatPr defaultColWidth="12.5703125" defaultRowHeight="15" customHeight="1"/>
  <cols>
    <col min="1" max="1" width="18.7109375" customWidth="1"/>
    <col min="2" max="4" width="45.7109375" customWidth="1"/>
    <col min="5" max="5" width="18.7109375" customWidth="1"/>
    <col min="6" max="7" width="30.7109375" customWidth="1"/>
    <col min="8" max="8" width="16.42578125" customWidth="1"/>
    <col min="9" max="9" width="73.85546875" customWidth="1"/>
    <col min="10" max="10" width="31.140625" customWidth="1"/>
  </cols>
  <sheetData>
    <row r="2" spans="1:7" s="121" customFormat="1" ht="18" customHeight="1">
      <c r="A2" s="172" t="s">
        <v>36</v>
      </c>
      <c r="B2" s="173" t="s">
        <v>37</v>
      </c>
      <c r="C2" s="177"/>
      <c r="D2" s="253" t="e" vm="2">
        <v>#VALUE!</v>
      </c>
      <c r="E2" s="179"/>
      <c r="F2" s="177"/>
      <c r="G2" s="122"/>
    </row>
    <row r="3" spans="1:7" s="121" customFormat="1" ht="18" customHeight="1">
      <c r="A3" s="172" t="s">
        <v>3</v>
      </c>
      <c r="B3" s="173"/>
      <c r="C3" s="177"/>
      <c r="D3" s="254"/>
      <c r="E3" s="179"/>
      <c r="F3" s="177"/>
      <c r="G3" s="122"/>
    </row>
    <row r="4" spans="1:7" s="121" customFormat="1" ht="18" customHeight="1">
      <c r="A4" s="172" t="s">
        <v>4</v>
      </c>
      <c r="B4" s="173" t="s">
        <v>5</v>
      </c>
      <c r="C4" s="177"/>
      <c r="D4" s="254"/>
      <c r="E4" s="179"/>
      <c r="F4" s="177"/>
      <c r="G4" s="122"/>
    </row>
    <row r="5" spans="1:7" s="121" customFormat="1" ht="18" customHeight="1">
      <c r="A5" s="172" t="s">
        <v>38</v>
      </c>
      <c r="B5" s="173" t="s">
        <v>12</v>
      </c>
      <c r="C5" s="177"/>
      <c r="D5" s="254"/>
      <c r="E5" s="179"/>
      <c r="F5" s="177"/>
      <c r="G5" s="122"/>
    </row>
    <row r="6" spans="1:7" s="121" customFormat="1" ht="18" customHeight="1">
      <c r="A6" s="200"/>
      <c r="C6" s="177"/>
      <c r="D6" s="260"/>
      <c r="E6" s="254"/>
      <c r="F6" s="177"/>
      <c r="G6" s="122"/>
    </row>
    <row r="7" spans="1:7" s="121" customFormat="1" ht="18" customHeight="1">
      <c r="A7" s="177"/>
      <c r="B7" s="177"/>
      <c r="C7" s="177"/>
      <c r="D7" s="177"/>
      <c r="E7" s="178"/>
      <c r="G7" s="122"/>
    </row>
    <row r="8" spans="1:7" s="184" customFormat="1" ht="30" customHeight="1">
      <c r="A8" s="174" t="s">
        <v>39</v>
      </c>
      <c r="B8" s="175" t="s">
        <v>40</v>
      </c>
      <c r="C8" s="175" t="s">
        <v>41</v>
      </c>
      <c r="D8" s="175" t="s">
        <v>42</v>
      </c>
      <c r="E8" s="181" t="s">
        <v>5456</v>
      </c>
      <c r="F8" s="180" t="s">
        <v>43</v>
      </c>
      <c r="G8" s="182" t="s">
        <v>44</v>
      </c>
    </row>
    <row r="9" spans="1:7" ht="80.099999999999994" customHeight="1">
      <c r="A9" s="170" t="s">
        <v>13</v>
      </c>
      <c r="B9" s="186" t="s">
        <v>287</v>
      </c>
      <c r="C9" s="186" t="s">
        <v>288</v>
      </c>
      <c r="D9" s="186" t="s">
        <v>289</v>
      </c>
      <c r="E9" s="188"/>
      <c r="F9" s="120"/>
      <c r="G9" s="121"/>
    </row>
    <row r="10" spans="1:7" ht="80.099999999999994" customHeight="1">
      <c r="A10" s="170"/>
      <c r="B10" s="186" t="s">
        <v>290</v>
      </c>
      <c r="C10" s="186" t="s">
        <v>288</v>
      </c>
      <c r="D10" s="186" t="s">
        <v>289</v>
      </c>
      <c r="E10" s="188"/>
      <c r="F10" s="120"/>
      <c r="G10" s="121"/>
    </row>
    <row r="11" spans="1:7" ht="80.099999999999994" customHeight="1">
      <c r="A11" s="170"/>
      <c r="B11" s="186" t="s">
        <v>291</v>
      </c>
      <c r="C11" s="186" t="s">
        <v>288</v>
      </c>
      <c r="D11" s="186" t="s">
        <v>289</v>
      </c>
      <c r="E11" s="188"/>
      <c r="F11" s="199"/>
      <c r="G11" s="120"/>
    </row>
    <row r="12" spans="1:7" ht="50.1" customHeight="1">
      <c r="A12" s="171" t="s">
        <v>292</v>
      </c>
      <c r="B12" s="186" t="s">
        <v>293</v>
      </c>
      <c r="C12" s="186" t="s">
        <v>92</v>
      </c>
      <c r="D12" s="186" t="s">
        <v>294</v>
      </c>
      <c r="E12" s="188"/>
      <c r="F12" s="122"/>
      <c r="G12" s="121"/>
    </row>
    <row r="13" spans="1:7" ht="50.1" customHeight="1">
      <c r="A13" s="170" t="s">
        <v>116</v>
      </c>
      <c r="B13" s="186" t="s">
        <v>295</v>
      </c>
      <c r="C13" s="186" t="s">
        <v>92</v>
      </c>
      <c r="D13" s="186" t="s">
        <v>294</v>
      </c>
      <c r="E13" s="188"/>
      <c r="F13" s="122"/>
      <c r="G13" s="121"/>
    </row>
    <row r="14" spans="1:7" ht="50.1" customHeight="1">
      <c r="A14" s="171" t="s">
        <v>296</v>
      </c>
      <c r="B14" s="186" t="s">
        <v>297</v>
      </c>
      <c r="C14" s="186" t="s">
        <v>298</v>
      </c>
      <c r="D14" s="186" t="s">
        <v>299</v>
      </c>
      <c r="E14" s="187"/>
      <c r="F14" s="121"/>
      <c r="G14" s="122"/>
    </row>
  </sheetData>
  <mergeCells count="2">
    <mergeCell ref="D6:E6"/>
    <mergeCell ref="D2:D5"/>
  </mergeCells>
  <conditionalFormatting sqref="C2:C6">
    <cfRule type="containsText" dxfId="77" priority="1" operator="containsText" text="n/a">
      <formula>NOT(ISERROR(SEARCH(("n/a"),(D2))))</formula>
    </cfRule>
    <cfRule type="containsText" dxfId="76" priority="2" operator="containsText" text="Cypress">
      <formula>NOT(ISERROR(SEARCH(("Cypress"),(D2))))</formula>
    </cfRule>
  </conditionalFormatting>
  <conditionalFormatting sqref="E8">
    <cfRule type="containsText" dxfId="75" priority="3" operator="containsText" text="cypress">
      <formula>NOT(ISERROR(SEARCH(("cypress"),(E8))))</formula>
    </cfRule>
  </conditionalFormatting>
  <conditionalFormatting sqref="E9:F916">
    <cfRule type="containsText" dxfId="74" priority="6" operator="containsText" text="pass">
      <formula>NOT(ISERROR(SEARCH("pass",E9)))</formula>
    </cfRule>
    <cfRule type="containsText" dxfId="73" priority="7" operator="containsText" text="fail">
      <formula>NOT(ISERROR(SEARCH(("fail"),(E9))))</formula>
    </cfRule>
    <cfRule type="containsText" dxfId="72" priority="8" operator="containsText" text="n/a">
      <formula>NOT(ISERROR(SEARCH("n/a",E9)))</formula>
    </cfRule>
    <cfRule type="containsText" dxfId="71" priority="9" operator="containsText" text="cypress">
      <formula>NOT(ISERROR(SEARCH("cypress",E9)))</formula>
    </cfRule>
  </conditionalFormatting>
  <conditionalFormatting sqref="F1:F7">
    <cfRule type="containsText" dxfId="70" priority="4" operator="containsText" text="n/a">
      <formula>NOT(ISERROR(SEARCH(("n/a"),(G1))))</formula>
    </cfRule>
    <cfRule type="containsText" dxfId="69" priority="5" operator="containsText" text="Cypress">
      <formula>NOT(ISERROR(SEARCH(("Cypress"),(G1))))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I84"/>
  <sheetViews>
    <sheetView topLeftCell="A80" workbookViewId="0">
      <selection activeCell="E9" sqref="E9:E84"/>
    </sheetView>
  </sheetViews>
  <sheetFormatPr defaultColWidth="12.5703125" defaultRowHeight="15" customHeight="1"/>
  <cols>
    <col min="1" max="1" width="18.7109375" customWidth="1"/>
    <col min="2" max="4" width="45.7109375" customWidth="1"/>
    <col min="5" max="5" width="18.7109375" customWidth="1"/>
    <col min="6" max="7" width="30.7109375" customWidth="1"/>
    <col min="8" max="8" width="30.7109375" style="121" customWidth="1"/>
    <col min="9" max="9" width="73.85546875" customWidth="1"/>
    <col min="10" max="10" width="31.140625" customWidth="1"/>
  </cols>
  <sheetData>
    <row r="2" spans="1:9" s="121" customFormat="1" ht="18" customHeight="1">
      <c r="A2" s="172" t="s">
        <v>36</v>
      </c>
      <c r="B2" s="173" t="s">
        <v>37</v>
      </c>
      <c r="C2" s="177"/>
      <c r="D2" s="253" t="e" vm="2">
        <v>#VALUE!</v>
      </c>
      <c r="E2" s="179"/>
      <c r="F2" s="177"/>
      <c r="G2" s="122"/>
      <c r="H2" s="177"/>
      <c r="I2" s="122"/>
    </row>
    <row r="3" spans="1:9" s="121" customFormat="1" ht="18" customHeight="1">
      <c r="A3" s="172" t="s">
        <v>3</v>
      </c>
      <c r="B3" s="173"/>
      <c r="C3" s="177"/>
      <c r="D3" s="254"/>
      <c r="E3" s="179"/>
      <c r="F3" s="177"/>
      <c r="G3" s="122"/>
      <c r="H3" s="177"/>
      <c r="I3" s="122"/>
    </row>
    <row r="4" spans="1:9" s="121" customFormat="1" ht="18" customHeight="1">
      <c r="A4" s="172" t="s">
        <v>4</v>
      </c>
      <c r="B4" s="173" t="s">
        <v>5</v>
      </c>
      <c r="C4" s="177"/>
      <c r="D4" s="254"/>
      <c r="E4" s="179"/>
      <c r="F4" s="177"/>
      <c r="G4" s="122"/>
      <c r="H4" s="177"/>
      <c r="I4" s="122"/>
    </row>
    <row r="5" spans="1:9" s="121" customFormat="1" ht="18" customHeight="1">
      <c r="A5" s="172" t="s">
        <v>38</v>
      </c>
      <c r="B5" s="173" t="s">
        <v>12</v>
      </c>
      <c r="C5" s="177"/>
      <c r="D5" s="254"/>
      <c r="E5" s="179"/>
      <c r="F5" s="177"/>
      <c r="G5" s="122"/>
      <c r="H5" s="177"/>
      <c r="I5" s="122"/>
    </row>
    <row r="6" spans="1:9" s="121" customFormat="1" ht="18" customHeight="1">
      <c r="A6" s="200"/>
      <c r="C6" s="177"/>
      <c r="D6" s="260"/>
      <c r="E6" s="254"/>
      <c r="F6" s="177"/>
      <c r="G6" s="122"/>
      <c r="H6" s="177"/>
      <c r="I6" s="122"/>
    </row>
    <row r="7" spans="1:9" s="121" customFormat="1" ht="18" customHeight="1">
      <c r="A7" s="177"/>
      <c r="B7" s="177"/>
      <c r="C7" s="177"/>
      <c r="D7" s="177"/>
      <c r="E7" s="178"/>
      <c r="G7" s="122"/>
      <c r="I7" s="122"/>
    </row>
    <row r="8" spans="1:9" s="184" customFormat="1" ht="30" customHeight="1">
      <c r="A8" s="174" t="s">
        <v>39</v>
      </c>
      <c r="B8" s="175" t="s">
        <v>40</v>
      </c>
      <c r="C8" s="175" t="s">
        <v>41</v>
      </c>
      <c r="D8" s="175" t="s">
        <v>42</v>
      </c>
      <c r="E8" s="181" t="s">
        <v>5456</v>
      </c>
      <c r="F8" s="180" t="s">
        <v>43</v>
      </c>
      <c r="G8" s="182" t="s">
        <v>44</v>
      </c>
      <c r="H8" s="176"/>
      <c r="I8" s="183"/>
    </row>
    <row r="9" spans="1:9" s="194" customFormat="1" ht="65.099999999999994" customHeight="1">
      <c r="A9" s="170" t="s">
        <v>300</v>
      </c>
      <c r="B9" s="202" t="s">
        <v>301</v>
      </c>
      <c r="C9" s="203" t="s">
        <v>302</v>
      </c>
      <c r="D9" s="203" t="s">
        <v>303</v>
      </c>
      <c r="E9" s="160" t="s">
        <v>5507</v>
      </c>
      <c r="F9" s="157"/>
      <c r="G9" s="247"/>
      <c r="H9" s="198"/>
    </row>
    <row r="10" spans="1:9" s="194" customFormat="1" ht="103.15" customHeight="1">
      <c r="A10" s="170"/>
      <c r="B10" s="202" t="s">
        <v>304</v>
      </c>
      <c r="C10" s="203" t="s">
        <v>302</v>
      </c>
      <c r="D10" s="203" t="s">
        <v>305</v>
      </c>
      <c r="E10" s="160" t="s">
        <v>5507</v>
      </c>
      <c r="F10" s="157" t="s">
        <v>5509</v>
      </c>
      <c r="G10" s="157"/>
      <c r="H10" s="198"/>
    </row>
    <row r="11" spans="1:9" s="194" customFormat="1" ht="65.099999999999994" customHeight="1">
      <c r="A11" s="170"/>
      <c r="B11" s="203" t="s">
        <v>306</v>
      </c>
      <c r="C11" s="203" t="s">
        <v>302</v>
      </c>
      <c r="D11" s="203" t="s">
        <v>307</v>
      </c>
      <c r="E11" s="160" t="s">
        <v>5507</v>
      </c>
      <c r="F11" s="157"/>
      <c r="G11" s="247"/>
      <c r="H11" s="198"/>
    </row>
    <row r="12" spans="1:9" s="194" customFormat="1" ht="65.099999999999994" customHeight="1">
      <c r="A12" s="170"/>
      <c r="B12" s="203" t="s">
        <v>308</v>
      </c>
      <c r="C12" s="203" t="s">
        <v>302</v>
      </c>
      <c r="D12" s="203" t="s">
        <v>5497</v>
      </c>
      <c r="E12" s="160" t="s">
        <v>5507</v>
      </c>
      <c r="F12" s="157"/>
      <c r="G12" s="247"/>
      <c r="H12" s="198"/>
    </row>
    <row r="13" spans="1:9" s="194" customFormat="1" ht="65.099999999999994" customHeight="1">
      <c r="A13" s="170"/>
      <c r="B13" s="203" t="s">
        <v>309</v>
      </c>
      <c r="C13" s="203" t="s">
        <v>302</v>
      </c>
      <c r="D13" s="203" t="s">
        <v>310</v>
      </c>
      <c r="E13" s="160" t="s">
        <v>5507</v>
      </c>
      <c r="F13" s="157"/>
      <c r="G13" s="247"/>
      <c r="H13" s="198"/>
    </row>
    <row r="14" spans="1:9" s="194" customFormat="1" ht="80.099999999999994" customHeight="1">
      <c r="A14" s="171" t="s">
        <v>311</v>
      </c>
      <c r="B14" s="203" t="s">
        <v>312</v>
      </c>
      <c r="C14" s="203" t="s">
        <v>302</v>
      </c>
      <c r="D14" s="203" t="s">
        <v>313</v>
      </c>
      <c r="E14" s="160" t="s">
        <v>5507</v>
      </c>
      <c r="F14" s="157"/>
      <c r="G14" s="157"/>
      <c r="H14" s="198"/>
    </row>
    <row r="15" spans="1:9" s="194" customFormat="1" ht="80.099999999999994" customHeight="1">
      <c r="A15" s="171"/>
      <c r="B15" s="203" t="s">
        <v>312</v>
      </c>
      <c r="C15" s="203" t="s">
        <v>302</v>
      </c>
      <c r="D15" s="203" t="s">
        <v>5498</v>
      </c>
      <c r="E15" s="160" t="s">
        <v>5507</v>
      </c>
      <c r="F15" s="157"/>
      <c r="G15" s="157"/>
      <c r="H15" s="198"/>
    </row>
    <row r="16" spans="1:9" s="194" customFormat="1" ht="80.099999999999994" customHeight="1">
      <c r="A16" s="171"/>
      <c r="B16" s="203" t="s">
        <v>312</v>
      </c>
      <c r="C16" s="203" t="s">
        <v>302</v>
      </c>
      <c r="D16" s="203" t="s">
        <v>5471</v>
      </c>
      <c r="E16" s="160" t="s">
        <v>5507</v>
      </c>
      <c r="F16" s="157"/>
      <c r="G16" s="247"/>
      <c r="H16" s="198"/>
    </row>
    <row r="17" spans="1:8" s="194" customFormat="1" ht="80.099999999999994" customHeight="1">
      <c r="A17" s="171"/>
      <c r="B17" s="203" t="s">
        <v>312</v>
      </c>
      <c r="C17" s="203" t="s">
        <v>302</v>
      </c>
      <c r="D17" s="203" t="s">
        <v>5503</v>
      </c>
      <c r="E17" s="160" t="s">
        <v>5507</v>
      </c>
      <c r="F17" s="157"/>
      <c r="G17" s="248" t="s">
        <v>5499</v>
      </c>
      <c r="H17" s="198"/>
    </row>
    <row r="18" spans="1:8" s="194" customFormat="1" ht="80.099999999999994" customHeight="1">
      <c r="A18" s="171"/>
      <c r="B18" s="203" t="s">
        <v>314</v>
      </c>
      <c r="C18" s="203" t="s">
        <v>315</v>
      </c>
      <c r="D18" s="203" t="s">
        <v>316</v>
      </c>
      <c r="E18" s="160" t="s">
        <v>5507</v>
      </c>
      <c r="F18" s="157"/>
      <c r="G18" s="247"/>
      <c r="H18" s="198"/>
    </row>
    <row r="19" spans="1:8" s="194" customFormat="1" ht="50.1" customHeight="1">
      <c r="A19" s="170" t="s">
        <v>317</v>
      </c>
      <c r="B19" s="203" t="s">
        <v>318</v>
      </c>
      <c r="C19" s="203" t="s">
        <v>319</v>
      </c>
      <c r="D19" s="203" t="s">
        <v>320</v>
      </c>
      <c r="E19" s="160" t="s">
        <v>5507</v>
      </c>
      <c r="F19" s="157"/>
      <c r="G19" s="247"/>
      <c r="H19" s="198"/>
    </row>
    <row r="20" spans="1:8" s="194" customFormat="1" ht="50.1" customHeight="1">
      <c r="A20" s="170"/>
      <c r="B20" s="203" t="s">
        <v>321</v>
      </c>
      <c r="C20" s="203" t="s">
        <v>319</v>
      </c>
      <c r="D20" s="203" t="s">
        <v>320</v>
      </c>
      <c r="E20" s="160" t="s">
        <v>5507</v>
      </c>
      <c r="F20" s="157"/>
      <c r="G20" s="247"/>
      <c r="H20" s="198"/>
    </row>
    <row r="21" spans="1:8" s="194" customFormat="1" ht="65.099999999999994" customHeight="1">
      <c r="A21" s="170"/>
      <c r="B21" s="203" t="s">
        <v>5504</v>
      </c>
      <c r="C21" s="203" t="s">
        <v>319</v>
      </c>
      <c r="D21" s="203" t="s">
        <v>322</v>
      </c>
      <c r="E21" s="160" t="s">
        <v>5507</v>
      </c>
      <c r="F21" s="157"/>
      <c r="G21" s="248" t="s">
        <v>5500</v>
      </c>
      <c r="H21" s="198"/>
    </row>
    <row r="22" spans="1:8" s="194" customFormat="1" ht="65.099999999999994" customHeight="1">
      <c r="A22" s="170"/>
      <c r="B22" s="203" t="s">
        <v>323</v>
      </c>
      <c r="C22" s="203" t="s">
        <v>319</v>
      </c>
      <c r="D22" s="203" t="s">
        <v>324</v>
      </c>
      <c r="E22" s="160" t="s">
        <v>5507</v>
      </c>
      <c r="F22" s="157"/>
      <c r="G22" s="247"/>
      <c r="H22" s="198"/>
    </row>
    <row r="23" spans="1:8" s="194" customFormat="1" ht="65.099999999999994" customHeight="1">
      <c r="A23" s="170"/>
      <c r="B23" s="203" t="s">
        <v>325</v>
      </c>
      <c r="C23" s="203" t="s">
        <v>319</v>
      </c>
      <c r="D23" s="203" t="s">
        <v>324</v>
      </c>
      <c r="E23" s="160" t="s">
        <v>5507</v>
      </c>
      <c r="F23" s="157"/>
      <c r="G23" s="247"/>
      <c r="H23" s="198"/>
    </row>
    <row r="24" spans="1:8" s="194" customFormat="1" ht="65.099999999999994" customHeight="1">
      <c r="A24" s="171" t="s">
        <v>326</v>
      </c>
      <c r="B24" s="203" t="s">
        <v>327</v>
      </c>
      <c r="C24" s="203" t="s">
        <v>328</v>
      </c>
      <c r="D24" s="203" t="s">
        <v>5501</v>
      </c>
      <c r="E24" s="160" t="s">
        <v>5507</v>
      </c>
      <c r="F24" s="157"/>
      <c r="G24" s="247"/>
      <c r="H24" s="198"/>
    </row>
    <row r="25" spans="1:8" s="194" customFormat="1" ht="65.099999999999994" customHeight="1">
      <c r="A25" s="171"/>
      <c r="B25" s="203" t="s">
        <v>327</v>
      </c>
      <c r="C25" s="203" t="s">
        <v>329</v>
      </c>
      <c r="D25" s="203" t="s">
        <v>330</v>
      </c>
      <c r="E25" s="160" t="s">
        <v>5507</v>
      </c>
      <c r="F25" s="157"/>
      <c r="G25" s="247"/>
      <c r="H25" s="198"/>
    </row>
    <row r="26" spans="1:8" s="194" customFormat="1" ht="65.099999999999994" customHeight="1">
      <c r="A26" s="171"/>
      <c r="B26" s="203" t="s">
        <v>327</v>
      </c>
      <c r="C26" s="203" t="s">
        <v>331</v>
      </c>
      <c r="D26" s="203" t="s">
        <v>332</v>
      </c>
      <c r="E26" s="160" t="s">
        <v>5507</v>
      </c>
      <c r="F26" s="157"/>
      <c r="G26" s="247"/>
      <c r="H26" s="198"/>
    </row>
    <row r="27" spans="1:8" s="194" customFormat="1" ht="65.099999999999994" customHeight="1">
      <c r="A27" s="171"/>
      <c r="B27" s="203" t="s">
        <v>327</v>
      </c>
      <c r="C27" s="203" t="s">
        <v>333</v>
      </c>
      <c r="D27" s="203" t="s">
        <v>334</v>
      </c>
      <c r="E27" s="160" t="s">
        <v>5507</v>
      </c>
      <c r="F27" s="157"/>
      <c r="G27" s="247"/>
      <c r="H27" s="198"/>
    </row>
    <row r="28" spans="1:8" s="194" customFormat="1" ht="65.099999999999994" customHeight="1">
      <c r="A28" s="171"/>
      <c r="B28" s="203" t="s">
        <v>327</v>
      </c>
      <c r="C28" s="203" t="s">
        <v>335</v>
      </c>
      <c r="D28" s="203" t="s">
        <v>336</v>
      </c>
      <c r="E28" s="160" t="s">
        <v>5507</v>
      </c>
      <c r="F28" s="157"/>
      <c r="G28" s="247"/>
      <c r="H28" s="198"/>
    </row>
    <row r="29" spans="1:8" s="194" customFormat="1" ht="159" customHeight="1">
      <c r="A29" s="170" t="s">
        <v>337</v>
      </c>
      <c r="B29" s="203" t="s">
        <v>338</v>
      </c>
      <c r="C29" s="203" t="s">
        <v>339</v>
      </c>
      <c r="D29" s="206" t="s">
        <v>5468</v>
      </c>
      <c r="E29" s="160" t="s">
        <v>5502</v>
      </c>
      <c r="F29" s="157"/>
      <c r="G29" s="247"/>
      <c r="H29" s="198"/>
    </row>
    <row r="30" spans="1:8" s="194" customFormat="1" ht="65.099999999999994" customHeight="1">
      <c r="A30" s="170"/>
      <c r="B30" s="203" t="s">
        <v>340</v>
      </c>
      <c r="C30" s="203" t="s">
        <v>341</v>
      </c>
      <c r="D30" s="203" t="s">
        <v>342</v>
      </c>
      <c r="E30" s="160" t="s">
        <v>5502</v>
      </c>
      <c r="F30" s="157"/>
      <c r="G30" s="247"/>
      <c r="H30" s="198"/>
    </row>
    <row r="31" spans="1:8" s="194" customFormat="1" ht="65.099999999999994" customHeight="1">
      <c r="A31" s="170"/>
      <c r="B31" s="203" t="s">
        <v>340</v>
      </c>
      <c r="C31" s="203" t="s">
        <v>343</v>
      </c>
      <c r="D31" s="203" t="s">
        <v>344</v>
      </c>
      <c r="E31" s="160" t="s">
        <v>5502</v>
      </c>
      <c r="F31" s="157"/>
      <c r="G31" s="247"/>
      <c r="H31" s="198"/>
    </row>
    <row r="32" spans="1:8" s="194" customFormat="1" ht="65.099999999999994" customHeight="1">
      <c r="A32" s="170"/>
      <c r="B32" s="203" t="s">
        <v>340</v>
      </c>
      <c r="C32" s="203" t="s">
        <v>345</v>
      </c>
      <c r="D32" s="203" t="s">
        <v>346</v>
      </c>
      <c r="E32" s="160" t="s">
        <v>5502</v>
      </c>
      <c r="F32" s="157"/>
      <c r="G32" s="247"/>
      <c r="H32" s="198"/>
    </row>
    <row r="33" spans="1:9" s="194" customFormat="1" ht="65.099999999999994" customHeight="1">
      <c r="A33" s="170"/>
      <c r="B33" s="203" t="s">
        <v>340</v>
      </c>
      <c r="C33" s="203" t="s">
        <v>347</v>
      </c>
      <c r="D33" s="203" t="s">
        <v>344</v>
      </c>
      <c r="E33" s="160" t="s">
        <v>5502</v>
      </c>
      <c r="F33" s="157"/>
      <c r="G33" s="157"/>
      <c r="H33" s="192"/>
      <c r="I33" s="193"/>
    </row>
    <row r="34" spans="1:9" s="194" customFormat="1" ht="65.099999999999994" customHeight="1">
      <c r="A34" s="170"/>
      <c r="B34" s="203" t="s">
        <v>340</v>
      </c>
      <c r="C34" s="203" t="s">
        <v>348</v>
      </c>
      <c r="D34" s="203" t="s">
        <v>349</v>
      </c>
      <c r="E34" s="160" t="s">
        <v>5502</v>
      </c>
      <c r="F34" s="157"/>
      <c r="G34" s="157"/>
      <c r="H34" s="192"/>
      <c r="I34" s="193"/>
    </row>
    <row r="35" spans="1:9" s="194" customFormat="1" ht="65.099999999999994" customHeight="1">
      <c r="A35" s="170"/>
      <c r="B35" s="203" t="s">
        <v>350</v>
      </c>
      <c r="C35" s="203" t="s">
        <v>341</v>
      </c>
      <c r="D35" s="203" t="s">
        <v>351</v>
      </c>
      <c r="E35" s="160" t="s">
        <v>5502</v>
      </c>
      <c r="F35" s="157"/>
      <c r="G35" s="157" t="s">
        <v>352</v>
      </c>
      <c r="H35" s="192"/>
      <c r="I35" s="193"/>
    </row>
    <row r="36" spans="1:9" s="194" customFormat="1" ht="65.099999999999994" customHeight="1">
      <c r="A36" s="170"/>
      <c r="B36" s="203" t="s">
        <v>353</v>
      </c>
      <c r="C36" s="203" t="s">
        <v>354</v>
      </c>
      <c r="D36" s="203" t="s">
        <v>355</v>
      </c>
      <c r="E36" s="160" t="s">
        <v>5502</v>
      </c>
      <c r="F36" s="157"/>
      <c r="G36" s="157"/>
      <c r="H36" s="192"/>
      <c r="I36" s="193"/>
    </row>
    <row r="37" spans="1:9" s="194" customFormat="1" ht="65.099999999999994" customHeight="1">
      <c r="A37" s="171" t="s">
        <v>356</v>
      </c>
      <c r="B37" s="203" t="s">
        <v>357</v>
      </c>
      <c r="C37" s="203" t="s">
        <v>358</v>
      </c>
      <c r="D37" s="203" t="s">
        <v>359</v>
      </c>
      <c r="E37" s="160" t="s">
        <v>5502</v>
      </c>
      <c r="F37" s="157"/>
      <c r="G37" s="157"/>
      <c r="H37" s="192"/>
      <c r="I37" s="193"/>
    </row>
    <row r="38" spans="1:9" s="194" customFormat="1" ht="65.099999999999994" customHeight="1">
      <c r="A38" s="171"/>
      <c r="B38" s="203" t="s">
        <v>360</v>
      </c>
      <c r="C38" s="203" t="s">
        <v>358</v>
      </c>
      <c r="D38" s="203" t="s">
        <v>359</v>
      </c>
      <c r="E38" s="160" t="s">
        <v>5502</v>
      </c>
      <c r="F38" s="157"/>
      <c r="G38" s="157"/>
      <c r="H38" s="192"/>
      <c r="I38" s="193"/>
    </row>
    <row r="39" spans="1:9" s="194" customFormat="1" ht="65.099999999999994" customHeight="1">
      <c r="A39" s="171"/>
      <c r="B39" s="203" t="s">
        <v>361</v>
      </c>
      <c r="C39" s="203" t="s">
        <v>358</v>
      </c>
      <c r="D39" s="203" t="s">
        <v>362</v>
      </c>
      <c r="E39" s="160" t="s">
        <v>5502</v>
      </c>
      <c r="F39" s="157"/>
      <c r="G39" s="157"/>
      <c r="H39" s="192"/>
      <c r="I39" s="193"/>
    </row>
    <row r="40" spans="1:9" s="194" customFormat="1" ht="65.099999999999994" customHeight="1">
      <c r="A40" s="170" t="s">
        <v>363</v>
      </c>
      <c r="B40" s="203" t="s">
        <v>364</v>
      </c>
      <c r="C40" s="203" t="s">
        <v>365</v>
      </c>
      <c r="D40" s="203" t="s">
        <v>366</v>
      </c>
      <c r="E40" s="160" t="s">
        <v>5502</v>
      </c>
      <c r="F40" s="157"/>
      <c r="G40" s="157"/>
      <c r="H40" s="192"/>
      <c r="I40" s="193"/>
    </row>
    <row r="41" spans="1:9" s="194" customFormat="1" ht="65.099999999999994" customHeight="1">
      <c r="A41" s="170"/>
      <c r="B41" s="203" t="s">
        <v>367</v>
      </c>
      <c r="C41" s="203" t="s">
        <v>365</v>
      </c>
      <c r="D41" s="203" t="s">
        <v>368</v>
      </c>
      <c r="E41" s="160" t="s">
        <v>5502</v>
      </c>
      <c r="F41" s="157"/>
      <c r="G41" s="157"/>
      <c r="H41" s="192"/>
      <c r="I41" s="193"/>
    </row>
    <row r="42" spans="1:9" s="194" customFormat="1" ht="65.099999999999994" customHeight="1">
      <c r="A42" s="170"/>
      <c r="B42" s="203" t="s">
        <v>369</v>
      </c>
      <c r="C42" s="203" t="s">
        <v>365</v>
      </c>
      <c r="D42" s="203" t="s">
        <v>370</v>
      </c>
      <c r="E42" s="160" t="s">
        <v>5502</v>
      </c>
      <c r="F42" s="157"/>
      <c r="G42" s="157"/>
      <c r="H42" s="192"/>
      <c r="I42" s="193"/>
    </row>
    <row r="43" spans="1:9" s="194" customFormat="1" ht="80.099999999999994" customHeight="1">
      <c r="A43" s="171" t="s">
        <v>371</v>
      </c>
      <c r="B43" s="203" t="s">
        <v>372</v>
      </c>
      <c r="C43" s="203" t="s">
        <v>373</v>
      </c>
      <c r="D43" s="203" t="s">
        <v>374</v>
      </c>
      <c r="E43" s="160" t="s">
        <v>5502</v>
      </c>
      <c r="F43" s="157"/>
      <c r="G43" s="157"/>
      <c r="H43" s="192"/>
      <c r="I43" s="193"/>
    </row>
    <row r="44" spans="1:9" s="194" customFormat="1" ht="80.099999999999994" customHeight="1">
      <c r="A44" s="170" t="s">
        <v>375</v>
      </c>
      <c r="B44" s="203" t="s">
        <v>376</v>
      </c>
      <c r="C44" s="203" t="s">
        <v>377</v>
      </c>
      <c r="D44" s="203" t="s">
        <v>378</v>
      </c>
      <c r="E44" s="160" t="s">
        <v>5502</v>
      </c>
      <c r="F44" s="157"/>
      <c r="G44" s="157"/>
      <c r="H44" s="192"/>
      <c r="I44" s="193"/>
    </row>
    <row r="45" spans="1:9" s="194" customFormat="1" ht="80.099999999999994" customHeight="1">
      <c r="A45" s="170"/>
      <c r="B45" s="203" t="s">
        <v>379</v>
      </c>
      <c r="C45" s="203" t="s">
        <v>377</v>
      </c>
      <c r="D45" s="203" t="s">
        <v>380</v>
      </c>
      <c r="E45" s="160" t="s">
        <v>5502</v>
      </c>
      <c r="F45" s="157"/>
      <c r="G45" s="157"/>
      <c r="H45" s="192"/>
      <c r="I45" s="193"/>
    </row>
    <row r="46" spans="1:9" s="194" customFormat="1" ht="80.099999999999994" customHeight="1">
      <c r="A46" s="170"/>
      <c r="B46" s="203" t="s">
        <v>381</v>
      </c>
      <c r="C46" s="203" t="s">
        <v>377</v>
      </c>
      <c r="D46" s="203" t="s">
        <v>382</v>
      </c>
      <c r="E46" s="160" t="s">
        <v>5502</v>
      </c>
      <c r="F46" s="157"/>
      <c r="G46" s="157"/>
      <c r="H46" s="192"/>
      <c r="I46" s="193"/>
    </row>
    <row r="47" spans="1:9" s="194" customFormat="1" ht="80.099999999999994" customHeight="1">
      <c r="A47" s="171" t="s">
        <v>383</v>
      </c>
      <c r="B47" s="203" t="s">
        <v>384</v>
      </c>
      <c r="C47" s="203" t="s">
        <v>377</v>
      </c>
      <c r="D47" s="203" t="s">
        <v>385</v>
      </c>
      <c r="E47" s="160" t="s">
        <v>5502</v>
      </c>
      <c r="F47" s="157"/>
      <c r="G47" s="157"/>
      <c r="H47" s="192"/>
      <c r="I47" s="193"/>
    </row>
    <row r="48" spans="1:9" s="194" customFormat="1" ht="80.099999999999994" customHeight="1">
      <c r="A48" s="171"/>
      <c r="B48" s="203" t="s">
        <v>386</v>
      </c>
      <c r="C48" s="203" t="s">
        <v>377</v>
      </c>
      <c r="D48" s="203" t="s">
        <v>387</v>
      </c>
      <c r="E48" s="160" t="s">
        <v>5502</v>
      </c>
      <c r="F48" s="157"/>
      <c r="G48" s="157"/>
      <c r="H48" s="192"/>
      <c r="I48" s="193"/>
    </row>
    <row r="49" spans="1:9" s="194" customFormat="1" ht="80.099999999999994" customHeight="1">
      <c r="A49" s="171"/>
      <c r="B49" s="203" t="s">
        <v>388</v>
      </c>
      <c r="C49" s="203" t="s">
        <v>377</v>
      </c>
      <c r="D49" s="203" t="s">
        <v>389</v>
      </c>
      <c r="E49" s="160" t="s">
        <v>5502</v>
      </c>
      <c r="F49" s="157"/>
      <c r="G49" s="157"/>
      <c r="H49" s="192"/>
      <c r="I49" s="193"/>
    </row>
    <row r="50" spans="1:9" s="194" customFormat="1" ht="80.099999999999994" customHeight="1">
      <c r="A50" s="170" t="s">
        <v>390</v>
      </c>
      <c r="B50" s="203" t="s">
        <v>391</v>
      </c>
      <c r="C50" s="203" t="s">
        <v>392</v>
      </c>
      <c r="D50" s="203" t="s">
        <v>393</v>
      </c>
      <c r="E50" s="160" t="s">
        <v>5502</v>
      </c>
      <c r="F50" s="157"/>
      <c r="G50" s="157"/>
      <c r="H50" s="192"/>
      <c r="I50" s="193"/>
    </row>
    <row r="51" spans="1:9" s="194" customFormat="1" ht="80.099999999999994" customHeight="1">
      <c r="A51" s="170"/>
      <c r="B51" s="203" t="s">
        <v>394</v>
      </c>
      <c r="C51" s="203" t="s">
        <v>392</v>
      </c>
      <c r="D51" s="203" t="s">
        <v>395</v>
      </c>
      <c r="E51" s="160" t="s">
        <v>5502</v>
      </c>
      <c r="F51" s="157"/>
      <c r="G51" s="157"/>
      <c r="H51" s="192"/>
      <c r="I51" s="193"/>
    </row>
    <row r="52" spans="1:9" s="194" customFormat="1" ht="80.099999999999994" customHeight="1">
      <c r="A52" s="171" t="s">
        <v>396</v>
      </c>
      <c r="B52" s="203" t="s">
        <v>397</v>
      </c>
      <c r="C52" s="203" t="s">
        <v>398</v>
      </c>
      <c r="D52" s="203" t="s">
        <v>399</v>
      </c>
      <c r="E52" s="160" t="s">
        <v>5502</v>
      </c>
      <c r="F52" s="157"/>
      <c r="G52" s="157"/>
      <c r="H52" s="192"/>
      <c r="I52" s="193"/>
    </row>
    <row r="53" spans="1:9" s="194" customFormat="1" ht="80.099999999999994" customHeight="1">
      <c r="A53" s="170" t="s">
        <v>400</v>
      </c>
      <c r="B53" s="203" t="s">
        <v>401</v>
      </c>
      <c r="C53" s="203" t="s">
        <v>402</v>
      </c>
      <c r="D53" s="203" t="s">
        <v>403</v>
      </c>
      <c r="E53" s="160" t="s">
        <v>5502</v>
      </c>
      <c r="F53" s="157"/>
      <c r="G53" s="157"/>
      <c r="H53" s="192"/>
      <c r="I53" s="193"/>
    </row>
    <row r="54" spans="1:9" s="194" customFormat="1" ht="80.099999999999994" customHeight="1">
      <c r="A54" s="170"/>
      <c r="B54" s="203" t="s">
        <v>404</v>
      </c>
      <c r="C54" s="203" t="s">
        <v>405</v>
      </c>
      <c r="D54" s="203" t="s">
        <v>406</v>
      </c>
      <c r="E54" s="160" t="s">
        <v>5502</v>
      </c>
      <c r="F54" s="157"/>
      <c r="G54" s="157"/>
      <c r="H54" s="192"/>
      <c r="I54" s="193"/>
    </row>
    <row r="55" spans="1:9" s="194" customFormat="1" ht="99.95" customHeight="1">
      <c r="A55" s="171" t="s">
        <v>407</v>
      </c>
      <c r="B55" s="203" t="s">
        <v>408</v>
      </c>
      <c r="C55" s="203" t="s">
        <v>365</v>
      </c>
      <c r="D55" s="206" t="s">
        <v>409</v>
      </c>
      <c r="E55" s="160" t="s">
        <v>5502</v>
      </c>
      <c r="F55" s="157"/>
      <c r="G55" s="157"/>
      <c r="H55" s="192"/>
      <c r="I55" s="193"/>
    </row>
    <row r="56" spans="1:9" s="194" customFormat="1" ht="150" customHeight="1">
      <c r="A56" s="171"/>
      <c r="B56" s="203" t="s">
        <v>408</v>
      </c>
      <c r="C56" s="203" t="s">
        <v>365</v>
      </c>
      <c r="D56" s="206" t="s">
        <v>410</v>
      </c>
      <c r="E56" s="160" t="s">
        <v>5502</v>
      </c>
      <c r="F56" s="157"/>
      <c r="G56" s="157"/>
      <c r="H56" s="192"/>
      <c r="I56" s="193"/>
    </row>
    <row r="57" spans="1:9" s="194" customFormat="1" ht="150" customHeight="1">
      <c r="A57" s="171"/>
      <c r="B57" s="203" t="s">
        <v>408</v>
      </c>
      <c r="C57" s="203" t="s">
        <v>365</v>
      </c>
      <c r="D57" s="203" t="s">
        <v>411</v>
      </c>
      <c r="E57" s="160" t="s">
        <v>5502</v>
      </c>
      <c r="F57" s="157"/>
      <c r="G57" s="157" t="s">
        <v>412</v>
      </c>
      <c r="H57" s="192"/>
      <c r="I57" s="193"/>
    </row>
    <row r="58" spans="1:9" s="194" customFormat="1" ht="150" customHeight="1">
      <c r="A58" s="171"/>
      <c r="B58" s="203" t="s">
        <v>408</v>
      </c>
      <c r="C58" s="203" t="s">
        <v>365</v>
      </c>
      <c r="D58" s="207" t="s">
        <v>5469</v>
      </c>
      <c r="E58" s="160" t="s">
        <v>5502</v>
      </c>
      <c r="F58" s="157"/>
      <c r="G58" s="157"/>
      <c r="H58" s="192"/>
      <c r="I58" s="193"/>
    </row>
    <row r="59" spans="1:9" s="194" customFormat="1" ht="120" customHeight="1">
      <c r="A59" s="170" t="s">
        <v>413</v>
      </c>
      <c r="B59" s="203" t="s">
        <v>414</v>
      </c>
      <c r="C59" s="203" t="s">
        <v>415</v>
      </c>
      <c r="D59" s="203" t="s">
        <v>416</v>
      </c>
      <c r="E59" s="160" t="s">
        <v>5502</v>
      </c>
      <c r="F59" s="157"/>
      <c r="G59" s="157"/>
      <c r="H59" s="192"/>
      <c r="I59" s="193"/>
    </row>
    <row r="60" spans="1:9" s="194" customFormat="1" ht="120" customHeight="1">
      <c r="A60" s="170"/>
      <c r="B60" s="203" t="s">
        <v>417</v>
      </c>
      <c r="C60" s="203" t="s">
        <v>415</v>
      </c>
      <c r="D60" s="203" t="s">
        <v>418</v>
      </c>
      <c r="E60" s="160" t="s">
        <v>5502</v>
      </c>
      <c r="F60" s="157"/>
      <c r="G60" s="157"/>
      <c r="H60" s="192"/>
      <c r="I60" s="193"/>
    </row>
    <row r="61" spans="1:9" s="194" customFormat="1" ht="120" customHeight="1">
      <c r="A61" s="170"/>
      <c r="B61" s="203" t="s">
        <v>414</v>
      </c>
      <c r="C61" s="203" t="s">
        <v>419</v>
      </c>
      <c r="D61" s="206" t="s">
        <v>420</v>
      </c>
      <c r="E61" s="160" t="s">
        <v>5502</v>
      </c>
      <c r="F61" s="157"/>
      <c r="G61" s="157"/>
      <c r="H61" s="192"/>
      <c r="I61" s="193"/>
    </row>
    <row r="62" spans="1:9" s="194" customFormat="1" ht="120" customHeight="1">
      <c r="A62" s="170"/>
      <c r="B62" s="203" t="s">
        <v>417</v>
      </c>
      <c r="C62" s="203" t="s">
        <v>419</v>
      </c>
      <c r="D62" s="206" t="s">
        <v>421</v>
      </c>
      <c r="E62" s="160" t="s">
        <v>5502</v>
      </c>
      <c r="F62" s="157"/>
      <c r="G62" s="157"/>
      <c r="H62" s="192"/>
      <c r="I62" s="193"/>
    </row>
    <row r="63" spans="1:9" s="194" customFormat="1" ht="120" customHeight="1">
      <c r="A63" s="170"/>
      <c r="B63" s="203" t="s">
        <v>422</v>
      </c>
      <c r="C63" s="203" t="s">
        <v>423</v>
      </c>
      <c r="D63" s="206" t="s">
        <v>424</v>
      </c>
      <c r="E63" s="160" t="s">
        <v>5502</v>
      </c>
      <c r="F63" s="157"/>
      <c r="G63" s="157"/>
      <c r="H63" s="192"/>
      <c r="I63" s="193"/>
    </row>
    <row r="64" spans="1:9" s="194" customFormat="1" ht="120" customHeight="1">
      <c r="A64" s="170"/>
      <c r="B64" s="203" t="s">
        <v>422</v>
      </c>
      <c r="C64" s="203" t="s">
        <v>425</v>
      </c>
      <c r="D64" s="203" t="s">
        <v>426</v>
      </c>
      <c r="E64" s="160" t="s">
        <v>5502</v>
      </c>
      <c r="F64" s="157"/>
      <c r="G64" s="157"/>
      <c r="H64" s="192"/>
      <c r="I64" s="193"/>
    </row>
    <row r="65" spans="1:9" s="194" customFormat="1" ht="120" customHeight="1">
      <c r="A65" s="170"/>
      <c r="B65" s="203" t="s">
        <v>422</v>
      </c>
      <c r="C65" s="203" t="s">
        <v>427</v>
      </c>
      <c r="D65" s="206" t="s">
        <v>409</v>
      </c>
      <c r="E65" s="160" t="s">
        <v>5502</v>
      </c>
      <c r="F65" s="157"/>
      <c r="G65" s="157"/>
      <c r="H65" s="192"/>
      <c r="I65" s="193"/>
    </row>
    <row r="66" spans="1:9" s="194" customFormat="1" ht="120" customHeight="1">
      <c r="A66" s="170"/>
      <c r="B66" s="203" t="s">
        <v>422</v>
      </c>
      <c r="C66" s="203" t="s">
        <v>427</v>
      </c>
      <c r="D66" s="206" t="s">
        <v>428</v>
      </c>
      <c r="E66" s="160" t="s">
        <v>5502</v>
      </c>
      <c r="F66" s="157"/>
      <c r="G66" s="157"/>
      <c r="H66" s="192"/>
      <c r="I66" s="193"/>
    </row>
    <row r="67" spans="1:9" s="194" customFormat="1" ht="120" customHeight="1">
      <c r="A67" s="170"/>
      <c r="B67" s="203" t="s">
        <v>422</v>
      </c>
      <c r="C67" s="203" t="s">
        <v>427</v>
      </c>
      <c r="D67" s="206" t="s">
        <v>411</v>
      </c>
      <c r="E67" s="160" t="s">
        <v>5502</v>
      </c>
      <c r="F67" s="157"/>
      <c r="G67" s="157"/>
      <c r="H67" s="192"/>
      <c r="I67" s="193"/>
    </row>
    <row r="68" spans="1:9" s="194" customFormat="1" ht="120" customHeight="1">
      <c r="A68" s="170"/>
      <c r="B68" s="203" t="s">
        <v>422</v>
      </c>
      <c r="C68" s="203" t="s">
        <v>427</v>
      </c>
      <c r="D68" s="207" t="s">
        <v>5470</v>
      </c>
      <c r="E68" s="160" t="s">
        <v>5502</v>
      </c>
      <c r="F68" s="157"/>
      <c r="G68" s="157"/>
      <c r="H68" s="192"/>
      <c r="I68" s="193"/>
    </row>
    <row r="69" spans="1:9" s="194" customFormat="1" ht="120" customHeight="1">
      <c r="A69" s="170"/>
      <c r="B69" s="203" t="s">
        <v>429</v>
      </c>
      <c r="C69" s="203" t="s">
        <v>430</v>
      </c>
      <c r="D69" s="203" t="s">
        <v>431</v>
      </c>
      <c r="E69" s="160" t="s">
        <v>5502</v>
      </c>
      <c r="F69" s="157"/>
      <c r="G69" s="157"/>
      <c r="H69" s="192"/>
      <c r="I69" s="193"/>
    </row>
    <row r="70" spans="1:9" s="194" customFormat="1" ht="120" customHeight="1">
      <c r="A70" s="170"/>
      <c r="B70" s="203" t="s">
        <v>432</v>
      </c>
      <c r="C70" s="203" t="s">
        <v>430</v>
      </c>
      <c r="D70" s="206" t="s">
        <v>433</v>
      </c>
      <c r="E70" s="160" t="s">
        <v>5502</v>
      </c>
      <c r="F70" s="157"/>
      <c r="G70" s="157"/>
      <c r="H70" s="192"/>
      <c r="I70" s="193"/>
    </row>
    <row r="71" spans="1:9" s="194" customFormat="1" ht="80.099999999999994" customHeight="1">
      <c r="A71" s="170"/>
      <c r="B71" s="203" t="s">
        <v>434</v>
      </c>
      <c r="C71" s="203" t="s">
        <v>435</v>
      </c>
      <c r="D71" s="203" t="s">
        <v>436</v>
      </c>
      <c r="E71" s="160" t="s">
        <v>5502</v>
      </c>
      <c r="F71" s="157"/>
      <c r="G71" s="157"/>
      <c r="H71" s="192"/>
      <c r="I71" s="193"/>
    </row>
    <row r="72" spans="1:9" s="194" customFormat="1" ht="80.099999999999994" customHeight="1">
      <c r="A72" s="171" t="s">
        <v>437</v>
      </c>
      <c r="B72" s="203" t="s">
        <v>438</v>
      </c>
      <c r="C72" s="203" t="s">
        <v>439</v>
      </c>
      <c r="D72" s="203" t="s">
        <v>440</v>
      </c>
      <c r="E72" s="160" t="s">
        <v>5502</v>
      </c>
      <c r="F72" s="157"/>
      <c r="G72" s="157"/>
      <c r="H72" s="186"/>
      <c r="I72" s="193"/>
    </row>
    <row r="73" spans="1:9" s="194" customFormat="1" ht="80.099999999999994" customHeight="1">
      <c r="A73" s="170" t="s">
        <v>441</v>
      </c>
      <c r="B73" s="203" t="s">
        <v>442</v>
      </c>
      <c r="C73" s="203" t="s">
        <v>443</v>
      </c>
      <c r="D73" s="203" t="s">
        <v>444</v>
      </c>
      <c r="E73" s="160" t="s">
        <v>5502</v>
      </c>
      <c r="F73" s="157"/>
      <c r="G73" s="157"/>
      <c r="H73" s="186"/>
      <c r="I73" s="193"/>
    </row>
    <row r="74" spans="1:9" s="194" customFormat="1" ht="80.099999999999994" customHeight="1">
      <c r="A74" s="170"/>
      <c r="B74" s="203" t="s">
        <v>442</v>
      </c>
      <c r="C74" s="203" t="s">
        <v>445</v>
      </c>
      <c r="D74" s="203" t="s">
        <v>446</v>
      </c>
      <c r="E74" s="160" t="s">
        <v>5502</v>
      </c>
      <c r="F74" s="157"/>
      <c r="G74" s="157"/>
      <c r="H74" s="186"/>
      <c r="I74" s="193"/>
    </row>
    <row r="75" spans="1:9" s="194" customFormat="1" ht="80.099999999999994" customHeight="1">
      <c r="A75" s="170"/>
      <c r="B75" s="203" t="s">
        <v>442</v>
      </c>
      <c r="C75" s="203" t="s">
        <v>447</v>
      </c>
      <c r="D75" s="203" t="s">
        <v>448</v>
      </c>
      <c r="E75" s="160" t="s">
        <v>5502</v>
      </c>
      <c r="F75" s="157"/>
      <c r="G75" s="157"/>
      <c r="H75" s="186"/>
      <c r="I75" s="193"/>
    </row>
    <row r="76" spans="1:9" s="194" customFormat="1" ht="80.099999999999994" customHeight="1">
      <c r="A76" s="170"/>
      <c r="B76" s="203" t="s">
        <v>442</v>
      </c>
      <c r="C76" s="203" t="s">
        <v>449</v>
      </c>
      <c r="D76" s="203" t="s">
        <v>450</v>
      </c>
      <c r="E76" s="160" t="s">
        <v>5502</v>
      </c>
      <c r="F76" s="157"/>
      <c r="G76" s="157"/>
      <c r="H76" s="186"/>
      <c r="I76" s="193"/>
    </row>
    <row r="77" spans="1:9" s="194" customFormat="1" ht="80.099999999999994" customHeight="1">
      <c r="A77" s="171" t="s">
        <v>451</v>
      </c>
      <c r="B77" s="203" t="s">
        <v>452</v>
      </c>
      <c r="C77" s="203" t="s">
        <v>453</v>
      </c>
      <c r="D77" s="203" t="s">
        <v>454</v>
      </c>
      <c r="E77" s="160" t="s">
        <v>5502</v>
      </c>
      <c r="F77" s="157"/>
      <c r="G77" s="157"/>
      <c r="H77" s="186"/>
      <c r="I77" s="193"/>
    </row>
    <row r="78" spans="1:9" s="194" customFormat="1" ht="80.099999999999994" customHeight="1">
      <c r="A78" s="171"/>
      <c r="B78" s="203" t="s">
        <v>455</v>
      </c>
      <c r="C78" s="203" t="s">
        <v>453</v>
      </c>
      <c r="D78" s="203" t="s">
        <v>456</v>
      </c>
      <c r="E78" s="160" t="s">
        <v>5502</v>
      </c>
      <c r="F78" s="157"/>
      <c r="G78" s="157"/>
      <c r="H78" s="186"/>
      <c r="I78" s="193"/>
    </row>
    <row r="79" spans="1:9" s="194" customFormat="1" ht="80.099999999999994" customHeight="1">
      <c r="A79" s="171"/>
      <c r="B79" s="203" t="s">
        <v>457</v>
      </c>
      <c r="C79" s="203" t="s">
        <v>458</v>
      </c>
      <c r="D79" s="203" t="s">
        <v>459</v>
      </c>
      <c r="E79" s="160" t="s">
        <v>5502</v>
      </c>
      <c r="F79" s="157"/>
      <c r="G79" s="157"/>
      <c r="H79" s="261" t="s">
        <v>460</v>
      </c>
      <c r="I79" s="261"/>
    </row>
    <row r="80" spans="1:9" s="194" customFormat="1" ht="80.099999999999994" customHeight="1">
      <c r="A80" s="171"/>
      <c r="B80" s="203" t="s">
        <v>461</v>
      </c>
      <c r="C80" s="203" t="s">
        <v>458</v>
      </c>
      <c r="D80" s="203" t="s">
        <v>462</v>
      </c>
      <c r="E80" s="160" t="s">
        <v>5502</v>
      </c>
      <c r="F80" s="157"/>
      <c r="G80" s="157"/>
      <c r="H80" s="261" t="s">
        <v>460</v>
      </c>
      <c r="I80" s="261"/>
    </row>
    <row r="81" spans="1:9" s="194" customFormat="1" ht="80.099999999999994" customHeight="1">
      <c r="A81" s="171"/>
      <c r="B81" s="203" t="s">
        <v>463</v>
      </c>
      <c r="C81" s="203" t="s">
        <v>453</v>
      </c>
      <c r="D81" s="203" t="s">
        <v>464</v>
      </c>
      <c r="E81" s="160" t="s">
        <v>5502</v>
      </c>
      <c r="F81" s="157"/>
      <c r="G81" s="157"/>
      <c r="H81" s="261" t="s">
        <v>465</v>
      </c>
      <c r="I81" s="261"/>
    </row>
    <row r="82" spans="1:9" s="194" customFormat="1" ht="80.099999999999994" customHeight="1">
      <c r="A82" s="171"/>
      <c r="B82" s="203" t="s">
        <v>466</v>
      </c>
      <c r="C82" s="203" t="s">
        <v>453</v>
      </c>
      <c r="D82" s="203" t="s">
        <v>467</v>
      </c>
      <c r="E82" s="160" t="s">
        <v>5502</v>
      </c>
      <c r="F82" s="157"/>
      <c r="G82" s="157"/>
      <c r="H82" s="186"/>
      <c r="I82" s="193"/>
    </row>
    <row r="83" spans="1:9" s="194" customFormat="1" ht="80.099999999999994" customHeight="1">
      <c r="A83" s="171"/>
      <c r="B83" s="203" t="s">
        <v>468</v>
      </c>
      <c r="C83" s="203" t="s">
        <v>453</v>
      </c>
      <c r="D83" s="203" t="s">
        <v>469</v>
      </c>
      <c r="E83" s="160" t="s">
        <v>5502</v>
      </c>
      <c r="F83" s="157"/>
      <c r="G83" s="157"/>
      <c r="H83" s="186"/>
      <c r="I83" s="193"/>
    </row>
    <row r="84" spans="1:9" s="194" customFormat="1" ht="80.099999999999994" customHeight="1">
      <c r="A84" s="170" t="s">
        <v>470</v>
      </c>
      <c r="B84" s="201" t="s">
        <v>471</v>
      </c>
      <c r="C84" s="203" t="s">
        <v>472</v>
      </c>
      <c r="D84" s="201" t="s">
        <v>473</v>
      </c>
      <c r="E84" s="160" t="s">
        <v>5502</v>
      </c>
      <c r="F84" s="157"/>
      <c r="G84" s="157"/>
      <c r="H84" s="186"/>
      <c r="I84" s="193"/>
    </row>
  </sheetData>
  <mergeCells count="5">
    <mergeCell ref="H79:I79"/>
    <mergeCell ref="H80:I80"/>
    <mergeCell ref="H81:I81"/>
    <mergeCell ref="D6:E6"/>
    <mergeCell ref="D2:D5"/>
  </mergeCells>
  <conditionalFormatting sqref="C2:C6">
    <cfRule type="containsText" dxfId="68" priority="1" operator="containsText" text="n/a">
      <formula>NOT(ISERROR(SEARCH(("n/a"),(D2))))</formula>
    </cfRule>
    <cfRule type="containsText" dxfId="67" priority="2" operator="containsText" text="Cypress">
      <formula>NOT(ISERROR(SEARCH(("Cypress"),(D2))))</formula>
    </cfRule>
  </conditionalFormatting>
  <conditionalFormatting sqref="E8">
    <cfRule type="containsText" dxfId="66" priority="3" operator="containsText" text="cypress">
      <formula>NOT(ISERROR(SEARCH(("cypress"),(E8))))</formula>
    </cfRule>
  </conditionalFormatting>
  <conditionalFormatting sqref="E9:E89">
    <cfRule type="containsText" dxfId="65" priority="6" operator="containsText" text="pass">
      <formula>NOT(ISERROR(SEARCH("pass",E9)))</formula>
    </cfRule>
    <cfRule type="containsText" dxfId="64" priority="7" operator="containsText" text="fail">
      <formula>NOT(ISERROR(SEARCH("fail",E9)))</formula>
    </cfRule>
    <cfRule type="containsText" dxfId="63" priority="8" operator="containsText" text="n/a">
      <formula>NOT(ISERROR(SEARCH("n/a",E9)))</formula>
    </cfRule>
    <cfRule type="containsText" dxfId="62" priority="9" operator="containsText" text="cypress">
      <formula>NOT(ISERROR(SEARCH("cypress",E9)))</formula>
    </cfRule>
  </conditionalFormatting>
  <conditionalFormatting sqref="F1:F7">
    <cfRule type="containsText" dxfId="61" priority="4" operator="containsText" text="n/a">
      <formula>NOT(ISERROR(SEARCH(("n/a"),(G1))))</formula>
    </cfRule>
    <cfRule type="containsText" dxfId="60" priority="5" operator="containsText" text="Cypress">
      <formula>NOT(ISERROR(SEARCH(("Cypress"),(G1))))</formula>
    </cfRule>
  </conditionalFormatting>
  <hyperlinks>
    <hyperlink ref="D58" r:id="rId1" location="post-/FHIR/R4/$process-message-prescription-order" xr:uid="{00000000-0004-0000-0700-000000000000}"/>
    <hyperlink ref="D68" r:id="rId2" location="post-/FHIR/R4/$process-message-prescription-order" xr:uid="{00000000-0004-0000-0700-000001000000}"/>
    <hyperlink ref="G21" r:id="rId3" xr:uid="{89CBDF00-F630-4FCD-9C56-1F562E064721}"/>
    <hyperlink ref="G17" r:id="rId4" xr:uid="{8585705D-74BE-4AD7-BB41-F052AE51F4F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2:G25"/>
  <sheetViews>
    <sheetView topLeftCell="A8" workbookViewId="0">
      <selection activeCell="C15" sqref="C15"/>
    </sheetView>
  </sheetViews>
  <sheetFormatPr defaultColWidth="12.5703125" defaultRowHeight="15" customHeight="1"/>
  <cols>
    <col min="1" max="1" width="18.7109375" customWidth="1"/>
    <col min="2" max="4" width="45.7109375" customWidth="1"/>
    <col min="5" max="5" width="18.7109375" customWidth="1"/>
    <col min="6" max="7" width="30.7109375" customWidth="1"/>
    <col min="8" max="8" width="73.85546875" customWidth="1"/>
    <col min="9" max="9" width="31.140625" customWidth="1"/>
  </cols>
  <sheetData>
    <row r="2" spans="1:7" s="121" customFormat="1" ht="18" customHeight="1">
      <c r="A2" s="172" t="s">
        <v>36</v>
      </c>
      <c r="B2" s="173" t="s">
        <v>37</v>
      </c>
      <c r="C2" s="177"/>
      <c r="D2" s="253" t="e" vm="2">
        <v>#VALUE!</v>
      </c>
      <c r="E2" s="179"/>
      <c r="F2" s="177"/>
      <c r="G2" s="122"/>
    </row>
    <row r="3" spans="1:7" s="121" customFormat="1" ht="18" customHeight="1">
      <c r="A3" s="172" t="s">
        <v>3</v>
      </c>
      <c r="B3" s="173"/>
      <c r="C3" s="177"/>
      <c r="D3" s="254"/>
      <c r="E3" s="179"/>
      <c r="F3" s="177"/>
      <c r="G3" s="122"/>
    </row>
    <row r="4" spans="1:7" s="121" customFormat="1" ht="18" customHeight="1">
      <c r="A4" s="172" t="s">
        <v>4</v>
      </c>
      <c r="B4" s="173" t="s">
        <v>5</v>
      </c>
      <c r="C4" s="177"/>
      <c r="D4" s="254"/>
      <c r="E4" s="179"/>
      <c r="F4" s="177"/>
      <c r="G4" s="122"/>
    </row>
    <row r="5" spans="1:7" s="121" customFormat="1" ht="18" customHeight="1">
      <c r="A5" s="172" t="s">
        <v>38</v>
      </c>
      <c r="B5" s="173" t="s">
        <v>14</v>
      </c>
      <c r="C5" s="177"/>
      <c r="D5" s="254"/>
      <c r="E5" s="179"/>
      <c r="F5" s="177"/>
      <c r="G5" s="122"/>
    </row>
    <row r="6" spans="1:7" s="121" customFormat="1" ht="18" customHeight="1">
      <c r="A6" s="200"/>
      <c r="C6" s="177"/>
      <c r="D6" s="260"/>
      <c r="E6" s="254"/>
      <c r="F6" s="177"/>
      <c r="G6" s="122"/>
    </row>
    <row r="7" spans="1:7" s="121" customFormat="1" ht="18" customHeight="1">
      <c r="A7" s="177"/>
      <c r="B7" s="177"/>
      <c r="C7" s="177"/>
      <c r="D7" s="177"/>
      <c r="E7" s="178"/>
      <c r="G7" s="122"/>
    </row>
    <row r="8" spans="1:7" s="184" customFormat="1" ht="30" customHeight="1">
      <c r="A8" s="174" t="s">
        <v>39</v>
      </c>
      <c r="B8" s="175" t="s">
        <v>40</v>
      </c>
      <c r="C8" s="175" t="s">
        <v>41</v>
      </c>
      <c r="D8" s="175" t="s">
        <v>42</v>
      </c>
      <c r="E8" s="181" t="s">
        <v>5456</v>
      </c>
      <c r="F8" s="180" t="s">
        <v>43</v>
      </c>
      <c r="G8" s="182" t="s">
        <v>44</v>
      </c>
    </row>
    <row r="9" spans="1:7" s="191" customFormat="1" ht="50.1" customHeight="1">
      <c r="A9" s="208" t="s">
        <v>474</v>
      </c>
      <c r="B9" s="216" t="s">
        <v>475</v>
      </c>
      <c r="C9" s="216" t="s">
        <v>476</v>
      </c>
      <c r="D9" s="216" t="s">
        <v>477</v>
      </c>
      <c r="E9" s="246"/>
      <c r="F9" s="217"/>
      <c r="G9" s="218"/>
    </row>
    <row r="10" spans="1:7" s="191" customFormat="1" ht="50.1" customHeight="1" thickBot="1">
      <c r="A10" s="212" t="s">
        <v>478</v>
      </c>
      <c r="B10" s="216" t="s">
        <v>479</v>
      </c>
      <c r="C10" s="216" t="s">
        <v>480</v>
      </c>
      <c r="D10" s="216" t="s">
        <v>481</v>
      </c>
      <c r="E10" s="246"/>
      <c r="F10" s="217"/>
      <c r="G10" s="218"/>
    </row>
    <row r="11" spans="1:7" ht="50.1" customHeight="1">
      <c r="A11" s="171" t="s">
        <v>482</v>
      </c>
      <c r="B11" s="209" t="s">
        <v>5476</v>
      </c>
      <c r="C11" s="209" t="s">
        <v>483</v>
      </c>
      <c r="D11" s="209" t="s">
        <v>484</v>
      </c>
      <c r="E11" s="246"/>
      <c r="F11" s="219"/>
      <c r="G11" s="211"/>
    </row>
    <row r="12" spans="1:7" ht="50.1" customHeight="1">
      <c r="A12" s="213"/>
      <c r="B12" s="209" t="s">
        <v>485</v>
      </c>
      <c r="C12" s="209" t="s">
        <v>486</v>
      </c>
      <c r="D12" s="209" t="s">
        <v>487</v>
      </c>
      <c r="E12" s="246"/>
      <c r="F12" s="219"/>
      <c r="G12" s="211"/>
    </row>
    <row r="13" spans="1:7" ht="50.1" customHeight="1">
      <c r="A13" s="213"/>
      <c r="B13" s="209" t="s">
        <v>5496</v>
      </c>
      <c r="C13" s="209" t="s">
        <v>488</v>
      </c>
      <c r="D13" s="209" t="s">
        <v>489</v>
      </c>
      <c r="E13" s="246"/>
      <c r="F13" s="210"/>
      <c r="G13" s="211"/>
    </row>
    <row r="14" spans="1:7" ht="50.1" customHeight="1">
      <c r="A14" s="215" t="s">
        <v>490</v>
      </c>
      <c r="B14" s="209" t="s">
        <v>491</v>
      </c>
      <c r="C14" s="209" t="s">
        <v>5517</v>
      </c>
      <c r="D14" s="209" t="s">
        <v>492</v>
      </c>
      <c r="E14" s="246"/>
      <c r="F14" s="210"/>
      <c r="G14" s="211"/>
    </row>
    <row r="15" spans="1:7" ht="50.1" customHeight="1">
      <c r="A15" s="213" t="s">
        <v>493</v>
      </c>
      <c r="B15" s="209" t="s">
        <v>494</v>
      </c>
      <c r="C15" s="209" t="s">
        <v>5516</v>
      </c>
      <c r="D15" s="209" t="s">
        <v>495</v>
      </c>
      <c r="E15" s="246"/>
      <c r="F15" s="210"/>
      <c r="G15" s="214" t="s">
        <v>496</v>
      </c>
    </row>
    <row r="16" spans="1:7" ht="50.1" customHeight="1">
      <c r="A16" s="215" t="s">
        <v>497</v>
      </c>
      <c r="B16" s="209" t="s">
        <v>5472</v>
      </c>
      <c r="C16" s="209" t="s">
        <v>5515</v>
      </c>
      <c r="D16" s="209" t="s">
        <v>498</v>
      </c>
      <c r="E16" s="246"/>
      <c r="F16" s="210"/>
      <c r="G16" s="211"/>
    </row>
    <row r="17" spans="1:7" ht="78.75">
      <c r="A17" s="213" t="s">
        <v>499</v>
      </c>
      <c r="B17" s="209" t="s">
        <v>5473</v>
      </c>
      <c r="C17" s="209" t="s">
        <v>5514</v>
      </c>
      <c r="D17" s="209" t="s">
        <v>500</v>
      </c>
      <c r="E17" s="246"/>
      <c r="F17" s="210"/>
      <c r="G17" s="214" t="s">
        <v>501</v>
      </c>
    </row>
    <row r="18" spans="1:7" ht="50.1" customHeight="1">
      <c r="A18" s="215" t="s">
        <v>502</v>
      </c>
      <c r="B18" s="209" t="s">
        <v>503</v>
      </c>
      <c r="C18" s="209" t="s">
        <v>504</v>
      </c>
      <c r="D18" s="209" t="s">
        <v>505</v>
      </c>
      <c r="E18" s="246"/>
      <c r="F18" s="210"/>
      <c r="G18" s="211"/>
    </row>
    <row r="19" spans="1:7" ht="50.1" customHeight="1">
      <c r="A19" s="213" t="s">
        <v>506</v>
      </c>
      <c r="B19" s="209" t="s">
        <v>507</v>
      </c>
      <c r="C19" s="209" t="s">
        <v>5510</v>
      </c>
      <c r="D19" s="209" t="s">
        <v>5474</v>
      </c>
      <c r="E19" s="246"/>
      <c r="F19" s="210"/>
      <c r="G19" s="211"/>
    </row>
    <row r="20" spans="1:7" ht="50.1" customHeight="1">
      <c r="A20" s="213"/>
      <c r="B20" s="209" t="s">
        <v>507</v>
      </c>
      <c r="C20" s="209" t="s">
        <v>5511</v>
      </c>
      <c r="D20" s="209" t="s">
        <v>5475</v>
      </c>
      <c r="E20" s="246"/>
      <c r="F20" s="210"/>
      <c r="G20" s="214" t="s">
        <v>508</v>
      </c>
    </row>
    <row r="21" spans="1:7" ht="50.1" customHeight="1">
      <c r="A21" s="215" t="s">
        <v>509</v>
      </c>
      <c r="B21" s="209" t="s">
        <v>510</v>
      </c>
      <c r="C21" s="209" t="s">
        <v>5512</v>
      </c>
      <c r="D21" s="209" t="s">
        <v>511</v>
      </c>
      <c r="E21" s="246"/>
      <c r="F21" s="210"/>
      <c r="G21" s="211"/>
    </row>
    <row r="22" spans="1:7" ht="50.1" customHeight="1">
      <c r="A22" s="215"/>
      <c r="B22" s="209" t="s">
        <v>510</v>
      </c>
      <c r="C22" s="209" t="s">
        <v>5513</v>
      </c>
      <c r="D22" s="209" t="s">
        <v>512</v>
      </c>
      <c r="E22" s="246"/>
      <c r="F22" s="210"/>
      <c r="G22" s="211"/>
    </row>
    <row r="23" spans="1:7" ht="50.1" customHeight="1">
      <c r="A23" s="213" t="s">
        <v>513</v>
      </c>
      <c r="B23" s="209" t="s">
        <v>514</v>
      </c>
      <c r="C23" s="209" t="s">
        <v>515</v>
      </c>
      <c r="D23" s="209" t="s">
        <v>516</v>
      </c>
      <c r="E23" s="246"/>
      <c r="F23" s="210"/>
      <c r="G23" s="214" t="s">
        <v>517</v>
      </c>
    </row>
    <row r="24" spans="1:7" ht="50.1" customHeight="1">
      <c r="A24" s="215" t="s">
        <v>518</v>
      </c>
      <c r="B24" s="209" t="s">
        <v>519</v>
      </c>
      <c r="C24" s="209" t="s">
        <v>520</v>
      </c>
      <c r="D24" s="209" t="s">
        <v>521</v>
      </c>
      <c r="E24" s="246"/>
      <c r="F24" s="220"/>
      <c r="G24" s="211"/>
    </row>
    <row r="25" spans="1:7" ht="50.1" customHeight="1">
      <c r="A25" s="215"/>
      <c r="B25" s="209" t="s">
        <v>522</v>
      </c>
      <c r="C25" s="209" t="s">
        <v>523</v>
      </c>
      <c r="D25" s="209" t="s">
        <v>524</v>
      </c>
      <c r="E25" s="246"/>
      <c r="F25" s="210"/>
      <c r="G25" s="211"/>
    </row>
  </sheetData>
  <mergeCells count="2">
    <mergeCell ref="D2:D5"/>
    <mergeCell ref="D6:E6"/>
  </mergeCells>
  <conditionalFormatting sqref="C2:C6">
    <cfRule type="containsText" dxfId="59" priority="1" operator="containsText" text="n/a">
      <formula>NOT(ISERROR(SEARCH(("n/a"),(D2))))</formula>
    </cfRule>
    <cfRule type="containsText" dxfId="58" priority="2" operator="containsText" text="Cypress">
      <formula>NOT(ISERROR(SEARCH(("Cypress"),(D2))))</formula>
    </cfRule>
  </conditionalFormatting>
  <conditionalFormatting sqref="E8">
    <cfRule type="containsText" dxfId="57" priority="3" operator="containsText" text="cypress">
      <formula>NOT(ISERROR(SEARCH(("cypress"),(E8))))</formula>
    </cfRule>
  </conditionalFormatting>
  <conditionalFormatting sqref="E9:E25">
    <cfRule type="containsText" dxfId="56" priority="6" operator="containsText" text="Pass">
      <formula>NOT(ISERROR(SEARCH(("Pass"),(E9))))</formula>
    </cfRule>
    <cfRule type="containsText" dxfId="55" priority="7" operator="containsText" text="fail">
      <formula>NOT(ISERROR(SEARCH(("fail"),(E9))))</formula>
    </cfRule>
    <cfRule type="containsText" dxfId="54" priority="8" operator="containsText" text="n/a">
      <formula>NOT(ISERROR(SEARCH(("n/a"),(E9))))</formula>
    </cfRule>
    <cfRule type="containsText" dxfId="53" priority="9" operator="containsText" text="Cypress">
      <formula>NOT(ISERROR(SEARCH(("Cypress"),(E9))))</formula>
    </cfRule>
  </conditionalFormatting>
  <conditionalFormatting sqref="F1:F7">
    <cfRule type="containsText" dxfId="52" priority="4" operator="containsText" text="n/a">
      <formula>NOT(ISERROR(SEARCH(("n/a"),(G1))))</formula>
    </cfRule>
    <cfRule type="containsText" dxfId="51" priority="5" operator="containsText" text="Cypress">
      <formula>NOT(ISERROR(SEARCH(("Cypress"),(G1))))</formula>
    </cfRule>
  </conditionalFormatting>
  <hyperlinks>
    <hyperlink ref="G15" r:id="rId1" xr:uid="{00000000-0004-0000-0800-000000000000}"/>
    <hyperlink ref="G17" r:id="rId2" xr:uid="{00000000-0004-0000-0800-000001000000}"/>
    <hyperlink ref="G20" r:id="rId3" xr:uid="{00000000-0004-0000-0800-000002000000}"/>
    <hyperlink ref="G23" r:id="rId4" xr:uid="{00000000-0004-0000-0800-000003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2:G25"/>
  <sheetViews>
    <sheetView topLeftCell="A18" workbookViewId="0">
      <selection activeCell="D25" sqref="D9:D25"/>
    </sheetView>
  </sheetViews>
  <sheetFormatPr defaultColWidth="12.5703125" defaultRowHeight="15" customHeight="1"/>
  <cols>
    <col min="1" max="1" width="18.7109375" customWidth="1"/>
    <col min="2" max="4" width="45.7109375" customWidth="1"/>
    <col min="5" max="5" width="18.7109375" customWidth="1"/>
    <col min="6" max="7" width="30.7109375" customWidth="1"/>
    <col min="8" max="8" width="16.42578125" customWidth="1"/>
    <col min="9" max="9" width="73.85546875" customWidth="1"/>
    <col min="10" max="10" width="31.140625" customWidth="1"/>
  </cols>
  <sheetData>
    <row r="2" spans="1:7" s="121" customFormat="1" ht="18" customHeight="1">
      <c r="A2" s="172" t="s">
        <v>36</v>
      </c>
      <c r="B2" s="173" t="s">
        <v>37</v>
      </c>
      <c r="C2" s="177"/>
      <c r="D2" s="253" t="e" vm="2">
        <v>#VALUE!</v>
      </c>
      <c r="E2" s="179"/>
      <c r="F2" s="177"/>
      <c r="G2" s="122"/>
    </row>
    <row r="3" spans="1:7" s="121" customFormat="1" ht="18" customHeight="1">
      <c r="A3" s="172" t="s">
        <v>3</v>
      </c>
      <c r="B3" s="173"/>
      <c r="C3" s="177"/>
      <c r="D3" s="254"/>
      <c r="E3" s="179"/>
      <c r="F3" s="177"/>
      <c r="G3" s="122"/>
    </row>
    <row r="4" spans="1:7" s="121" customFormat="1" ht="18" customHeight="1">
      <c r="A4" s="172" t="s">
        <v>4</v>
      </c>
      <c r="B4" s="173" t="s">
        <v>5</v>
      </c>
      <c r="C4" s="177"/>
      <c r="D4" s="254"/>
      <c r="E4" s="179"/>
      <c r="F4" s="177"/>
      <c r="G4" s="122"/>
    </row>
    <row r="5" spans="1:7" s="121" customFormat="1" ht="18" customHeight="1">
      <c r="A5" s="172" t="s">
        <v>38</v>
      </c>
      <c r="B5" s="173" t="s">
        <v>15</v>
      </c>
      <c r="C5" s="177"/>
      <c r="D5" s="254"/>
      <c r="E5" s="179"/>
      <c r="F5" s="177"/>
      <c r="G5" s="122"/>
    </row>
    <row r="6" spans="1:7" s="121" customFormat="1" ht="18" customHeight="1">
      <c r="A6" s="200"/>
      <c r="C6" s="177"/>
      <c r="D6" s="260"/>
      <c r="E6" s="254"/>
      <c r="F6" s="177"/>
      <c r="G6" s="122"/>
    </row>
    <row r="7" spans="1:7" s="121" customFormat="1" ht="18" customHeight="1">
      <c r="A7" s="177"/>
      <c r="B7" s="177"/>
      <c r="C7" s="177"/>
      <c r="D7" s="177"/>
      <c r="E7" s="178"/>
      <c r="G7" s="122"/>
    </row>
    <row r="8" spans="1:7" s="184" customFormat="1" ht="30" customHeight="1">
      <c r="A8" s="174" t="s">
        <v>39</v>
      </c>
      <c r="B8" s="175" t="s">
        <v>40</v>
      </c>
      <c r="C8" s="175" t="s">
        <v>41</v>
      </c>
      <c r="D8" s="175" t="s">
        <v>42</v>
      </c>
      <c r="E8" s="181" t="s">
        <v>5456</v>
      </c>
      <c r="F8" s="180" t="s">
        <v>43</v>
      </c>
      <c r="G8" s="182" t="s">
        <v>44</v>
      </c>
    </row>
    <row r="9" spans="1:7" s="194" customFormat="1" ht="50.1" customHeight="1">
      <c r="A9" s="208" t="s">
        <v>525</v>
      </c>
      <c r="B9" s="224" t="s">
        <v>526</v>
      </c>
      <c r="C9" s="224" t="s">
        <v>527</v>
      </c>
      <c r="D9" s="224" t="s">
        <v>528</v>
      </c>
      <c r="E9" s="228"/>
      <c r="F9" s="225"/>
      <c r="G9" s="226" t="s">
        <v>529</v>
      </c>
    </row>
    <row r="10" spans="1:7" s="194" customFormat="1" ht="50.1" customHeight="1">
      <c r="A10" s="208"/>
      <c r="B10" s="224" t="s">
        <v>526</v>
      </c>
      <c r="C10" s="224" t="s">
        <v>530</v>
      </c>
      <c r="D10" s="224" t="s">
        <v>531</v>
      </c>
      <c r="E10" s="228"/>
      <c r="F10" s="225"/>
      <c r="G10" s="226" t="s">
        <v>529</v>
      </c>
    </row>
    <row r="11" spans="1:7" s="194" customFormat="1" ht="50.1" customHeight="1">
      <c r="A11" s="208"/>
      <c r="B11" s="224" t="s">
        <v>532</v>
      </c>
      <c r="C11" s="224" t="s">
        <v>530</v>
      </c>
      <c r="D11" s="224" t="s">
        <v>533</v>
      </c>
      <c r="E11" s="228"/>
      <c r="F11" s="225"/>
      <c r="G11" s="225"/>
    </row>
    <row r="12" spans="1:7" s="194" customFormat="1" ht="50.1" customHeight="1">
      <c r="A12" s="171" t="s">
        <v>534</v>
      </c>
      <c r="B12" s="224" t="s">
        <v>5477</v>
      </c>
      <c r="C12" s="224" t="s">
        <v>527</v>
      </c>
      <c r="D12" s="224" t="s">
        <v>535</v>
      </c>
      <c r="E12" s="228"/>
      <c r="F12" s="225"/>
      <c r="G12" s="226" t="s">
        <v>536</v>
      </c>
    </row>
    <row r="13" spans="1:7" s="194" customFormat="1" ht="50.1" customHeight="1">
      <c r="A13" s="171"/>
      <c r="B13" s="224" t="s">
        <v>5478</v>
      </c>
      <c r="C13" s="224" t="s">
        <v>527</v>
      </c>
      <c r="D13" s="224" t="s">
        <v>537</v>
      </c>
      <c r="E13" s="228"/>
      <c r="F13" s="225"/>
      <c r="G13" s="226" t="s">
        <v>536</v>
      </c>
    </row>
    <row r="14" spans="1:7" s="194" customFormat="1" ht="50.1" customHeight="1">
      <c r="A14" s="171"/>
      <c r="B14" s="224" t="s">
        <v>5479</v>
      </c>
      <c r="C14" s="224" t="s">
        <v>527</v>
      </c>
      <c r="D14" s="224" t="s">
        <v>538</v>
      </c>
      <c r="E14" s="228"/>
      <c r="F14" s="225"/>
      <c r="G14" s="226" t="s">
        <v>536</v>
      </c>
    </row>
    <row r="15" spans="1:7" s="194" customFormat="1" ht="50.1" customHeight="1">
      <c r="A15" s="171"/>
      <c r="B15" s="224" t="s">
        <v>5480</v>
      </c>
      <c r="C15" s="224" t="s">
        <v>527</v>
      </c>
      <c r="D15" s="224" t="s">
        <v>535</v>
      </c>
      <c r="E15" s="228"/>
      <c r="F15" s="225"/>
      <c r="G15" s="225"/>
    </row>
    <row r="16" spans="1:7" s="194" customFormat="1" ht="50.1" customHeight="1">
      <c r="A16" s="171"/>
      <c r="B16" s="224" t="s">
        <v>539</v>
      </c>
      <c r="C16" s="224" t="s">
        <v>527</v>
      </c>
      <c r="D16" s="224" t="s">
        <v>535</v>
      </c>
      <c r="E16" s="228"/>
      <c r="F16" s="227" t="s">
        <v>540</v>
      </c>
      <c r="G16" s="225"/>
    </row>
    <row r="17" spans="1:7" s="194" customFormat="1" ht="50.1" customHeight="1">
      <c r="A17" s="208" t="s">
        <v>541</v>
      </c>
      <c r="B17" s="224" t="s">
        <v>542</v>
      </c>
      <c r="C17" s="224" t="s">
        <v>527</v>
      </c>
      <c r="D17" s="224" t="s">
        <v>535</v>
      </c>
      <c r="E17" s="228"/>
      <c r="F17" s="225"/>
      <c r="G17" s="226" t="s">
        <v>543</v>
      </c>
    </row>
    <row r="18" spans="1:7" s="194" customFormat="1" ht="50.1" customHeight="1">
      <c r="A18" s="208"/>
      <c r="B18" s="224" t="s">
        <v>544</v>
      </c>
      <c r="C18" s="224" t="s">
        <v>527</v>
      </c>
      <c r="D18" s="224" t="s">
        <v>537</v>
      </c>
      <c r="E18" s="228"/>
      <c r="F18" s="225"/>
      <c r="G18" s="225"/>
    </row>
    <row r="19" spans="1:7" s="194" customFormat="1" ht="110.1" customHeight="1">
      <c r="A19" s="171" t="s">
        <v>545</v>
      </c>
      <c r="B19" s="224" t="s">
        <v>526</v>
      </c>
      <c r="C19" s="224" t="s">
        <v>527</v>
      </c>
      <c r="D19" s="227" t="s">
        <v>546</v>
      </c>
      <c r="E19" s="228"/>
      <c r="F19" s="225"/>
      <c r="G19" s="226" t="s">
        <v>547</v>
      </c>
    </row>
    <row r="20" spans="1:7" s="194" customFormat="1" ht="50.1" customHeight="1">
      <c r="A20" s="208" t="s">
        <v>548</v>
      </c>
      <c r="B20" s="224" t="s">
        <v>526</v>
      </c>
      <c r="C20" s="224" t="s">
        <v>549</v>
      </c>
      <c r="D20" s="224" t="s">
        <v>550</v>
      </c>
      <c r="E20" s="228"/>
      <c r="F20" s="225" t="s">
        <v>551</v>
      </c>
      <c r="G20" s="226" t="s">
        <v>552</v>
      </c>
    </row>
    <row r="21" spans="1:7" s="194" customFormat="1" ht="50.1" customHeight="1">
      <c r="A21" s="208"/>
      <c r="B21" s="224" t="s">
        <v>526</v>
      </c>
      <c r="C21" s="224" t="s">
        <v>553</v>
      </c>
      <c r="D21" s="224" t="s">
        <v>550</v>
      </c>
      <c r="E21" s="228"/>
      <c r="F21" s="225" t="s">
        <v>551</v>
      </c>
      <c r="G21" s="226" t="s">
        <v>552</v>
      </c>
    </row>
    <row r="22" spans="1:7" s="194" customFormat="1" ht="129.94999999999999" customHeight="1">
      <c r="A22" s="171" t="s">
        <v>554</v>
      </c>
      <c r="B22" s="224" t="s">
        <v>526</v>
      </c>
      <c r="C22" s="224" t="s">
        <v>527</v>
      </c>
      <c r="D22" s="227" t="s">
        <v>555</v>
      </c>
      <c r="E22" s="228"/>
      <c r="F22" s="225"/>
      <c r="G22" s="226" t="s">
        <v>556</v>
      </c>
    </row>
    <row r="23" spans="1:7" s="194" customFormat="1" ht="50.1" customHeight="1">
      <c r="A23" s="208" t="s">
        <v>557</v>
      </c>
      <c r="B23" s="224" t="s">
        <v>558</v>
      </c>
      <c r="C23" s="224" t="s">
        <v>527</v>
      </c>
      <c r="D23" s="224" t="s">
        <v>528</v>
      </c>
      <c r="E23" s="228"/>
      <c r="F23" s="225" t="s">
        <v>559</v>
      </c>
      <c r="G23" s="225"/>
    </row>
    <row r="24" spans="1:7" s="194" customFormat="1" ht="50.1" customHeight="1">
      <c r="A24" s="208"/>
      <c r="B24" s="224" t="s">
        <v>560</v>
      </c>
      <c r="C24" s="224" t="s">
        <v>527</v>
      </c>
      <c r="D24" s="224" t="s">
        <v>531</v>
      </c>
      <c r="E24" s="228"/>
      <c r="F24" s="225" t="s">
        <v>559</v>
      </c>
      <c r="G24" s="225"/>
    </row>
    <row r="25" spans="1:7" s="194" customFormat="1" ht="50.1" customHeight="1">
      <c r="A25" s="208"/>
      <c r="B25" s="224" t="s">
        <v>561</v>
      </c>
      <c r="C25" s="224" t="s">
        <v>527</v>
      </c>
      <c r="D25" s="224" t="s">
        <v>5481</v>
      </c>
      <c r="E25" s="228"/>
      <c r="F25" s="225"/>
      <c r="G25" s="225"/>
    </row>
  </sheetData>
  <mergeCells count="2">
    <mergeCell ref="D6:E6"/>
    <mergeCell ref="D2:D5"/>
  </mergeCells>
  <conditionalFormatting sqref="C2:C6">
    <cfRule type="containsText" dxfId="50" priority="1" operator="containsText" text="n/a">
      <formula>NOT(ISERROR(SEARCH(("n/a"),(D2))))</formula>
    </cfRule>
    <cfRule type="containsText" dxfId="49" priority="2" operator="containsText" text="Cypress">
      <formula>NOT(ISERROR(SEARCH(("Cypress"),(D2))))</formula>
    </cfRule>
  </conditionalFormatting>
  <conditionalFormatting sqref="E8">
    <cfRule type="containsText" dxfId="48" priority="3" operator="containsText" text="cypress">
      <formula>NOT(ISERROR(SEARCH(("cypress"),(E8))))</formula>
    </cfRule>
  </conditionalFormatting>
  <conditionalFormatting sqref="E9:E25">
    <cfRule type="containsText" dxfId="47" priority="6" operator="containsText" text="pass">
      <formula>NOT(ISERROR(SEARCH("pass",E9)))</formula>
    </cfRule>
    <cfRule type="containsText" dxfId="46" priority="7" operator="containsText" text="fail">
      <formula>NOT(ISERROR(SEARCH(("fail"),(E9))))</formula>
    </cfRule>
    <cfRule type="containsText" dxfId="45" priority="8" operator="containsText" text="n/a">
      <formula>NOT(ISERROR(SEARCH("n/a",E9)))</formula>
    </cfRule>
    <cfRule type="containsText" dxfId="44" priority="9" operator="containsText" text="cypress">
      <formula>NOT(ISERROR(SEARCH("cypress",E9)))</formula>
    </cfRule>
  </conditionalFormatting>
  <conditionalFormatting sqref="F1:F7">
    <cfRule type="containsText" dxfId="43" priority="4" operator="containsText" text="n/a">
      <formula>NOT(ISERROR(SEARCH(("n/a"),(G1))))</formula>
    </cfRule>
    <cfRule type="containsText" dxfId="42" priority="5" operator="containsText" text="Cypress">
      <formula>NOT(ISERROR(SEARCH(("Cypress"),(G1))))</formula>
    </cfRule>
  </conditionalFormatting>
  <hyperlinks>
    <hyperlink ref="G9" r:id="rId1" xr:uid="{00000000-0004-0000-0900-000000000000}"/>
    <hyperlink ref="G10" r:id="rId2" xr:uid="{00000000-0004-0000-0900-000001000000}"/>
    <hyperlink ref="G12" r:id="rId3" xr:uid="{00000000-0004-0000-0900-000002000000}"/>
    <hyperlink ref="G13" r:id="rId4" xr:uid="{00000000-0004-0000-0900-000003000000}"/>
    <hyperlink ref="G14" r:id="rId5" xr:uid="{00000000-0004-0000-0900-000004000000}"/>
    <hyperlink ref="G17" r:id="rId6" xr:uid="{00000000-0004-0000-0900-000005000000}"/>
    <hyperlink ref="G19" r:id="rId7" xr:uid="{00000000-0004-0000-0900-000006000000}"/>
    <hyperlink ref="G20" r:id="rId8" xr:uid="{00000000-0004-0000-0900-000007000000}"/>
    <hyperlink ref="G21" r:id="rId9" xr:uid="{00000000-0004-0000-0900-000008000000}"/>
    <hyperlink ref="G22" r:id="rId10" xr:uid="{00000000-0004-0000-0900-000009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2:G36"/>
  <sheetViews>
    <sheetView topLeftCell="A23" workbookViewId="0">
      <selection activeCell="D30" sqref="D30"/>
    </sheetView>
  </sheetViews>
  <sheetFormatPr defaultColWidth="12.5703125" defaultRowHeight="15" customHeight="1"/>
  <cols>
    <col min="1" max="1" width="18.7109375" customWidth="1"/>
    <col min="2" max="4" width="45.7109375" customWidth="1"/>
    <col min="5" max="5" width="18.7109375" customWidth="1"/>
    <col min="6" max="7" width="30.7109375" customWidth="1"/>
    <col min="8" max="8" width="16.42578125" customWidth="1"/>
    <col min="9" max="9" width="73.85546875" customWidth="1"/>
    <col min="10" max="10" width="31.140625" customWidth="1"/>
  </cols>
  <sheetData>
    <row r="2" spans="1:7" s="121" customFormat="1" ht="18" customHeight="1">
      <c r="A2" s="172" t="s">
        <v>36</v>
      </c>
      <c r="B2" s="173" t="s">
        <v>37</v>
      </c>
      <c r="C2" s="177"/>
      <c r="D2" s="253" t="e" vm="2">
        <v>#VALUE!</v>
      </c>
      <c r="E2" s="179"/>
      <c r="F2" s="177"/>
      <c r="G2" s="122"/>
    </row>
    <row r="3" spans="1:7" s="121" customFormat="1" ht="18" customHeight="1">
      <c r="A3" s="172" t="s">
        <v>3</v>
      </c>
      <c r="B3" s="173"/>
      <c r="C3" s="177"/>
      <c r="D3" s="254"/>
      <c r="E3" s="179"/>
      <c r="F3" s="177"/>
      <c r="G3" s="122"/>
    </row>
    <row r="4" spans="1:7" s="121" customFormat="1" ht="18" customHeight="1">
      <c r="A4" s="172" t="s">
        <v>4</v>
      </c>
      <c r="B4" s="173" t="s">
        <v>5</v>
      </c>
      <c r="C4" s="177"/>
      <c r="D4" s="254"/>
      <c r="E4" s="179"/>
      <c r="F4" s="177"/>
      <c r="G4" s="122"/>
    </row>
    <row r="5" spans="1:7" s="121" customFormat="1" ht="18" customHeight="1">
      <c r="A5" s="172" t="s">
        <v>38</v>
      </c>
      <c r="B5" s="173" t="s">
        <v>16</v>
      </c>
      <c r="C5" s="177"/>
      <c r="D5" s="254"/>
      <c r="E5" s="179"/>
      <c r="F5" s="177"/>
      <c r="G5" s="122"/>
    </row>
    <row r="6" spans="1:7" s="121" customFormat="1" ht="18" customHeight="1">
      <c r="A6" s="200"/>
      <c r="C6" s="177"/>
      <c r="D6" s="260"/>
      <c r="E6" s="254"/>
      <c r="F6" s="177"/>
      <c r="G6" s="122"/>
    </row>
    <row r="7" spans="1:7" s="121" customFormat="1" ht="18" customHeight="1">
      <c r="A7" s="177"/>
      <c r="B7" s="177"/>
      <c r="C7" s="177"/>
      <c r="D7" s="177"/>
      <c r="E7" s="178"/>
      <c r="G7" s="122"/>
    </row>
    <row r="8" spans="1:7" s="184" customFormat="1" ht="30" customHeight="1">
      <c r="A8" s="174" t="s">
        <v>39</v>
      </c>
      <c r="B8" s="175" t="s">
        <v>40</v>
      </c>
      <c r="C8" s="175" t="s">
        <v>41</v>
      </c>
      <c r="D8" s="175" t="s">
        <v>42</v>
      </c>
      <c r="E8" s="181" t="s">
        <v>5456</v>
      </c>
      <c r="F8" s="180" t="s">
        <v>43</v>
      </c>
      <c r="G8" s="182" t="s">
        <v>44</v>
      </c>
    </row>
    <row r="9" spans="1:7" s="194" customFormat="1" ht="65.099999999999994" customHeight="1">
      <c r="A9" s="208" t="s">
        <v>562</v>
      </c>
      <c r="B9" s="203" t="s">
        <v>563</v>
      </c>
      <c r="C9" s="203" t="s">
        <v>146</v>
      </c>
      <c r="D9" s="206" t="s">
        <v>564</v>
      </c>
      <c r="E9" s="228"/>
      <c r="F9" s="203"/>
    </row>
    <row r="10" spans="1:7" s="194" customFormat="1" ht="50.1" customHeight="1">
      <c r="A10" s="208"/>
      <c r="B10" s="203" t="s">
        <v>565</v>
      </c>
      <c r="C10" s="203" t="s">
        <v>566</v>
      </c>
      <c r="D10" s="203" t="s">
        <v>567</v>
      </c>
      <c r="E10" s="205"/>
      <c r="F10" s="203"/>
    </row>
    <row r="11" spans="1:7" s="194" customFormat="1" ht="50.1" customHeight="1">
      <c r="A11" s="208"/>
      <c r="B11" s="203" t="s">
        <v>565</v>
      </c>
      <c r="C11" s="203" t="s">
        <v>568</v>
      </c>
      <c r="D11" s="203" t="s">
        <v>569</v>
      </c>
      <c r="E11" s="205"/>
      <c r="F11" s="203"/>
    </row>
    <row r="12" spans="1:7" s="194" customFormat="1" ht="50.1" customHeight="1">
      <c r="A12" s="208"/>
      <c r="B12" s="203" t="s">
        <v>565</v>
      </c>
      <c r="C12" s="203" t="s">
        <v>570</v>
      </c>
      <c r="D12" s="203" t="s">
        <v>569</v>
      </c>
      <c r="E12" s="205"/>
      <c r="F12" s="203"/>
      <c r="G12" s="204"/>
    </row>
    <row r="13" spans="1:7" s="194" customFormat="1" ht="50.1" customHeight="1">
      <c r="A13" s="208"/>
      <c r="B13" s="203" t="s">
        <v>565</v>
      </c>
      <c r="C13" s="203" t="s">
        <v>571</v>
      </c>
      <c r="D13" s="203" t="s">
        <v>569</v>
      </c>
      <c r="E13" s="205"/>
      <c r="F13" s="203"/>
      <c r="G13" s="204"/>
    </row>
    <row r="14" spans="1:7" s="194" customFormat="1" ht="50.1" customHeight="1">
      <c r="A14" s="208"/>
      <c r="B14" s="203" t="s">
        <v>565</v>
      </c>
      <c r="C14" s="203" t="s">
        <v>572</v>
      </c>
      <c r="D14" s="203" t="s">
        <v>569</v>
      </c>
      <c r="E14" s="205"/>
      <c r="F14" s="203"/>
      <c r="G14" s="204"/>
    </row>
    <row r="15" spans="1:7" s="194" customFormat="1" ht="50.1" customHeight="1">
      <c r="A15" s="208"/>
      <c r="B15" s="203" t="s">
        <v>565</v>
      </c>
      <c r="C15" s="203" t="s">
        <v>573</v>
      </c>
      <c r="D15" s="203" t="s">
        <v>574</v>
      </c>
      <c r="E15" s="205"/>
      <c r="F15" s="203"/>
    </row>
    <row r="16" spans="1:7" s="194" customFormat="1" ht="50.1" customHeight="1">
      <c r="A16" s="208"/>
      <c r="B16" s="203" t="s">
        <v>565</v>
      </c>
      <c r="C16" s="203" t="s">
        <v>575</v>
      </c>
      <c r="D16" s="203" t="s">
        <v>574</v>
      </c>
      <c r="E16" s="205"/>
      <c r="F16" s="203"/>
      <c r="G16" s="229"/>
    </row>
    <row r="17" spans="1:7" s="194" customFormat="1" ht="50.1" customHeight="1">
      <c r="A17" s="208"/>
      <c r="B17" s="203" t="s">
        <v>565</v>
      </c>
      <c r="C17" s="203" t="s">
        <v>576</v>
      </c>
      <c r="D17" s="203" t="s">
        <v>574</v>
      </c>
      <c r="E17" s="205"/>
      <c r="F17" s="203"/>
      <c r="G17" s="222"/>
    </row>
    <row r="18" spans="1:7" s="194" customFormat="1" ht="50.1" customHeight="1">
      <c r="A18" s="208"/>
      <c r="B18" s="203" t="s">
        <v>565</v>
      </c>
      <c r="C18" s="203" t="s">
        <v>577</v>
      </c>
      <c r="D18" s="203" t="s">
        <v>574</v>
      </c>
      <c r="E18" s="205"/>
      <c r="F18" s="203"/>
      <c r="G18" s="222"/>
    </row>
    <row r="19" spans="1:7" s="194" customFormat="1" ht="50.1" customHeight="1">
      <c r="A19" s="208"/>
      <c r="B19" s="203" t="s">
        <v>565</v>
      </c>
      <c r="C19" s="203" t="s">
        <v>578</v>
      </c>
      <c r="D19" s="203" t="s">
        <v>574</v>
      </c>
      <c r="E19" s="205"/>
      <c r="F19" s="203"/>
      <c r="G19" s="222"/>
    </row>
    <row r="20" spans="1:7" s="194" customFormat="1" ht="50.1" customHeight="1">
      <c r="A20" s="208"/>
      <c r="B20" s="203" t="s">
        <v>565</v>
      </c>
      <c r="C20" s="203" t="s">
        <v>579</v>
      </c>
      <c r="D20" s="203" t="s">
        <v>574</v>
      </c>
      <c r="E20" s="205"/>
      <c r="F20" s="203"/>
      <c r="G20" s="221"/>
    </row>
    <row r="21" spans="1:7" s="194" customFormat="1" ht="50.1" customHeight="1">
      <c r="A21" s="208"/>
      <c r="B21" s="203" t="s">
        <v>565</v>
      </c>
      <c r="C21" s="203" t="s">
        <v>580</v>
      </c>
      <c r="D21" s="203" t="s">
        <v>574</v>
      </c>
      <c r="E21" s="205"/>
      <c r="F21" s="203"/>
      <c r="G21" s="221"/>
    </row>
    <row r="22" spans="1:7" s="194" customFormat="1" ht="50.1" customHeight="1">
      <c r="A22" s="171" t="s">
        <v>581</v>
      </c>
      <c r="B22" s="203" t="s">
        <v>565</v>
      </c>
      <c r="C22" s="203" t="s">
        <v>146</v>
      </c>
      <c r="D22" s="203" t="s">
        <v>582</v>
      </c>
      <c r="E22" s="205"/>
      <c r="F22" s="203"/>
      <c r="G22" s="221"/>
    </row>
    <row r="23" spans="1:7" s="194" customFormat="1" ht="50.1" customHeight="1">
      <c r="A23" s="171"/>
      <c r="B23" s="203"/>
      <c r="C23" s="203" t="s">
        <v>583</v>
      </c>
      <c r="D23" s="203" t="s">
        <v>584</v>
      </c>
      <c r="E23" s="205"/>
      <c r="F23" s="203"/>
      <c r="G23" s="223"/>
    </row>
    <row r="24" spans="1:7" s="194" customFormat="1" ht="50.1" customHeight="1">
      <c r="A24" s="171"/>
      <c r="B24" s="203"/>
      <c r="C24" s="203" t="s">
        <v>585</v>
      </c>
      <c r="D24" s="203" t="s">
        <v>586</v>
      </c>
      <c r="E24" s="205"/>
      <c r="F24" s="203"/>
      <c r="G24" s="222"/>
    </row>
    <row r="25" spans="1:7" s="194" customFormat="1" ht="50.1" customHeight="1">
      <c r="A25" s="171"/>
      <c r="B25" s="203" t="s">
        <v>148</v>
      </c>
      <c r="C25" s="203" t="s">
        <v>587</v>
      </c>
      <c r="D25" s="203" t="s">
        <v>588</v>
      </c>
      <c r="E25" s="205"/>
      <c r="F25" s="203"/>
      <c r="G25" s="223"/>
    </row>
    <row r="26" spans="1:7" s="194" customFormat="1" ht="50.1" customHeight="1">
      <c r="A26" s="208" t="s">
        <v>589</v>
      </c>
      <c r="B26" s="203" t="s">
        <v>590</v>
      </c>
      <c r="C26" s="203" t="s">
        <v>566</v>
      </c>
      <c r="D26" s="186" t="s">
        <v>591</v>
      </c>
      <c r="E26" s="205"/>
      <c r="F26" s="203"/>
      <c r="G26" s="223"/>
    </row>
    <row r="27" spans="1:7" s="194" customFormat="1" ht="50.1" customHeight="1">
      <c r="A27" s="208"/>
      <c r="B27" s="203" t="s">
        <v>592</v>
      </c>
      <c r="C27" s="203" t="s">
        <v>566</v>
      </c>
      <c r="D27" s="186" t="s">
        <v>593</v>
      </c>
      <c r="E27" s="205"/>
      <c r="F27" s="203"/>
      <c r="G27" s="221"/>
    </row>
    <row r="28" spans="1:7" s="194" customFormat="1" ht="80.099999999999994" customHeight="1">
      <c r="A28" s="208"/>
      <c r="B28" s="186" t="s">
        <v>594</v>
      </c>
      <c r="C28" s="203" t="s">
        <v>595</v>
      </c>
      <c r="D28" s="206" t="s">
        <v>596</v>
      </c>
      <c r="E28" s="205"/>
      <c r="F28" s="203"/>
      <c r="G28" s="221"/>
    </row>
    <row r="29" spans="1:7" s="194" customFormat="1" ht="80.099999999999994" customHeight="1">
      <c r="A29" s="208"/>
      <c r="B29" s="186" t="s">
        <v>597</v>
      </c>
      <c r="C29" s="203" t="s">
        <v>598</v>
      </c>
      <c r="D29" s="203" t="s">
        <v>599</v>
      </c>
      <c r="E29" s="205"/>
      <c r="F29" s="203"/>
      <c r="G29" s="221"/>
    </row>
    <row r="30" spans="1:7" s="194" customFormat="1" ht="80.099999999999994" customHeight="1">
      <c r="A30" s="208"/>
      <c r="B30" s="186" t="s">
        <v>600</v>
      </c>
      <c r="C30" s="203" t="s">
        <v>601</v>
      </c>
      <c r="D30" s="203" t="s">
        <v>602</v>
      </c>
      <c r="E30" s="205"/>
      <c r="F30" s="203"/>
      <c r="G30" s="221"/>
    </row>
    <row r="31" spans="1:7" s="194" customFormat="1" ht="80.099999999999994" customHeight="1">
      <c r="A31" s="208"/>
      <c r="B31" s="186" t="s">
        <v>603</v>
      </c>
      <c r="C31" s="203" t="s">
        <v>601</v>
      </c>
      <c r="D31" s="203" t="s">
        <v>602</v>
      </c>
      <c r="E31" s="205"/>
      <c r="F31" s="203"/>
      <c r="G31" s="221"/>
    </row>
    <row r="32" spans="1:7" s="194" customFormat="1" ht="80.099999999999994" customHeight="1">
      <c r="A32" s="208"/>
      <c r="B32" s="186" t="s">
        <v>604</v>
      </c>
      <c r="C32" s="203" t="s">
        <v>601</v>
      </c>
      <c r="D32" s="206" t="s">
        <v>605</v>
      </c>
      <c r="E32" s="205"/>
      <c r="F32" s="203"/>
      <c r="G32" s="221"/>
    </row>
    <row r="33" spans="1:7" s="194" customFormat="1" ht="80.099999999999994" customHeight="1">
      <c r="A33" s="208"/>
      <c r="B33" s="186" t="s">
        <v>606</v>
      </c>
      <c r="C33" s="203" t="s">
        <v>595</v>
      </c>
      <c r="D33" s="203" t="s">
        <v>602</v>
      </c>
      <c r="E33" s="205"/>
      <c r="F33" s="203"/>
      <c r="G33" s="221"/>
    </row>
    <row r="34" spans="1:7" s="194" customFormat="1" ht="50.1" customHeight="1">
      <c r="A34" s="208"/>
      <c r="B34" s="203" t="s">
        <v>607</v>
      </c>
      <c r="C34" s="203" t="s">
        <v>601</v>
      </c>
      <c r="D34" s="203" t="s">
        <v>608</v>
      </c>
      <c r="E34" s="205"/>
      <c r="F34" s="203"/>
      <c r="G34" s="221"/>
    </row>
    <row r="35" spans="1:7" s="194" customFormat="1" ht="50.1" customHeight="1">
      <c r="A35" s="208"/>
      <c r="B35" s="203" t="s">
        <v>609</v>
      </c>
      <c r="C35" s="203" t="s">
        <v>601</v>
      </c>
      <c r="D35" s="203" t="s">
        <v>610</v>
      </c>
      <c r="E35" s="205"/>
      <c r="F35" s="203"/>
      <c r="G35" s="221"/>
    </row>
    <row r="36" spans="1:7" s="194" customFormat="1" ht="50.1" customHeight="1">
      <c r="A36" s="208"/>
      <c r="B36" s="203" t="s">
        <v>611</v>
      </c>
      <c r="C36" s="203" t="s">
        <v>601</v>
      </c>
      <c r="D36" s="203" t="s">
        <v>612</v>
      </c>
      <c r="E36" s="205"/>
      <c r="F36" s="203"/>
      <c r="G36" s="221"/>
    </row>
  </sheetData>
  <mergeCells count="2">
    <mergeCell ref="D6:E6"/>
    <mergeCell ref="D2:D5"/>
  </mergeCells>
  <conditionalFormatting sqref="C2:C6">
    <cfRule type="containsText" dxfId="41" priority="5" operator="containsText" text="n/a">
      <formula>NOT(ISERROR(SEARCH(("n/a"),(D2))))</formula>
    </cfRule>
    <cfRule type="containsText" dxfId="40" priority="6" operator="containsText" text="Cypress">
      <formula>NOT(ISERROR(SEARCH(("Cypress"),(D2))))</formula>
    </cfRule>
  </conditionalFormatting>
  <conditionalFormatting sqref="E8">
    <cfRule type="containsText" dxfId="39" priority="7" operator="containsText" text="cypress">
      <formula>NOT(ISERROR(SEARCH(("cypress"),(E8))))</formula>
    </cfRule>
  </conditionalFormatting>
  <conditionalFormatting sqref="E9:E36">
    <cfRule type="containsText" dxfId="38" priority="1" operator="containsText" text="pass">
      <formula>NOT(ISERROR(SEARCH("pass",E9)))</formula>
    </cfRule>
    <cfRule type="containsText" dxfId="37" priority="2" operator="containsText" text="fail">
      <formula>NOT(ISERROR(SEARCH(("fail"),(E9))))</formula>
    </cfRule>
    <cfRule type="containsText" dxfId="36" priority="3" operator="containsText" text="n/a">
      <formula>NOT(ISERROR(SEARCH("n/a",E9)))</formula>
    </cfRule>
    <cfRule type="containsText" dxfId="35" priority="4" operator="containsText" text="cypress">
      <formula>NOT(ISERROR(SEARCH("cypress",E9)))</formula>
    </cfRule>
  </conditionalFormatting>
  <conditionalFormatting sqref="E10:E42 F43:F945">
    <cfRule type="containsText" dxfId="34" priority="10" operator="containsText" text="Pass">
      <formula>NOT(ISERROR(SEARCH(("Pass"),(E10))))</formula>
    </cfRule>
    <cfRule type="containsText" dxfId="33" priority="11" operator="containsText" text="fail">
      <formula>NOT(ISERROR(SEARCH(("fail"),(E10))))</formula>
    </cfRule>
    <cfRule type="containsText" dxfId="32" priority="12" operator="containsText" text="n/a">
      <formula>NOT(ISERROR(SEARCH(("n/a"),(F10))))</formula>
    </cfRule>
    <cfRule type="containsText" dxfId="31" priority="13" operator="containsText" text="Cypress">
      <formula>NOT(ISERROR(SEARCH(("Cypress"),(F10))))</formula>
    </cfRule>
  </conditionalFormatting>
  <conditionalFormatting sqref="F1:F7">
    <cfRule type="containsText" dxfId="30" priority="8" operator="containsText" text="n/a">
      <formula>NOT(ISERROR(SEARCH(("n/a"),(G1))))</formula>
    </cfRule>
    <cfRule type="containsText" dxfId="29" priority="9" operator="containsText" text="Cypress">
      <formula>NOT(ISERROR(SEARCH(("Cypress"),(G1))))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2:G8"/>
  <sheetViews>
    <sheetView workbookViewId="0">
      <selection activeCell="A10" sqref="A10"/>
    </sheetView>
  </sheetViews>
  <sheetFormatPr defaultColWidth="12.5703125" defaultRowHeight="15" customHeight="1"/>
  <cols>
    <col min="1" max="1" width="18.7109375" customWidth="1"/>
    <col min="2" max="4" width="45.7109375" customWidth="1"/>
    <col min="5" max="5" width="18.7109375" customWidth="1"/>
    <col min="6" max="7" width="30.7109375" customWidth="1"/>
    <col min="8" max="8" width="73.85546875" customWidth="1"/>
    <col min="9" max="9" width="31.140625" customWidth="1"/>
  </cols>
  <sheetData>
    <row r="2" spans="1:7" s="121" customFormat="1" ht="18" customHeight="1">
      <c r="A2" s="172" t="s">
        <v>36</v>
      </c>
      <c r="B2" s="173" t="s">
        <v>37</v>
      </c>
      <c r="C2" s="177"/>
      <c r="D2" s="253" t="e" vm="2">
        <v>#VALUE!</v>
      </c>
      <c r="E2" s="179"/>
      <c r="F2" s="177"/>
      <c r="G2" s="122"/>
    </row>
    <row r="3" spans="1:7" s="121" customFormat="1" ht="18" customHeight="1">
      <c r="A3" s="172" t="s">
        <v>3</v>
      </c>
      <c r="B3" s="173"/>
      <c r="C3" s="177"/>
      <c r="D3" s="254"/>
      <c r="E3" s="179"/>
      <c r="F3" s="177"/>
      <c r="G3" s="122"/>
    </row>
    <row r="4" spans="1:7" s="121" customFormat="1" ht="18" customHeight="1">
      <c r="A4" s="172" t="s">
        <v>4</v>
      </c>
      <c r="B4" s="173" t="s">
        <v>5</v>
      </c>
      <c r="C4" s="177"/>
      <c r="D4" s="254"/>
      <c r="E4" s="179"/>
      <c r="F4" s="177"/>
      <c r="G4" s="122"/>
    </row>
    <row r="5" spans="1:7" s="121" customFormat="1" ht="18" customHeight="1">
      <c r="A5" s="172" t="s">
        <v>38</v>
      </c>
      <c r="B5" s="173" t="s">
        <v>5482</v>
      </c>
      <c r="C5" s="177"/>
      <c r="D5" s="254"/>
      <c r="E5" s="179"/>
      <c r="F5" s="177"/>
      <c r="G5" s="122"/>
    </row>
    <row r="6" spans="1:7" s="121" customFormat="1" ht="18" customHeight="1">
      <c r="A6" s="200"/>
      <c r="C6" s="177"/>
      <c r="D6" s="260"/>
      <c r="E6" s="254"/>
      <c r="F6" s="177"/>
      <c r="G6" s="122"/>
    </row>
    <row r="7" spans="1:7" s="121" customFormat="1" ht="18" customHeight="1">
      <c r="A7" s="177"/>
      <c r="B7" s="177"/>
      <c r="C7" s="177"/>
      <c r="D7" s="177"/>
      <c r="E7" s="178"/>
      <c r="G7" s="122"/>
    </row>
    <row r="8" spans="1:7" s="184" customFormat="1" ht="30" customHeight="1">
      <c r="A8" s="174" t="s">
        <v>39</v>
      </c>
      <c r="B8" s="175" t="s">
        <v>40</v>
      </c>
      <c r="C8" s="175" t="s">
        <v>41</v>
      </c>
      <c r="D8" s="175" t="s">
        <v>42</v>
      </c>
      <c r="E8" s="181" t="s">
        <v>5456</v>
      </c>
      <c r="F8" s="180" t="s">
        <v>43</v>
      </c>
      <c r="G8" s="182" t="s">
        <v>44</v>
      </c>
    </row>
  </sheetData>
  <mergeCells count="2">
    <mergeCell ref="D2:D5"/>
    <mergeCell ref="D6:E6"/>
  </mergeCells>
  <conditionalFormatting sqref="C2:C6">
    <cfRule type="containsText" dxfId="28" priority="1" operator="containsText" text="n/a">
      <formula>NOT(ISERROR(SEARCH(("n/a"),(D2))))</formula>
    </cfRule>
    <cfRule type="containsText" dxfId="27" priority="2" operator="containsText" text="Cypress">
      <formula>NOT(ISERROR(SEARCH(("Cypress"),(D2))))</formula>
    </cfRule>
  </conditionalFormatting>
  <conditionalFormatting sqref="E8">
    <cfRule type="containsText" dxfId="26" priority="3" operator="containsText" text="cypress">
      <formula>NOT(ISERROR(SEARCH(("cypress"),(E8))))</formula>
    </cfRule>
  </conditionalFormatting>
  <conditionalFormatting sqref="E9:E945">
    <cfRule type="containsText" dxfId="25" priority="6" operator="containsText" text="Pass">
      <formula>NOT(ISERROR(SEARCH(("Pass"),(E9))))</formula>
    </cfRule>
    <cfRule type="containsText" dxfId="24" priority="7" operator="containsText" text="fail">
      <formula>NOT(ISERROR(SEARCH(("fail"),(E9))))</formula>
    </cfRule>
    <cfRule type="containsText" dxfId="23" priority="8" operator="containsText" text="n/a">
      <formula>NOT(ISERROR(SEARCH(("n/a"),(E9))))</formula>
    </cfRule>
    <cfRule type="containsText" dxfId="22" priority="9" operator="containsText" text="Cypress">
      <formula>NOT(ISERROR(SEARCH(("Cypress"),(E9))))</formula>
    </cfRule>
  </conditionalFormatting>
  <conditionalFormatting sqref="F1:F7">
    <cfRule type="containsText" dxfId="21" priority="4" operator="containsText" text="n/a">
      <formula>NOT(ISERROR(SEARCH(("n/a"),(G1))))</formula>
    </cfRule>
    <cfRule type="containsText" dxfId="20" priority="5" operator="containsText" text="Cypress">
      <formula>NOT(ISERROR(SEARCH(("Cypress"),(G1))))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2:H38"/>
  <sheetViews>
    <sheetView topLeftCell="A10" workbookViewId="0">
      <selection activeCell="A18" sqref="A18:XFD18"/>
    </sheetView>
  </sheetViews>
  <sheetFormatPr defaultColWidth="12.5703125" defaultRowHeight="15" customHeight="1"/>
  <cols>
    <col min="1" max="1" width="18.7109375" customWidth="1"/>
    <col min="2" max="4" width="45.7109375" customWidth="1"/>
    <col min="5" max="5" width="18.7109375" customWidth="1"/>
    <col min="6" max="7" width="30.7109375" customWidth="1"/>
    <col min="8" max="8" width="28.7109375" customWidth="1"/>
    <col min="9" max="9" width="73.85546875" customWidth="1"/>
    <col min="10" max="10" width="31.140625" customWidth="1"/>
  </cols>
  <sheetData>
    <row r="2" spans="1:7" s="121" customFormat="1" ht="18" customHeight="1">
      <c r="A2" s="172" t="s">
        <v>36</v>
      </c>
      <c r="B2" s="173" t="s">
        <v>37</v>
      </c>
      <c r="C2" s="177"/>
      <c r="D2" s="253" t="e" vm="2">
        <v>#VALUE!</v>
      </c>
      <c r="E2" s="179"/>
      <c r="F2" s="177"/>
      <c r="G2" s="122"/>
    </row>
    <row r="3" spans="1:7" s="121" customFormat="1" ht="18" customHeight="1">
      <c r="A3" s="172" t="s">
        <v>3</v>
      </c>
      <c r="B3" s="173"/>
      <c r="C3" s="177"/>
      <c r="D3" s="254"/>
      <c r="E3" s="179"/>
      <c r="F3" s="177"/>
      <c r="G3" s="122"/>
    </row>
    <row r="4" spans="1:7" s="121" customFormat="1" ht="18" customHeight="1">
      <c r="A4" s="172" t="s">
        <v>4</v>
      </c>
      <c r="B4" s="173" t="s">
        <v>5</v>
      </c>
      <c r="C4" s="177"/>
      <c r="D4" s="254"/>
      <c r="E4" s="179"/>
      <c r="F4" s="177"/>
      <c r="G4" s="122"/>
    </row>
    <row r="5" spans="1:7" s="121" customFormat="1" ht="18" customHeight="1">
      <c r="A5" s="172" t="s">
        <v>38</v>
      </c>
      <c r="B5" s="173" t="s">
        <v>5490</v>
      </c>
      <c r="C5" s="177"/>
      <c r="D5" s="254"/>
      <c r="E5" s="179"/>
      <c r="F5" s="177"/>
      <c r="G5" s="122"/>
    </row>
    <row r="6" spans="1:7" s="121" customFormat="1" ht="18" customHeight="1">
      <c r="A6" s="150"/>
      <c r="B6" s="150"/>
      <c r="C6" s="150"/>
      <c r="D6" s="150"/>
      <c r="E6" s="150"/>
      <c r="F6" s="150"/>
      <c r="G6" s="150"/>
    </row>
    <row r="7" spans="1:7" s="121" customFormat="1" ht="18" customHeight="1">
      <c r="A7" s="150"/>
      <c r="B7" s="150"/>
      <c r="C7" s="150"/>
      <c r="D7" s="150"/>
      <c r="E7" s="150"/>
      <c r="F7" s="150"/>
      <c r="G7" s="150"/>
    </row>
    <row r="8" spans="1:7" s="121" customFormat="1" ht="18" customHeight="1">
      <c r="A8" s="150"/>
      <c r="B8" s="262" t="s">
        <v>613</v>
      </c>
      <c r="C8" s="262"/>
      <c r="D8" s="150"/>
      <c r="F8" s="150"/>
      <c r="G8" s="150"/>
    </row>
    <row r="9" spans="1:7" s="121" customFormat="1" ht="18" customHeight="1">
      <c r="A9" s="150"/>
      <c r="B9" s="262" t="s">
        <v>614</v>
      </c>
      <c r="C9" s="262"/>
      <c r="D9" s="150"/>
      <c r="F9" s="150"/>
      <c r="G9" s="150"/>
    </row>
    <row r="10" spans="1:7" s="121" customFormat="1" ht="18" customHeight="1">
      <c r="A10" s="150"/>
      <c r="B10" s="262" t="s">
        <v>615</v>
      </c>
      <c r="C10" s="262"/>
      <c r="D10" s="150"/>
      <c r="E10" s="150"/>
      <c r="F10" s="150"/>
      <c r="G10" s="150"/>
    </row>
    <row r="11" spans="1:7" s="121" customFormat="1" ht="18" customHeight="1">
      <c r="A11" s="150"/>
      <c r="B11" s="262" t="s">
        <v>616</v>
      </c>
      <c r="C11" s="262"/>
      <c r="D11" s="150"/>
      <c r="F11" s="150"/>
      <c r="G11" s="150"/>
    </row>
    <row r="12" spans="1:7" s="121" customFormat="1" ht="18" customHeight="1">
      <c r="A12" s="150"/>
      <c r="B12" s="262" t="s">
        <v>617</v>
      </c>
      <c r="C12" s="262"/>
      <c r="D12" s="150"/>
      <c r="F12" s="150"/>
      <c r="G12" s="150"/>
    </row>
    <row r="13" spans="1:7" s="121" customFormat="1" ht="18" customHeight="1">
      <c r="A13" s="150"/>
      <c r="B13" s="150"/>
      <c r="C13" s="150"/>
      <c r="D13" s="150"/>
      <c r="E13" s="150"/>
      <c r="F13" s="150"/>
      <c r="G13" s="150"/>
    </row>
    <row r="14" spans="1:7" s="121" customFormat="1" ht="24.95" customHeight="1">
      <c r="A14" s="150"/>
      <c r="B14" s="263" t="s">
        <v>618</v>
      </c>
      <c r="C14" s="263"/>
      <c r="D14" s="263" t="s">
        <v>620</v>
      </c>
      <c r="E14" s="263"/>
      <c r="F14" s="263"/>
      <c r="G14" s="263"/>
    </row>
    <row r="15" spans="1:7" s="121" customFormat="1" ht="24.95" customHeight="1">
      <c r="A15" s="150"/>
      <c r="B15" s="263" t="s">
        <v>619</v>
      </c>
      <c r="C15" s="263"/>
      <c r="D15" s="263" t="s">
        <v>621</v>
      </c>
      <c r="E15" s="263"/>
      <c r="F15" s="263"/>
      <c r="G15" s="263"/>
    </row>
    <row r="17" spans="1:8" s="184" customFormat="1" ht="30" customHeight="1">
      <c r="A17" s="174" t="s">
        <v>39</v>
      </c>
      <c r="B17" s="175" t="s">
        <v>40</v>
      </c>
      <c r="C17" s="175" t="s">
        <v>41</v>
      </c>
      <c r="D17" s="175" t="s">
        <v>42</v>
      </c>
      <c r="E17" s="181" t="s">
        <v>5456</v>
      </c>
      <c r="F17" s="180" t="s">
        <v>43</v>
      </c>
      <c r="G17" s="182" t="s">
        <v>44</v>
      </c>
      <c r="H17" s="176"/>
    </row>
    <row r="18" spans="1:8" s="196" customFormat="1" ht="65.099999999999994" customHeight="1">
      <c r="A18" s="208" t="s">
        <v>623</v>
      </c>
      <c r="B18" s="203" t="s">
        <v>624</v>
      </c>
      <c r="C18" s="203" t="s">
        <v>625</v>
      </c>
      <c r="D18" s="203" t="s">
        <v>626</v>
      </c>
      <c r="E18" s="203"/>
      <c r="F18" s="203"/>
      <c r="G18" s="230"/>
      <c r="H18" s="203" t="s">
        <v>627</v>
      </c>
    </row>
    <row r="19" spans="1:8" s="196" customFormat="1" ht="80.099999999999994" customHeight="1">
      <c r="A19" s="208"/>
      <c r="B19" s="203" t="s">
        <v>628</v>
      </c>
      <c r="C19" s="203" t="s">
        <v>625</v>
      </c>
      <c r="D19" s="206" t="s">
        <v>629</v>
      </c>
      <c r="E19" s="203"/>
      <c r="F19" s="203"/>
      <c r="G19" s="230"/>
      <c r="H19" s="203" t="s">
        <v>630</v>
      </c>
    </row>
    <row r="20" spans="1:8" s="196" customFormat="1" ht="65.099999999999994" customHeight="1">
      <c r="A20" s="208"/>
      <c r="B20" s="203" t="s">
        <v>631</v>
      </c>
      <c r="C20" s="203" t="s">
        <v>625</v>
      </c>
      <c r="D20" s="203" t="s">
        <v>626</v>
      </c>
      <c r="E20" s="203"/>
      <c r="F20" s="203"/>
      <c r="G20" s="203"/>
      <c r="H20" s="203"/>
    </row>
    <row r="21" spans="1:8" s="196" customFormat="1" ht="65.099999999999994" customHeight="1">
      <c r="A21" s="208"/>
      <c r="B21" s="203" t="s">
        <v>632</v>
      </c>
      <c r="C21" s="203" t="s">
        <v>633</v>
      </c>
      <c r="D21" s="203" t="s">
        <v>634</v>
      </c>
      <c r="E21" s="203"/>
      <c r="F21" s="203"/>
      <c r="G21" s="230"/>
      <c r="H21" s="203"/>
    </row>
    <row r="22" spans="1:8" s="196" customFormat="1" ht="65.099999999999994" customHeight="1">
      <c r="A22" s="208"/>
      <c r="B22" s="203" t="s">
        <v>635</v>
      </c>
      <c r="C22" s="203" t="s">
        <v>625</v>
      </c>
      <c r="D22" s="203" t="s">
        <v>626</v>
      </c>
      <c r="E22" s="203"/>
      <c r="F22" s="203"/>
      <c r="G22" s="230"/>
      <c r="H22" s="203"/>
    </row>
    <row r="23" spans="1:8" s="196" customFormat="1" ht="65.099999999999994" customHeight="1">
      <c r="A23" s="208"/>
      <c r="B23" s="203" t="s">
        <v>636</v>
      </c>
      <c r="C23" s="203" t="s">
        <v>625</v>
      </c>
      <c r="D23" s="203" t="s">
        <v>637</v>
      </c>
      <c r="E23" s="203"/>
      <c r="F23" s="203"/>
      <c r="G23" s="230"/>
      <c r="H23" s="203"/>
    </row>
    <row r="24" spans="1:8" s="196" customFormat="1" ht="65.099999999999994" customHeight="1">
      <c r="A24" s="208"/>
      <c r="B24" s="203" t="s">
        <v>638</v>
      </c>
      <c r="C24" s="203" t="s">
        <v>639</v>
      </c>
      <c r="D24" s="203" t="s">
        <v>640</v>
      </c>
      <c r="E24" s="203"/>
      <c r="F24" s="203"/>
      <c r="G24" s="230"/>
      <c r="H24" s="203"/>
    </row>
    <row r="25" spans="1:8" s="196" customFormat="1" ht="80.099999999999994" customHeight="1">
      <c r="A25" s="171" t="s">
        <v>641</v>
      </c>
      <c r="B25" s="203" t="s">
        <v>642</v>
      </c>
      <c r="C25" s="203" t="s">
        <v>625</v>
      </c>
      <c r="D25" s="206" t="s">
        <v>643</v>
      </c>
      <c r="E25" s="203"/>
      <c r="F25" s="203"/>
      <c r="G25" s="203"/>
      <c r="H25" s="203"/>
    </row>
    <row r="26" spans="1:8" s="196" customFormat="1" ht="65.099999999999994" customHeight="1">
      <c r="A26" s="208" t="s">
        <v>644</v>
      </c>
      <c r="B26" s="203" t="s">
        <v>645</v>
      </c>
      <c r="C26" s="203" t="s">
        <v>646</v>
      </c>
      <c r="D26" s="203" t="s">
        <v>5483</v>
      </c>
      <c r="E26" s="203"/>
      <c r="F26" s="203"/>
      <c r="G26" s="230"/>
      <c r="H26" s="203"/>
    </row>
    <row r="27" spans="1:8" s="196" customFormat="1" ht="65.099999999999994" customHeight="1">
      <c r="A27" s="208"/>
      <c r="B27" s="203" t="s">
        <v>647</v>
      </c>
      <c r="C27" s="203" t="s">
        <v>648</v>
      </c>
      <c r="D27" s="203" t="s">
        <v>5484</v>
      </c>
      <c r="E27" s="203"/>
      <c r="F27" s="203"/>
      <c r="G27" s="230"/>
      <c r="H27" s="203"/>
    </row>
    <row r="28" spans="1:8" s="196" customFormat="1" ht="65.099999999999994" customHeight="1">
      <c r="A28" s="208"/>
      <c r="B28" s="203" t="s">
        <v>647</v>
      </c>
      <c r="C28" s="203" t="s">
        <v>649</v>
      </c>
      <c r="D28" s="203" t="s">
        <v>5485</v>
      </c>
      <c r="E28" s="203"/>
      <c r="F28" s="203"/>
      <c r="G28" s="230"/>
      <c r="H28" s="203"/>
    </row>
    <row r="29" spans="1:8" s="196" customFormat="1" ht="65.099999999999994" customHeight="1">
      <c r="A29" s="208"/>
      <c r="B29" s="203" t="s">
        <v>645</v>
      </c>
      <c r="C29" s="203" t="s">
        <v>650</v>
      </c>
      <c r="D29" s="203" t="s">
        <v>5486</v>
      </c>
      <c r="E29" s="203"/>
      <c r="F29" s="203"/>
      <c r="G29" s="230"/>
      <c r="H29" s="203"/>
    </row>
    <row r="30" spans="1:8" s="196" customFormat="1" ht="65.099999999999994" customHeight="1">
      <c r="A30" s="171" t="s">
        <v>651</v>
      </c>
      <c r="B30" s="203" t="s">
        <v>652</v>
      </c>
      <c r="C30" s="203" t="s">
        <v>653</v>
      </c>
      <c r="D30" s="203" t="s">
        <v>5487</v>
      </c>
      <c r="E30" s="203"/>
      <c r="F30" s="203"/>
      <c r="G30" s="203"/>
      <c r="H30" s="203"/>
    </row>
    <row r="31" spans="1:8" s="196" customFormat="1" ht="65.099999999999994" customHeight="1">
      <c r="A31" s="171"/>
      <c r="B31" s="203" t="s">
        <v>654</v>
      </c>
      <c r="C31" s="203" t="s">
        <v>655</v>
      </c>
      <c r="D31" s="203" t="s">
        <v>5488</v>
      </c>
      <c r="E31" s="203"/>
      <c r="F31" s="203"/>
      <c r="G31" s="203"/>
      <c r="H31" s="203"/>
    </row>
    <row r="32" spans="1:8" s="196" customFormat="1" ht="65.099999999999994" customHeight="1">
      <c r="A32" s="171"/>
      <c r="B32" s="203" t="s">
        <v>656</v>
      </c>
      <c r="C32" s="203" t="s">
        <v>657</v>
      </c>
      <c r="D32" s="203" t="s">
        <v>5489</v>
      </c>
      <c r="E32" s="203"/>
      <c r="F32" s="203"/>
      <c r="G32" s="203"/>
      <c r="H32" s="203"/>
    </row>
    <row r="33" spans="1:8" s="196" customFormat="1" ht="65.099999999999994" customHeight="1">
      <c r="A33" s="171"/>
      <c r="B33" s="203" t="s">
        <v>658</v>
      </c>
      <c r="C33" s="203" t="s">
        <v>659</v>
      </c>
      <c r="D33" s="203" t="s">
        <v>660</v>
      </c>
      <c r="E33" s="203"/>
      <c r="F33" s="203"/>
      <c r="G33" s="203"/>
      <c r="H33" s="203"/>
    </row>
    <row r="34" spans="1:8" s="196" customFormat="1" ht="65.099999999999994" customHeight="1">
      <c r="A34" s="208" t="s">
        <v>661</v>
      </c>
      <c r="B34" s="203" t="s">
        <v>645</v>
      </c>
      <c r="C34" s="203" t="s">
        <v>662</v>
      </c>
      <c r="D34" s="203" t="s">
        <v>5483</v>
      </c>
      <c r="E34" s="198"/>
      <c r="F34" s="198"/>
      <c r="G34" s="198"/>
      <c r="H34" s="198"/>
    </row>
    <row r="35" spans="1:8" s="196" customFormat="1" ht="65.099999999999994" customHeight="1">
      <c r="A35" s="208"/>
      <c r="B35" s="203" t="s">
        <v>647</v>
      </c>
      <c r="C35" s="203" t="s">
        <v>663</v>
      </c>
      <c r="D35" s="203" t="s">
        <v>5484</v>
      </c>
      <c r="E35" s="198"/>
      <c r="F35" s="198"/>
      <c r="G35" s="198"/>
      <c r="H35" s="198"/>
    </row>
    <row r="36" spans="1:8" s="196" customFormat="1" ht="65.099999999999994" customHeight="1">
      <c r="A36" s="208"/>
      <c r="B36" s="203" t="s">
        <v>647</v>
      </c>
      <c r="C36" s="203" t="s">
        <v>664</v>
      </c>
      <c r="D36" s="203" t="s">
        <v>5485</v>
      </c>
      <c r="E36" s="198"/>
      <c r="F36" s="198"/>
      <c r="G36" s="198"/>
      <c r="H36" s="198"/>
    </row>
    <row r="37" spans="1:8" s="196" customFormat="1" ht="65.099999999999994" customHeight="1">
      <c r="A37" s="208"/>
      <c r="B37" s="203" t="s">
        <v>645</v>
      </c>
      <c r="C37" s="203" t="s">
        <v>665</v>
      </c>
      <c r="D37" s="203" t="s">
        <v>5486</v>
      </c>
      <c r="E37" s="198"/>
      <c r="F37" s="198"/>
      <c r="G37" s="198"/>
      <c r="H37" s="198"/>
    </row>
    <row r="38" spans="1:8" s="196" customFormat="1" ht="65.099999999999994" customHeight="1">
      <c r="A38" s="171" t="s">
        <v>666</v>
      </c>
      <c r="B38" s="203" t="s">
        <v>667</v>
      </c>
      <c r="C38" s="203" t="s">
        <v>668</v>
      </c>
      <c r="D38" s="203" t="s">
        <v>669</v>
      </c>
      <c r="E38" s="203"/>
      <c r="F38" s="203"/>
      <c r="G38" s="203"/>
      <c r="H38" s="203"/>
    </row>
  </sheetData>
  <mergeCells count="10">
    <mergeCell ref="B12:C12"/>
    <mergeCell ref="B14:C14"/>
    <mergeCell ref="B15:C15"/>
    <mergeCell ref="D14:G14"/>
    <mergeCell ref="D15:G15"/>
    <mergeCell ref="D2:D5"/>
    <mergeCell ref="B9:C9"/>
    <mergeCell ref="B10:C10"/>
    <mergeCell ref="B8:C8"/>
    <mergeCell ref="B11:C11"/>
  </mergeCells>
  <conditionalFormatting sqref="A8:A12">
    <cfRule type="containsText" dxfId="19" priority="15" operator="containsText" text="n/a">
      <formula>NOT(ISERROR(SEARCH(("n/a"),(#REF!))))</formula>
    </cfRule>
    <cfRule type="containsText" dxfId="18" priority="17" operator="containsText" text="Cypress">
      <formula>NOT(ISERROR(SEARCH(("Cypress"),(#REF!))))</formula>
    </cfRule>
  </conditionalFormatting>
  <conditionalFormatting sqref="B8:B12">
    <cfRule type="containsText" dxfId="17" priority="19" operator="containsText" text="n/a">
      <formula>NOT(ISERROR(SEARCH(("n/a"),(D8))))</formula>
    </cfRule>
    <cfRule type="containsText" dxfId="16" priority="21" operator="containsText" text="Cypress">
      <formula>NOT(ISERROR(SEARCH(("Cypress"),(D8))))</formula>
    </cfRule>
  </conditionalFormatting>
  <conditionalFormatting sqref="C2:C7 A6:B7 A13:C13 A14 E40 F41:F944 E18:E37">
    <cfRule type="containsText" dxfId="15" priority="11" operator="containsText" text="Cypress">
      <formula>NOT(ISERROR(SEARCH(("Cypress"),(B2))))</formula>
    </cfRule>
  </conditionalFormatting>
  <conditionalFormatting sqref="E17">
    <cfRule type="containsText" dxfId="14" priority="5" operator="containsText" text="cypress">
      <formula>NOT(ISERROR(SEARCH(("cypress"),(E17))))</formula>
    </cfRule>
  </conditionalFormatting>
  <conditionalFormatting sqref="E40 F41:F944 C2:C7 A6:B7 A13:C13 A14 E18:E37">
    <cfRule type="containsText" dxfId="13" priority="10" operator="containsText" text="n/a">
      <formula>NOT(ISERROR(SEARCH(("n/a"),(B2))))</formula>
    </cfRule>
  </conditionalFormatting>
  <conditionalFormatting sqref="E40 F53:F944 E18:E37">
    <cfRule type="containsText" dxfId="12" priority="8" operator="containsText" text="Pass">
      <formula>NOT(ISERROR(SEARCH(("Pass"),(E18))))</formula>
    </cfRule>
    <cfRule type="containsText" dxfId="11" priority="9" operator="containsText" text="fail">
      <formula>NOT(ISERROR(SEARCH(("fail"),(E18))))</formula>
    </cfRule>
  </conditionalFormatting>
  <conditionalFormatting sqref="F1:F13 F16">
    <cfRule type="containsText" dxfId="10" priority="6" operator="containsText" text="n/a">
      <formula>NOT(ISERROR(SEARCH(("n/a"),(G1))))</formula>
    </cfRule>
    <cfRule type="containsText" dxfId="9" priority="7" operator="containsText" text="Cypress">
      <formula>NOT(ISERROR(SEARCH(("Cypress"),(G1))))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2:G94"/>
  <sheetViews>
    <sheetView tabSelected="1" workbookViewId="0">
      <selection activeCell="A43" sqref="A43:XFD43"/>
    </sheetView>
  </sheetViews>
  <sheetFormatPr defaultColWidth="12.5703125" defaultRowHeight="15" customHeight="1"/>
  <cols>
    <col min="1" max="1" width="25.7109375" style="153" customWidth="1"/>
    <col min="2" max="3" width="45.7109375" style="153" customWidth="1"/>
    <col min="4" max="4" width="70.7109375" style="153" customWidth="1"/>
    <col min="5" max="5" width="18.7109375" style="153" customWidth="1"/>
    <col min="6" max="7" width="30.7109375" style="153" customWidth="1"/>
    <col min="8" max="8" width="73.85546875" style="153" customWidth="1"/>
    <col min="9" max="9" width="31.140625" style="153" customWidth="1"/>
    <col min="10" max="16384" width="12.5703125" style="153"/>
  </cols>
  <sheetData>
    <row r="2" spans="1:7" ht="18" customHeight="1">
      <c r="A2" s="167" t="s">
        <v>36</v>
      </c>
      <c r="B2" s="165" t="s">
        <v>37</v>
      </c>
      <c r="C2" s="151"/>
      <c r="D2" s="264" t="e" vm="2">
        <v>#VALUE!</v>
      </c>
      <c r="E2" s="232"/>
      <c r="F2" s="151"/>
      <c r="G2" s="152"/>
    </row>
    <row r="3" spans="1:7" ht="18" customHeight="1">
      <c r="A3" s="167" t="s">
        <v>3</v>
      </c>
      <c r="B3" s="165"/>
      <c r="C3" s="151"/>
      <c r="D3" s="265"/>
      <c r="E3" s="232"/>
      <c r="F3" s="151"/>
      <c r="G3" s="152"/>
    </row>
    <row r="4" spans="1:7" ht="18" customHeight="1">
      <c r="A4" s="167" t="s">
        <v>4</v>
      </c>
      <c r="B4" s="165" t="s">
        <v>5</v>
      </c>
      <c r="C4" s="151"/>
      <c r="D4" s="265"/>
      <c r="E4" s="232"/>
      <c r="F4" s="151"/>
      <c r="G4" s="152"/>
    </row>
    <row r="5" spans="1:7" ht="18" customHeight="1">
      <c r="A5" s="167" t="s">
        <v>38</v>
      </c>
      <c r="B5" s="165" t="s">
        <v>5490</v>
      </c>
      <c r="C5" s="151"/>
      <c r="D5" s="265"/>
      <c r="E5" s="232"/>
      <c r="F5" s="151"/>
      <c r="G5" s="152"/>
    </row>
    <row r="6" spans="1:7" ht="18" customHeight="1">
      <c r="A6" s="150"/>
      <c r="B6" s="150"/>
      <c r="C6" s="150"/>
      <c r="D6" s="150"/>
      <c r="E6" s="150"/>
      <c r="F6" s="150"/>
      <c r="G6" s="150"/>
    </row>
    <row r="7" spans="1:7" ht="18" customHeight="1">
      <c r="A7" s="150"/>
      <c r="B7" s="150"/>
      <c r="C7" s="150"/>
      <c r="D7" s="150"/>
      <c r="E7" s="150"/>
      <c r="F7" s="150"/>
      <c r="G7" s="150"/>
    </row>
    <row r="8" spans="1:7" s="240" customFormat="1" ht="30" customHeight="1">
      <c r="A8" s="155" t="s">
        <v>39</v>
      </c>
      <c r="B8" s="156" t="s">
        <v>40</v>
      </c>
      <c r="C8" s="156" t="s">
        <v>41</v>
      </c>
      <c r="D8" s="156" t="s">
        <v>42</v>
      </c>
      <c r="E8" s="233" t="s">
        <v>5456</v>
      </c>
      <c r="F8" s="231" t="s">
        <v>43</v>
      </c>
      <c r="G8" s="234" t="s">
        <v>44</v>
      </c>
    </row>
    <row r="9" spans="1:7" s="236" customFormat="1" ht="50.1" customHeight="1">
      <c r="A9" s="208" t="s">
        <v>5492</v>
      </c>
      <c r="B9" s="235" t="s">
        <v>670</v>
      </c>
      <c r="C9" s="235" t="s">
        <v>671</v>
      </c>
      <c r="D9" s="235" t="s">
        <v>672</v>
      </c>
      <c r="E9" s="235"/>
      <c r="F9" s="235"/>
      <c r="G9" s="235"/>
    </row>
    <row r="10" spans="1:7" s="236" customFormat="1" ht="35.1" customHeight="1">
      <c r="A10" s="208" t="s">
        <v>673</v>
      </c>
      <c r="B10" s="235" t="s">
        <v>674</v>
      </c>
      <c r="C10" s="235" t="s">
        <v>675</v>
      </c>
      <c r="D10" s="235" t="s">
        <v>676</v>
      </c>
      <c r="E10" s="235"/>
      <c r="F10" s="235"/>
      <c r="G10" s="235"/>
    </row>
    <row r="11" spans="1:7" s="236" customFormat="1" ht="35.1" customHeight="1">
      <c r="A11" s="208"/>
      <c r="B11" s="235"/>
      <c r="C11" s="235"/>
      <c r="D11" s="235" t="s">
        <v>677</v>
      </c>
      <c r="E11" s="235"/>
      <c r="F11" s="235"/>
      <c r="G11" s="235"/>
    </row>
    <row r="12" spans="1:7" s="236" customFormat="1" ht="35.1" customHeight="1">
      <c r="A12" s="208"/>
      <c r="B12" s="235"/>
      <c r="C12" s="235"/>
      <c r="D12" s="235" t="s">
        <v>678</v>
      </c>
      <c r="E12" s="235"/>
      <c r="F12" s="237"/>
      <c r="G12" s="235"/>
    </row>
    <row r="13" spans="1:7" s="236" customFormat="1" ht="35.1" customHeight="1">
      <c r="A13" s="208"/>
      <c r="B13" s="235"/>
      <c r="C13" s="235"/>
      <c r="D13" s="235" t="s">
        <v>679</v>
      </c>
      <c r="E13" s="235"/>
      <c r="F13" s="237"/>
      <c r="G13" s="235"/>
    </row>
    <row r="14" spans="1:7" s="236" customFormat="1" ht="35.1" customHeight="1">
      <c r="A14" s="208"/>
      <c r="B14" s="235"/>
      <c r="C14" s="235"/>
      <c r="D14" s="235" t="s">
        <v>680</v>
      </c>
      <c r="E14" s="235"/>
      <c r="F14" s="237"/>
      <c r="G14" s="235"/>
    </row>
    <row r="15" spans="1:7" s="236" customFormat="1" ht="35.1" customHeight="1">
      <c r="A15" s="208"/>
      <c r="B15" s="235"/>
      <c r="C15" s="235"/>
      <c r="D15" s="235" t="s">
        <v>681</v>
      </c>
      <c r="E15" s="235"/>
      <c r="F15" s="237"/>
      <c r="G15" s="235"/>
    </row>
    <row r="16" spans="1:7" s="236" customFormat="1" ht="35.1" customHeight="1">
      <c r="A16" s="208"/>
      <c r="B16" s="235"/>
      <c r="C16" s="235"/>
      <c r="D16" s="235" t="s">
        <v>682</v>
      </c>
      <c r="E16" s="235"/>
      <c r="F16" s="237"/>
      <c r="G16" s="235"/>
    </row>
    <row r="17" spans="1:7" s="236" customFormat="1" ht="35.1" customHeight="1">
      <c r="A17" s="208"/>
      <c r="B17" s="235"/>
      <c r="C17" s="235"/>
      <c r="D17" s="235" t="s">
        <v>683</v>
      </c>
      <c r="E17" s="235"/>
      <c r="F17" s="237"/>
      <c r="G17" s="235"/>
    </row>
    <row r="18" spans="1:7" s="236" customFormat="1" ht="35.1" customHeight="1">
      <c r="A18" s="208"/>
      <c r="B18" s="235"/>
      <c r="C18" s="235"/>
      <c r="D18" s="235" t="s">
        <v>684</v>
      </c>
      <c r="E18" s="235"/>
      <c r="F18" s="237"/>
      <c r="G18" s="235"/>
    </row>
    <row r="19" spans="1:7" s="236" customFormat="1" ht="35.1" customHeight="1">
      <c r="A19" s="208"/>
      <c r="B19" s="235"/>
      <c r="C19" s="235"/>
      <c r="D19" s="235" t="s">
        <v>685</v>
      </c>
      <c r="E19" s="235"/>
      <c r="F19" s="237"/>
      <c r="G19" s="235"/>
    </row>
    <row r="20" spans="1:7" s="236" customFormat="1" ht="35.1" customHeight="1">
      <c r="A20" s="208"/>
      <c r="B20" s="235"/>
      <c r="C20" s="235"/>
      <c r="D20" s="235" t="s">
        <v>686</v>
      </c>
      <c r="E20" s="235"/>
      <c r="F20" s="237" t="s">
        <v>687</v>
      </c>
      <c r="G20" s="235"/>
    </row>
    <row r="21" spans="1:7" s="236" customFormat="1" ht="35.1" customHeight="1">
      <c r="A21" s="171" t="s">
        <v>688</v>
      </c>
      <c r="B21" s="235" t="s">
        <v>689</v>
      </c>
      <c r="C21" s="235" t="s">
        <v>690</v>
      </c>
      <c r="D21" s="235" t="s">
        <v>691</v>
      </c>
      <c r="E21" s="235"/>
      <c r="F21" s="237"/>
      <c r="G21" s="235"/>
    </row>
    <row r="22" spans="1:7" s="236" customFormat="1" ht="35.1" customHeight="1">
      <c r="A22" s="171"/>
      <c r="B22" s="235" t="s">
        <v>692</v>
      </c>
      <c r="C22" s="235" t="s">
        <v>690</v>
      </c>
      <c r="D22" s="235" t="s">
        <v>693</v>
      </c>
      <c r="E22" s="235"/>
      <c r="F22" s="237"/>
      <c r="G22" s="235"/>
    </row>
    <row r="23" spans="1:7" s="236" customFormat="1" ht="35.1" customHeight="1">
      <c r="A23" s="208" t="s">
        <v>694</v>
      </c>
      <c r="B23" s="235" t="s">
        <v>689</v>
      </c>
      <c r="C23" s="235" t="s">
        <v>695</v>
      </c>
      <c r="D23" s="235" t="s">
        <v>696</v>
      </c>
      <c r="E23" s="235"/>
      <c r="F23" s="238"/>
      <c r="G23" s="235"/>
    </row>
    <row r="24" spans="1:7" s="236" customFormat="1" ht="65.099999999999994" customHeight="1">
      <c r="A24" s="208"/>
      <c r="B24" s="235"/>
      <c r="C24" s="235"/>
      <c r="D24" s="235" t="s">
        <v>697</v>
      </c>
      <c r="E24" s="235"/>
      <c r="F24" s="235"/>
      <c r="G24" s="235"/>
    </row>
    <row r="25" spans="1:7" s="236" customFormat="1" ht="35.1" customHeight="1">
      <c r="A25" s="208"/>
      <c r="B25" s="235" t="s">
        <v>692</v>
      </c>
      <c r="C25" s="235" t="s">
        <v>698</v>
      </c>
      <c r="D25" s="235" t="s">
        <v>699</v>
      </c>
      <c r="E25" s="235"/>
      <c r="F25" s="235"/>
      <c r="G25" s="235"/>
    </row>
    <row r="26" spans="1:7" s="236" customFormat="1" ht="35.1" customHeight="1">
      <c r="A26" s="208"/>
      <c r="B26" s="235"/>
      <c r="C26" s="235"/>
      <c r="D26" s="235" t="s">
        <v>700</v>
      </c>
      <c r="E26" s="235"/>
      <c r="F26" s="235"/>
      <c r="G26" s="235"/>
    </row>
    <row r="27" spans="1:7" s="236" customFormat="1" ht="35.1" customHeight="1">
      <c r="A27" s="171" t="s">
        <v>701</v>
      </c>
      <c r="B27" s="235" t="s">
        <v>689</v>
      </c>
      <c r="C27" s="235" t="s">
        <v>702</v>
      </c>
      <c r="D27" s="235" t="s">
        <v>691</v>
      </c>
      <c r="E27" s="235"/>
      <c r="F27" s="235"/>
      <c r="G27" s="235"/>
    </row>
    <row r="28" spans="1:7" s="236" customFormat="1" ht="35.1" customHeight="1">
      <c r="A28" s="171"/>
      <c r="B28" s="235" t="s">
        <v>692</v>
      </c>
      <c r="C28" s="235" t="s">
        <v>702</v>
      </c>
      <c r="D28" s="235" t="s">
        <v>703</v>
      </c>
      <c r="E28" s="235"/>
      <c r="F28" s="235"/>
      <c r="G28" s="235"/>
    </row>
    <row r="29" spans="1:7" s="236" customFormat="1" ht="35.1" customHeight="1">
      <c r="A29" s="171"/>
      <c r="B29" s="235" t="s">
        <v>692</v>
      </c>
      <c r="C29" s="235" t="s">
        <v>704</v>
      </c>
      <c r="D29" s="235" t="s">
        <v>703</v>
      </c>
      <c r="E29" s="235"/>
      <c r="F29" s="235"/>
      <c r="G29" s="235"/>
    </row>
    <row r="30" spans="1:7" s="236" customFormat="1" ht="35.1" customHeight="1">
      <c r="A30" s="208" t="s">
        <v>705</v>
      </c>
      <c r="B30" s="235" t="s">
        <v>689</v>
      </c>
      <c r="C30" s="235" t="s">
        <v>706</v>
      </c>
      <c r="D30" s="235" t="s">
        <v>691</v>
      </c>
      <c r="E30" s="235"/>
      <c r="F30" s="235"/>
      <c r="G30" s="235"/>
    </row>
    <row r="31" spans="1:7" s="236" customFormat="1" ht="35.1" customHeight="1">
      <c r="A31" s="208"/>
      <c r="B31" s="235" t="s">
        <v>692</v>
      </c>
      <c r="C31" s="235" t="s">
        <v>706</v>
      </c>
      <c r="D31" s="235" t="s">
        <v>703</v>
      </c>
      <c r="E31" s="235"/>
      <c r="F31" s="235"/>
      <c r="G31" s="235"/>
    </row>
    <row r="32" spans="1:7" s="236" customFormat="1" ht="35.1" customHeight="1">
      <c r="A32" s="171" t="s">
        <v>707</v>
      </c>
      <c r="B32" s="235" t="s">
        <v>689</v>
      </c>
      <c r="C32" s="235" t="s">
        <v>708</v>
      </c>
      <c r="D32" s="235" t="s">
        <v>696</v>
      </c>
      <c r="E32" s="235"/>
      <c r="F32" s="235"/>
      <c r="G32" s="235"/>
    </row>
    <row r="33" spans="1:7" s="236" customFormat="1" ht="65.099999999999994" customHeight="1">
      <c r="A33" s="171"/>
      <c r="B33" s="235"/>
      <c r="C33" s="235"/>
      <c r="D33" s="235" t="s">
        <v>697</v>
      </c>
      <c r="E33" s="235"/>
      <c r="F33" s="235"/>
      <c r="G33" s="235"/>
    </row>
    <row r="34" spans="1:7" s="236" customFormat="1" ht="35.1" customHeight="1">
      <c r="A34" s="171"/>
      <c r="B34" s="235" t="s">
        <v>692</v>
      </c>
      <c r="C34" s="235" t="s">
        <v>709</v>
      </c>
      <c r="D34" s="235" t="s">
        <v>710</v>
      </c>
      <c r="E34" s="235"/>
      <c r="F34" s="235"/>
      <c r="G34" s="235"/>
    </row>
    <row r="35" spans="1:7" s="236" customFormat="1" ht="35.1" customHeight="1">
      <c r="A35" s="171"/>
      <c r="B35" s="235"/>
      <c r="C35" s="235"/>
      <c r="D35" s="235" t="s">
        <v>700</v>
      </c>
      <c r="E35" s="235"/>
      <c r="F35" s="235"/>
      <c r="G35" s="235"/>
    </row>
    <row r="36" spans="1:7" s="236" customFormat="1" ht="35.1" customHeight="1">
      <c r="A36" s="171" t="s">
        <v>711</v>
      </c>
      <c r="B36" s="235" t="s">
        <v>712</v>
      </c>
      <c r="C36" s="235" t="s">
        <v>713</v>
      </c>
      <c r="D36" s="235" t="s">
        <v>714</v>
      </c>
      <c r="E36" s="235"/>
      <c r="F36" s="235"/>
      <c r="G36" s="235"/>
    </row>
    <row r="37" spans="1:7" s="236" customFormat="1" ht="35.1" customHeight="1">
      <c r="A37" s="171"/>
      <c r="B37" s="235"/>
      <c r="C37" s="235" t="s">
        <v>715</v>
      </c>
      <c r="D37" s="235" t="s">
        <v>716</v>
      </c>
      <c r="E37" s="235"/>
      <c r="F37" s="235"/>
      <c r="G37" s="235"/>
    </row>
    <row r="38" spans="1:7" s="236" customFormat="1" ht="35.1" customHeight="1">
      <c r="A38" s="171"/>
      <c r="B38" s="235" t="s">
        <v>717</v>
      </c>
      <c r="C38" s="235" t="s">
        <v>713</v>
      </c>
      <c r="D38" s="235" t="s">
        <v>718</v>
      </c>
      <c r="E38" s="235"/>
      <c r="F38" s="235"/>
      <c r="G38" s="235"/>
    </row>
    <row r="39" spans="1:7" s="236" customFormat="1" ht="35.1" customHeight="1">
      <c r="A39" s="171"/>
      <c r="B39" s="235"/>
      <c r="C39" s="235" t="s">
        <v>715</v>
      </c>
      <c r="D39" s="235" t="s">
        <v>719</v>
      </c>
      <c r="E39" s="235"/>
      <c r="F39" s="235"/>
      <c r="G39" s="235"/>
    </row>
    <row r="40" spans="1:7" s="236" customFormat="1" ht="35.1" customHeight="1">
      <c r="A40" s="208" t="s">
        <v>5493</v>
      </c>
      <c r="B40" s="235" t="s">
        <v>720</v>
      </c>
      <c r="C40" s="235" t="s">
        <v>721</v>
      </c>
      <c r="D40" s="235" t="s">
        <v>722</v>
      </c>
      <c r="E40" s="235"/>
      <c r="F40" s="235"/>
      <c r="G40" s="235"/>
    </row>
    <row r="41" spans="1:7" s="236" customFormat="1" ht="35.1" customHeight="1">
      <c r="A41" s="208"/>
      <c r="B41" s="235" t="s">
        <v>723</v>
      </c>
      <c r="C41" s="235" t="s">
        <v>724</v>
      </c>
      <c r="D41" s="235" t="s">
        <v>725</v>
      </c>
      <c r="E41" s="235"/>
      <c r="F41" s="235"/>
      <c r="G41" s="235"/>
    </row>
    <row r="42" spans="1:7" s="236" customFormat="1" ht="35.1" customHeight="1">
      <c r="A42" s="208"/>
      <c r="B42" s="235" t="s">
        <v>723</v>
      </c>
      <c r="C42" s="235" t="s">
        <v>724</v>
      </c>
      <c r="D42" s="235" t="s">
        <v>726</v>
      </c>
      <c r="E42" s="235"/>
      <c r="F42" s="235"/>
      <c r="G42" s="235"/>
    </row>
    <row r="43" spans="1:7" s="236" customFormat="1" ht="80.099999999999994" customHeight="1">
      <c r="A43" s="171" t="s">
        <v>5494</v>
      </c>
      <c r="B43" s="235" t="s">
        <v>723</v>
      </c>
      <c r="C43" s="235" t="s">
        <v>727</v>
      </c>
      <c r="D43" s="235" t="s">
        <v>728</v>
      </c>
    </row>
    <row r="44" spans="1:7" s="236" customFormat="1" ht="35.1" customHeight="1">
      <c r="A44" s="171"/>
      <c r="B44" s="235" t="s">
        <v>723</v>
      </c>
      <c r="C44" s="235" t="s">
        <v>729</v>
      </c>
      <c r="D44" s="235" t="s">
        <v>730</v>
      </c>
    </row>
    <row r="45" spans="1:7" s="236" customFormat="1" ht="80.099999999999994" customHeight="1">
      <c r="A45" s="171"/>
      <c r="B45" s="235" t="s">
        <v>723</v>
      </c>
      <c r="C45" s="235" t="s">
        <v>731</v>
      </c>
      <c r="D45" s="235" t="s">
        <v>732</v>
      </c>
    </row>
    <row r="46" spans="1:7" s="236" customFormat="1" ht="65.099999999999994" customHeight="1">
      <c r="A46" s="171"/>
      <c r="B46" s="235" t="s">
        <v>723</v>
      </c>
      <c r="C46" s="235" t="s">
        <v>733</v>
      </c>
      <c r="D46" s="235" t="s">
        <v>734</v>
      </c>
    </row>
    <row r="47" spans="1:7" s="236" customFormat="1" ht="35.1" customHeight="1">
      <c r="A47" s="171"/>
      <c r="B47" s="235" t="s">
        <v>723</v>
      </c>
      <c r="C47" s="235" t="s">
        <v>735</v>
      </c>
      <c r="D47" s="235" t="s">
        <v>736</v>
      </c>
    </row>
    <row r="48" spans="1:7" s="236" customFormat="1" ht="35.1" customHeight="1">
      <c r="A48" s="171"/>
      <c r="B48" s="235" t="s">
        <v>723</v>
      </c>
      <c r="C48" s="235" t="s">
        <v>737</v>
      </c>
      <c r="D48" s="235" t="s">
        <v>738</v>
      </c>
    </row>
    <row r="49" spans="1:4" s="236" customFormat="1" ht="99.95" customHeight="1">
      <c r="A49" s="171"/>
      <c r="B49" s="235" t="s">
        <v>723</v>
      </c>
      <c r="C49" s="235" t="s">
        <v>739</v>
      </c>
      <c r="D49" s="235" t="s">
        <v>740</v>
      </c>
    </row>
    <row r="50" spans="1:4" s="236" customFormat="1" ht="99.95" customHeight="1">
      <c r="A50" s="171"/>
      <c r="B50" s="235" t="s">
        <v>723</v>
      </c>
      <c r="C50" s="235" t="s">
        <v>741</v>
      </c>
      <c r="D50" s="235" t="s">
        <v>742</v>
      </c>
    </row>
    <row r="51" spans="1:4" s="236" customFormat="1" ht="50.1" customHeight="1">
      <c r="A51" s="171"/>
      <c r="B51" s="235" t="s">
        <v>723</v>
      </c>
      <c r="C51" s="235" t="s">
        <v>744</v>
      </c>
      <c r="D51" s="235" t="s">
        <v>745</v>
      </c>
    </row>
    <row r="52" spans="1:4" s="236" customFormat="1" ht="50.1" customHeight="1">
      <c r="A52" s="171"/>
      <c r="B52" s="235" t="s">
        <v>723</v>
      </c>
      <c r="C52" s="235" t="s">
        <v>746</v>
      </c>
      <c r="D52" s="235" t="s">
        <v>747</v>
      </c>
    </row>
    <row r="53" spans="1:4" s="236" customFormat="1" ht="99.95" customHeight="1">
      <c r="A53" s="171"/>
      <c r="B53" s="235" t="s">
        <v>723</v>
      </c>
      <c r="C53" s="235" t="s">
        <v>748</v>
      </c>
      <c r="D53" s="239" t="s">
        <v>749</v>
      </c>
    </row>
    <row r="54" spans="1:4" s="236" customFormat="1" ht="60" customHeight="1">
      <c r="A54" s="171"/>
      <c r="B54" s="235" t="s">
        <v>723</v>
      </c>
      <c r="C54" s="235" t="s">
        <v>750</v>
      </c>
      <c r="D54" s="235" t="s">
        <v>751</v>
      </c>
    </row>
    <row r="55" spans="1:4" s="236" customFormat="1" ht="120" customHeight="1">
      <c r="A55" s="208" t="s">
        <v>752</v>
      </c>
      <c r="B55" s="235" t="s">
        <v>753</v>
      </c>
      <c r="C55" s="235" t="s">
        <v>727</v>
      </c>
      <c r="D55" s="235" t="s">
        <v>754</v>
      </c>
    </row>
    <row r="56" spans="1:4" s="236" customFormat="1" ht="35.1" customHeight="1">
      <c r="A56" s="208"/>
      <c r="B56" s="235" t="s">
        <v>753</v>
      </c>
      <c r="C56" s="235" t="s">
        <v>729</v>
      </c>
      <c r="D56" s="235" t="s">
        <v>755</v>
      </c>
    </row>
    <row r="57" spans="1:4" s="236" customFormat="1" ht="80.099999999999994" customHeight="1">
      <c r="A57" s="208"/>
      <c r="B57" s="235" t="s">
        <v>753</v>
      </c>
      <c r="C57" s="235" t="s">
        <v>731</v>
      </c>
      <c r="D57" s="235" t="s">
        <v>756</v>
      </c>
    </row>
    <row r="58" spans="1:4" s="236" customFormat="1" ht="65.099999999999994" customHeight="1">
      <c r="A58" s="208"/>
      <c r="B58" s="235" t="s">
        <v>753</v>
      </c>
      <c r="C58" s="235" t="s">
        <v>733</v>
      </c>
      <c r="D58" s="235" t="s">
        <v>757</v>
      </c>
    </row>
    <row r="59" spans="1:4" s="236" customFormat="1" ht="35.1" customHeight="1">
      <c r="A59" s="208"/>
      <c r="B59" s="235" t="s">
        <v>753</v>
      </c>
      <c r="C59" s="235" t="s">
        <v>735</v>
      </c>
      <c r="D59" s="235" t="s">
        <v>758</v>
      </c>
    </row>
    <row r="60" spans="1:4" s="236" customFormat="1" ht="35.1" customHeight="1">
      <c r="A60" s="208"/>
      <c r="B60" s="235" t="s">
        <v>753</v>
      </c>
      <c r="C60" s="235" t="s">
        <v>737</v>
      </c>
      <c r="D60" s="235" t="s">
        <v>759</v>
      </c>
    </row>
    <row r="61" spans="1:4" s="236" customFormat="1" ht="99.95" customHeight="1">
      <c r="A61" s="208"/>
      <c r="B61" s="235" t="s">
        <v>753</v>
      </c>
      <c r="C61" s="235" t="s">
        <v>739</v>
      </c>
      <c r="D61" s="235" t="s">
        <v>760</v>
      </c>
    </row>
    <row r="62" spans="1:4" s="236" customFormat="1" ht="99.95" customHeight="1">
      <c r="A62" s="208"/>
      <c r="B62" s="235" t="s">
        <v>753</v>
      </c>
      <c r="C62" s="235" t="s">
        <v>741</v>
      </c>
      <c r="D62" s="235" t="s">
        <v>761</v>
      </c>
    </row>
    <row r="63" spans="1:4" s="236" customFormat="1" ht="80.099999999999994" customHeight="1">
      <c r="A63" s="208" t="s">
        <v>743</v>
      </c>
      <c r="B63" s="235" t="s">
        <v>753</v>
      </c>
      <c r="C63" s="235" t="s">
        <v>744</v>
      </c>
      <c r="D63" s="235" t="s">
        <v>762</v>
      </c>
    </row>
    <row r="64" spans="1:4" s="236" customFormat="1" ht="120" customHeight="1">
      <c r="A64" s="208"/>
      <c r="B64" s="235" t="s">
        <v>753</v>
      </c>
      <c r="C64" s="235" t="s">
        <v>746</v>
      </c>
      <c r="D64" s="235" t="s">
        <v>763</v>
      </c>
    </row>
    <row r="65" spans="1:4" s="236" customFormat="1" ht="120" customHeight="1">
      <c r="A65" s="208"/>
      <c r="B65" s="235" t="s">
        <v>753</v>
      </c>
      <c r="C65" s="235" t="s">
        <v>748</v>
      </c>
      <c r="D65" s="235" t="s">
        <v>764</v>
      </c>
    </row>
    <row r="66" spans="1:4" s="236" customFormat="1" ht="99.95" customHeight="1">
      <c r="A66" s="208"/>
      <c r="B66" s="235" t="s">
        <v>753</v>
      </c>
      <c r="C66" s="235" t="s">
        <v>750</v>
      </c>
      <c r="D66" s="235" t="s">
        <v>765</v>
      </c>
    </row>
    <row r="67" spans="1:4" s="236" customFormat="1" ht="35.1" customHeight="1">
      <c r="A67" s="171" t="s">
        <v>766</v>
      </c>
      <c r="B67" s="235" t="s">
        <v>767</v>
      </c>
      <c r="C67" s="235" t="s">
        <v>768</v>
      </c>
      <c r="D67" s="235" t="s">
        <v>769</v>
      </c>
    </row>
    <row r="68" spans="1:4" s="236" customFormat="1" ht="35.1" customHeight="1">
      <c r="A68" s="171" t="s">
        <v>770</v>
      </c>
      <c r="B68" s="235" t="s">
        <v>767</v>
      </c>
      <c r="C68" s="235" t="s">
        <v>771</v>
      </c>
      <c r="D68" s="235" t="s">
        <v>772</v>
      </c>
    </row>
    <row r="69" spans="1:4" s="236" customFormat="1" ht="50.1" customHeight="1">
      <c r="A69" s="241" t="s">
        <v>5491</v>
      </c>
      <c r="C69" s="235"/>
      <c r="D69" s="235"/>
    </row>
    <row r="70" spans="1:4" s="236" customFormat="1" ht="35.1" customHeight="1">
      <c r="A70" s="208"/>
      <c r="B70" s="235" t="s">
        <v>773</v>
      </c>
    </row>
    <row r="71" spans="1:4" s="236" customFormat="1" ht="35.1" customHeight="1">
      <c r="A71" s="208"/>
      <c r="B71" s="235" t="s">
        <v>774</v>
      </c>
    </row>
    <row r="72" spans="1:4" s="236" customFormat="1" ht="35.1" customHeight="1">
      <c r="A72" s="208"/>
      <c r="B72" s="235" t="s">
        <v>775</v>
      </c>
    </row>
    <row r="73" spans="1:4" s="236" customFormat="1" ht="35.1" customHeight="1">
      <c r="A73" s="208"/>
      <c r="B73" s="235" t="s">
        <v>776</v>
      </c>
    </row>
    <row r="74" spans="1:4" s="236" customFormat="1" ht="35.1" customHeight="1">
      <c r="A74" s="208"/>
      <c r="B74" s="235" t="s">
        <v>777</v>
      </c>
    </row>
    <row r="75" spans="1:4" s="236" customFormat="1" ht="35.1" customHeight="1">
      <c r="A75" s="208"/>
      <c r="B75" s="235" t="s">
        <v>778</v>
      </c>
    </row>
    <row r="76" spans="1:4" s="236" customFormat="1" ht="35.1" customHeight="1">
      <c r="A76" s="208"/>
      <c r="B76" s="235" t="s">
        <v>779</v>
      </c>
    </row>
    <row r="77" spans="1:4" s="236" customFormat="1" ht="35.1" customHeight="1">
      <c r="A77" s="208"/>
      <c r="B77" s="235" t="s">
        <v>780</v>
      </c>
      <c r="C77" s="235" t="s">
        <v>781</v>
      </c>
    </row>
    <row r="78" spans="1:4" s="236" customFormat="1" ht="35.1" customHeight="1">
      <c r="A78" s="208"/>
      <c r="B78" s="235" t="s">
        <v>782</v>
      </c>
      <c r="C78" s="235" t="s">
        <v>783</v>
      </c>
    </row>
    <row r="79" spans="1:4" s="236" customFormat="1" ht="35.1" customHeight="1">
      <c r="A79" s="208"/>
      <c r="B79" s="235" t="s">
        <v>784</v>
      </c>
      <c r="C79" s="235" t="s">
        <v>785</v>
      </c>
    </row>
    <row r="80" spans="1:4" s="236" customFormat="1" ht="35.1" customHeight="1">
      <c r="A80" s="208"/>
      <c r="B80" s="235" t="s">
        <v>786</v>
      </c>
      <c r="C80" s="235" t="s">
        <v>787</v>
      </c>
    </row>
    <row r="81" spans="1:3" s="236" customFormat="1" ht="65.099999999999994" customHeight="1">
      <c r="A81" s="208"/>
      <c r="B81" s="235" t="s">
        <v>788</v>
      </c>
      <c r="C81" s="235" t="s">
        <v>789</v>
      </c>
    </row>
    <row r="82" spans="1:3" s="236" customFormat="1" ht="50.1" customHeight="1">
      <c r="A82" s="208"/>
      <c r="B82" s="235" t="s">
        <v>790</v>
      </c>
      <c r="C82" s="235" t="s">
        <v>791</v>
      </c>
    </row>
    <row r="83" spans="1:3" s="236" customFormat="1" ht="35.1" customHeight="1">
      <c r="A83" s="208"/>
      <c r="B83" s="235" t="s">
        <v>792</v>
      </c>
      <c r="C83" s="235" t="s">
        <v>793</v>
      </c>
    </row>
    <row r="84" spans="1:3" s="236" customFormat="1" ht="35.1" customHeight="1">
      <c r="A84" s="208"/>
      <c r="B84" s="235" t="s">
        <v>794</v>
      </c>
      <c r="C84" s="235" t="s">
        <v>795</v>
      </c>
    </row>
    <row r="85" spans="1:3" s="236" customFormat="1" ht="35.1" customHeight="1">
      <c r="A85" s="208"/>
      <c r="B85" s="235" t="s">
        <v>796</v>
      </c>
      <c r="C85" s="235" t="s">
        <v>797</v>
      </c>
    </row>
    <row r="86" spans="1:3" s="236" customFormat="1" ht="35.1" customHeight="1">
      <c r="A86" s="208"/>
      <c r="B86" s="235" t="s">
        <v>798</v>
      </c>
      <c r="C86" s="235" t="s">
        <v>799</v>
      </c>
    </row>
    <row r="87" spans="1:3" s="236" customFormat="1" ht="35.1" customHeight="1">
      <c r="A87" s="208"/>
      <c r="B87" s="235" t="s">
        <v>800</v>
      </c>
      <c r="C87" s="235" t="s">
        <v>801</v>
      </c>
    </row>
    <row r="88" spans="1:3" s="236" customFormat="1" ht="35.1" customHeight="1">
      <c r="A88" s="208"/>
      <c r="B88" s="235" t="s">
        <v>802</v>
      </c>
      <c r="C88" s="235" t="s">
        <v>803</v>
      </c>
    </row>
    <row r="89" spans="1:3" s="236" customFormat="1" ht="50.1" customHeight="1">
      <c r="A89" s="208"/>
      <c r="B89" s="235" t="s">
        <v>804</v>
      </c>
      <c r="C89" s="235" t="s">
        <v>805</v>
      </c>
    </row>
    <row r="90" spans="1:3" s="236" customFormat="1" ht="35.1" customHeight="1">
      <c r="A90" s="208"/>
      <c r="B90" s="235" t="s">
        <v>806</v>
      </c>
      <c r="C90" s="235" t="s">
        <v>807</v>
      </c>
    </row>
    <row r="91" spans="1:3" s="236" customFormat="1" ht="35.1" customHeight="1">
      <c r="A91" s="208"/>
      <c r="B91" s="235" t="s">
        <v>806</v>
      </c>
      <c r="C91" s="235" t="s">
        <v>808</v>
      </c>
    </row>
    <row r="92" spans="1:3" s="236" customFormat="1" ht="35.1" customHeight="1">
      <c r="A92" s="208"/>
      <c r="B92" s="235" t="s">
        <v>809</v>
      </c>
      <c r="C92" s="235" t="s">
        <v>810</v>
      </c>
    </row>
    <row r="93" spans="1:3" s="236" customFormat="1" ht="35.1" customHeight="1">
      <c r="A93" s="208"/>
      <c r="B93" s="235" t="s">
        <v>811</v>
      </c>
      <c r="C93" s="235" t="s">
        <v>812</v>
      </c>
    </row>
    <row r="94" spans="1:3" s="236" customFormat="1" ht="35.1" customHeight="1">
      <c r="A94" s="208"/>
      <c r="B94" s="235" t="s">
        <v>813</v>
      </c>
      <c r="C94" s="235"/>
    </row>
  </sheetData>
  <mergeCells count="1">
    <mergeCell ref="D2:D5"/>
  </mergeCells>
  <conditionalFormatting sqref="C2:C7 A6:B7">
    <cfRule type="containsText" dxfId="8" priority="8" operator="containsText" text="n/a">
      <formula>NOT(ISERROR(SEARCH(("n/a"),(B2))))</formula>
    </cfRule>
    <cfRule type="containsText" dxfId="7" priority="9" operator="containsText" text="Cypress">
      <formula>NOT(ISERROR(SEARCH(("Cypress"),(B2))))</formula>
    </cfRule>
  </conditionalFormatting>
  <conditionalFormatting sqref="E8">
    <cfRule type="containsText" dxfId="6" priority="5" operator="containsText" text="cypress">
      <formula>NOT(ISERROR(SEARCH(("cypress"),(E8))))</formula>
    </cfRule>
  </conditionalFormatting>
  <conditionalFormatting sqref="E9:E94">
    <cfRule type="containsText" dxfId="5" priority="1" operator="containsText" text="pass">
      <formula>NOT(ISERROR(SEARCH("pass",E9)))</formula>
    </cfRule>
    <cfRule type="containsText" dxfId="4" priority="2" operator="containsText" text="fail">
      <formula>NOT(ISERROR(SEARCH(("fail"),(E9))))</formula>
    </cfRule>
    <cfRule type="containsText" dxfId="3" priority="3" operator="containsText" text="n/a">
      <formula>NOT(ISERROR(SEARCH("n/a",E9)))</formula>
    </cfRule>
    <cfRule type="containsText" dxfId="2" priority="4" operator="containsText" text="cypress">
      <formula>NOT(ISERROR(SEARCH("cypress",E9)))</formula>
    </cfRule>
  </conditionalFormatting>
  <conditionalFormatting sqref="F1:F7">
    <cfRule type="containsText" dxfId="1" priority="6" operator="containsText" text="n/a">
      <formula>NOT(ISERROR(SEARCH(("n/a"),(G1))))</formula>
    </cfRule>
    <cfRule type="containsText" dxfId="0" priority="7" operator="containsText" text="Cypress">
      <formula>NOT(ISERROR(SEARCH(("Cypress"),(G1))))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405"/>
  <sheetViews>
    <sheetView workbookViewId="0"/>
  </sheetViews>
  <sheetFormatPr defaultColWidth="12.5703125" defaultRowHeight="15" customHeight="1"/>
  <cols>
    <col min="1" max="1" width="9.28515625" customWidth="1"/>
    <col min="2" max="2" width="8.28515625" customWidth="1"/>
    <col min="3" max="3" width="9.28515625" customWidth="1"/>
    <col min="4" max="4" width="9.140625" customWidth="1"/>
    <col min="5" max="5" width="9.28515625" customWidth="1"/>
    <col min="6" max="12" width="9.7109375" customWidth="1"/>
    <col min="13" max="13" width="60.5703125" customWidth="1"/>
    <col min="14" max="14" width="98.28515625" customWidth="1"/>
  </cols>
  <sheetData>
    <row r="1" spans="1:14" ht="15" customHeight="1">
      <c r="A1" s="14" t="s">
        <v>814</v>
      </c>
      <c r="B1" s="15"/>
      <c r="C1" s="15"/>
      <c r="D1" s="15"/>
      <c r="E1" s="15"/>
      <c r="F1" s="15"/>
      <c r="G1" s="15"/>
      <c r="H1" s="15"/>
      <c r="I1" s="15"/>
      <c r="J1" s="15"/>
      <c r="K1" s="15"/>
      <c r="L1" s="15"/>
      <c r="M1" s="16"/>
      <c r="N1" s="15"/>
    </row>
    <row r="2" spans="1:14" ht="15" customHeight="1">
      <c r="A2" s="15" t="s">
        <v>815</v>
      </c>
      <c r="B2" s="15"/>
      <c r="C2" s="15"/>
      <c r="D2" s="15"/>
      <c r="E2" s="15"/>
      <c r="F2" s="15"/>
      <c r="G2" s="15"/>
      <c r="H2" s="15"/>
      <c r="I2" s="15"/>
      <c r="J2" s="15"/>
      <c r="K2" s="15"/>
      <c r="L2" s="15"/>
      <c r="M2" s="16"/>
      <c r="N2" s="15"/>
    </row>
    <row r="3" spans="1:14" ht="15" customHeight="1">
      <c r="A3" s="15"/>
      <c r="B3" s="15" t="s">
        <v>816</v>
      </c>
      <c r="C3" s="15"/>
      <c r="D3" s="15"/>
      <c r="E3" s="15"/>
      <c r="F3" s="15"/>
      <c r="G3" s="15"/>
      <c r="H3" s="15"/>
      <c r="I3" s="15"/>
      <c r="J3" s="15"/>
      <c r="K3" s="15"/>
      <c r="L3" s="15"/>
      <c r="M3" s="16" t="s">
        <v>817</v>
      </c>
      <c r="N3" s="15" t="s">
        <v>818</v>
      </c>
    </row>
    <row r="4" spans="1:14" ht="15" customHeight="1">
      <c r="A4" s="15"/>
      <c r="B4" s="15" t="s">
        <v>819</v>
      </c>
      <c r="C4" s="15"/>
      <c r="D4" s="15"/>
      <c r="E4" s="15"/>
      <c r="F4" s="15"/>
      <c r="G4" s="15"/>
      <c r="H4" s="15"/>
      <c r="I4" s="15"/>
      <c r="J4" s="15"/>
      <c r="K4" s="15"/>
      <c r="L4" s="15"/>
      <c r="M4" s="16" t="s">
        <v>820</v>
      </c>
      <c r="N4" s="15" t="s">
        <v>821</v>
      </c>
    </row>
    <row r="5" spans="1:14" ht="15" customHeight="1">
      <c r="A5" s="15"/>
      <c r="B5" s="15" t="s">
        <v>822</v>
      </c>
      <c r="C5" s="15"/>
      <c r="D5" s="15"/>
      <c r="E5" s="15"/>
      <c r="F5" s="15"/>
      <c r="G5" s="15"/>
      <c r="H5" s="15"/>
      <c r="I5" s="15"/>
      <c r="J5" s="15"/>
      <c r="K5" s="15"/>
      <c r="L5" s="15"/>
      <c r="M5" s="16"/>
      <c r="N5" s="15"/>
    </row>
    <row r="6" spans="1:14" ht="15" customHeight="1">
      <c r="A6" s="15"/>
      <c r="B6" s="15"/>
      <c r="C6" s="15" t="s">
        <v>823</v>
      </c>
      <c r="D6" s="15"/>
      <c r="E6" s="15"/>
      <c r="F6" s="15"/>
      <c r="G6" s="15"/>
      <c r="H6" s="15"/>
      <c r="I6" s="15"/>
      <c r="J6" s="15"/>
      <c r="K6" s="15"/>
      <c r="L6" s="15"/>
      <c r="M6" s="16" t="s">
        <v>824</v>
      </c>
      <c r="N6" s="15" t="s">
        <v>825</v>
      </c>
    </row>
    <row r="7" spans="1:14" ht="15" customHeight="1">
      <c r="A7" s="15"/>
      <c r="B7" s="15"/>
      <c r="C7" s="15" t="s">
        <v>826</v>
      </c>
      <c r="D7" s="15"/>
      <c r="E7" s="15"/>
      <c r="F7" s="15"/>
      <c r="G7" s="15"/>
      <c r="H7" s="15"/>
      <c r="I7" s="15"/>
      <c r="J7" s="15"/>
      <c r="K7" s="15"/>
      <c r="L7" s="15"/>
      <c r="M7" s="16" t="s">
        <v>827</v>
      </c>
      <c r="N7" s="15"/>
    </row>
    <row r="8" spans="1:14" ht="15" customHeight="1">
      <c r="A8" s="15"/>
      <c r="B8" s="15" t="s">
        <v>828</v>
      </c>
      <c r="C8" s="15"/>
      <c r="D8" s="15"/>
      <c r="E8" s="15"/>
      <c r="F8" s="15"/>
      <c r="G8" s="15"/>
      <c r="H8" s="15"/>
      <c r="I8" s="15"/>
      <c r="J8" s="15"/>
      <c r="K8" s="15"/>
      <c r="L8" s="15"/>
      <c r="M8" s="16" t="s">
        <v>829</v>
      </c>
      <c r="N8" s="15" t="s">
        <v>830</v>
      </c>
    </row>
    <row r="9" spans="1:14" ht="15" customHeight="1">
      <c r="A9" s="15"/>
      <c r="B9" s="15" t="s">
        <v>831</v>
      </c>
      <c r="C9" s="15"/>
      <c r="D9" s="15"/>
      <c r="E9" s="15"/>
      <c r="F9" s="15"/>
      <c r="G9" s="15"/>
      <c r="H9" s="15"/>
      <c r="I9" s="15"/>
      <c r="J9" s="15"/>
      <c r="K9" s="15"/>
      <c r="L9" s="15"/>
      <c r="M9" s="16" t="s">
        <v>832</v>
      </c>
      <c r="N9" s="15"/>
    </row>
    <row r="10" spans="1:14" ht="15" customHeight="1">
      <c r="A10" s="15"/>
      <c r="B10" s="15"/>
      <c r="C10" s="15" t="s">
        <v>815</v>
      </c>
      <c r="D10" s="15"/>
      <c r="E10" s="15"/>
      <c r="F10" s="15"/>
      <c r="G10" s="15"/>
      <c r="H10" s="15"/>
      <c r="I10" s="15"/>
      <c r="J10" s="15"/>
      <c r="K10" s="15"/>
      <c r="L10" s="15"/>
      <c r="M10" s="16"/>
      <c r="N10" s="15"/>
    </row>
    <row r="11" spans="1:14" ht="15" customHeight="1">
      <c r="A11" s="15" t="s">
        <v>24</v>
      </c>
      <c r="B11" s="15"/>
      <c r="C11" s="17"/>
      <c r="D11" s="15" t="s">
        <v>833</v>
      </c>
      <c r="E11" s="15"/>
      <c r="F11" s="15"/>
      <c r="G11" s="15"/>
      <c r="H11" s="15"/>
      <c r="I11" s="15"/>
      <c r="J11" s="15"/>
      <c r="K11" s="15"/>
      <c r="L11" s="15"/>
      <c r="M11" s="16" t="s">
        <v>834</v>
      </c>
      <c r="N11" s="15"/>
    </row>
    <row r="12" spans="1:14" ht="15" customHeight="1">
      <c r="A12" s="15" t="s">
        <v>24</v>
      </c>
      <c r="B12" s="15"/>
      <c r="C12" s="17"/>
      <c r="D12" s="15" t="s">
        <v>835</v>
      </c>
      <c r="E12" s="15"/>
      <c r="F12" s="15"/>
      <c r="G12" s="15"/>
      <c r="H12" s="15"/>
      <c r="I12" s="15"/>
      <c r="J12" s="15"/>
      <c r="K12" s="15"/>
      <c r="L12" s="15"/>
      <c r="M12" s="16" t="s">
        <v>836</v>
      </c>
      <c r="N12" s="15"/>
    </row>
    <row r="13" spans="1:14" ht="15" customHeight="1">
      <c r="A13" s="15" t="s">
        <v>24</v>
      </c>
      <c r="B13" s="15"/>
      <c r="C13" s="17"/>
      <c r="D13" s="15"/>
      <c r="E13" s="15" t="s">
        <v>816</v>
      </c>
      <c r="F13" s="15"/>
      <c r="G13" s="15"/>
      <c r="H13" s="15"/>
      <c r="I13" s="15"/>
      <c r="J13" s="15"/>
      <c r="K13" s="15"/>
      <c r="L13" s="15"/>
      <c r="M13" s="16" t="s">
        <v>817</v>
      </c>
      <c r="N13" s="15" t="s">
        <v>837</v>
      </c>
    </row>
    <row r="14" spans="1:14" ht="15" customHeight="1">
      <c r="A14" s="15"/>
      <c r="B14" s="15"/>
      <c r="C14" s="17"/>
      <c r="D14" s="15"/>
      <c r="E14" s="15" t="s">
        <v>838</v>
      </c>
      <c r="F14" s="15"/>
      <c r="G14" s="15"/>
      <c r="H14" s="15"/>
      <c r="I14" s="15"/>
      <c r="J14" s="15"/>
      <c r="K14" s="15"/>
      <c r="L14" s="15"/>
      <c r="M14" s="16"/>
      <c r="N14" s="15"/>
    </row>
    <row r="15" spans="1:14" ht="15" customHeight="1">
      <c r="A15" s="15"/>
      <c r="B15" s="15"/>
      <c r="C15" s="17"/>
      <c r="D15" s="15"/>
      <c r="E15" s="15"/>
      <c r="F15" s="15" t="s">
        <v>815</v>
      </c>
      <c r="G15" s="15"/>
      <c r="H15" s="15"/>
      <c r="I15" s="15"/>
      <c r="J15" s="15"/>
      <c r="K15" s="15"/>
      <c r="L15" s="15"/>
      <c r="M15" s="16"/>
      <c r="N15" s="15"/>
    </row>
    <row r="16" spans="1:14" ht="15" customHeight="1">
      <c r="A16" s="15"/>
      <c r="B16" s="15"/>
      <c r="C16" s="17"/>
      <c r="D16" s="15"/>
      <c r="E16" s="15"/>
      <c r="F16" s="15"/>
      <c r="G16" s="15" t="s">
        <v>839</v>
      </c>
      <c r="H16" s="15"/>
      <c r="I16" s="15"/>
      <c r="J16" s="15"/>
      <c r="K16" s="15"/>
      <c r="L16" s="15"/>
      <c r="M16" s="16" t="s">
        <v>840</v>
      </c>
      <c r="N16" s="15" t="s">
        <v>841</v>
      </c>
    </row>
    <row r="17" spans="1:14" ht="15" customHeight="1">
      <c r="A17" s="15"/>
      <c r="B17" s="15"/>
      <c r="C17" s="17"/>
      <c r="D17" s="15"/>
      <c r="E17" s="15"/>
      <c r="F17" s="15"/>
      <c r="G17" s="15" t="s">
        <v>838</v>
      </c>
      <c r="H17" s="15"/>
      <c r="I17" s="15"/>
      <c r="J17" s="15"/>
      <c r="K17" s="15"/>
      <c r="L17" s="15"/>
      <c r="M17" s="16" t="s">
        <v>842</v>
      </c>
      <c r="N17" s="15"/>
    </row>
    <row r="18" spans="1:14" ht="15" customHeight="1">
      <c r="A18" s="15"/>
      <c r="B18" s="15"/>
      <c r="C18" s="17"/>
      <c r="D18" s="15"/>
      <c r="E18" s="15"/>
      <c r="F18" s="15"/>
      <c r="H18" s="15" t="s">
        <v>815</v>
      </c>
      <c r="I18" s="15"/>
      <c r="J18" s="15"/>
      <c r="K18" s="15"/>
      <c r="L18" s="15"/>
      <c r="M18" s="16" t="s">
        <v>843</v>
      </c>
      <c r="N18" s="15"/>
    </row>
    <row r="19" spans="1:14" ht="15" customHeight="1">
      <c r="A19" s="15"/>
      <c r="B19" s="15"/>
      <c r="C19" s="17"/>
      <c r="D19" s="15"/>
      <c r="E19" s="15"/>
      <c r="F19" s="15"/>
      <c r="H19" s="15"/>
      <c r="I19" s="15" t="s">
        <v>839</v>
      </c>
      <c r="J19" s="15"/>
      <c r="K19" s="15"/>
      <c r="L19" s="15"/>
      <c r="M19" s="16" t="s">
        <v>844</v>
      </c>
      <c r="N19" s="15" t="s">
        <v>845</v>
      </c>
    </row>
    <row r="20" spans="1:14" ht="15" customHeight="1">
      <c r="A20" s="15"/>
      <c r="B20" s="15"/>
      <c r="C20" s="17"/>
      <c r="D20" s="15"/>
      <c r="E20" s="15"/>
      <c r="F20" s="15"/>
      <c r="H20" s="15"/>
      <c r="I20" s="15" t="s">
        <v>846</v>
      </c>
      <c r="J20" s="15"/>
      <c r="K20" s="15"/>
      <c r="L20" s="15"/>
      <c r="M20" s="16" t="s">
        <v>847</v>
      </c>
      <c r="N20" s="15"/>
    </row>
    <row r="21" spans="1:14" ht="15" customHeight="1">
      <c r="A21" s="15"/>
      <c r="B21" s="15"/>
      <c r="C21" s="17"/>
      <c r="D21" s="15"/>
      <c r="E21" s="15"/>
      <c r="F21" s="15"/>
      <c r="H21" s="15" t="s">
        <v>848</v>
      </c>
      <c r="I21" s="15"/>
      <c r="J21" s="15"/>
      <c r="K21" s="15"/>
      <c r="L21" s="15"/>
      <c r="M21" s="16"/>
      <c r="N21" s="15"/>
    </row>
    <row r="22" spans="1:14" ht="15" customHeight="1">
      <c r="A22" s="15"/>
      <c r="B22" s="15"/>
      <c r="C22" s="17"/>
      <c r="D22" s="15"/>
      <c r="E22" s="15"/>
      <c r="F22" s="15"/>
      <c r="H22" s="15" t="s">
        <v>815</v>
      </c>
      <c r="I22" s="15"/>
      <c r="J22" s="15"/>
      <c r="K22" s="15"/>
      <c r="L22" s="15"/>
      <c r="M22" s="16" t="s">
        <v>849</v>
      </c>
      <c r="N22" s="15"/>
    </row>
    <row r="23" spans="1:14" ht="15" customHeight="1">
      <c r="A23" s="15"/>
      <c r="B23" s="15"/>
      <c r="C23" s="17"/>
      <c r="D23" s="15"/>
      <c r="E23" s="15"/>
      <c r="F23" s="15"/>
      <c r="H23" s="15"/>
      <c r="I23" s="15" t="s">
        <v>839</v>
      </c>
      <c r="J23" s="15"/>
      <c r="K23" s="15"/>
      <c r="L23" s="15"/>
      <c r="M23" s="16" t="s">
        <v>850</v>
      </c>
      <c r="N23" s="15" t="s">
        <v>851</v>
      </c>
    </row>
    <row r="24" spans="1:14" ht="15" customHeight="1">
      <c r="A24" s="15"/>
      <c r="B24" s="15"/>
      <c r="C24" s="17"/>
      <c r="D24" s="15"/>
      <c r="E24" s="15"/>
      <c r="F24" s="15"/>
      <c r="H24" s="15"/>
      <c r="I24" s="15" t="s">
        <v>852</v>
      </c>
      <c r="J24" s="15"/>
      <c r="K24" s="15"/>
      <c r="L24" s="15"/>
      <c r="M24" s="16"/>
      <c r="N24" s="15"/>
    </row>
    <row r="25" spans="1:14" ht="15" customHeight="1">
      <c r="A25" s="15"/>
      <c r="B25" s="15"/>
      <c r="C25" s="17"/>
      <c r="D25" s="15"/>
      <c r="E25" s="15"/>
      <c r="F25" s="15"/>
      <c r="G25" s="15"/>
      <c r="H25" s="15"/>
      <c r="I25" s="15"/>
      <c r="J25" s="15" t="s">
        <v>823</v>
      </c>
      <c r="K25" s="15"/>
      <c r="L25" s="15"/>
      <c r="M25" s="16" t="s">
        <v>853</v>
      </c>
      <c r="N25" s="18" t="s">
        <v>854</v>
      </c>
    </row>
    <row r="26" spans="1:14" ht="15" customHeight="1">
      <c r="A26" s="15"/>
      <c r="B26" s="15"/>
      <c r="C26" s="17"/>
      <c r="D26" s="15"/>
      <c r="E26" s="15"/>
      <c r="F26" s="15"/>
      <c r="G26" s="15"/>
      <c r="H26" s="15"/>
      <c r="I26" s="15"/>
      <c r="J26" s="15" t="s">
        <v>855</v>
      </c>
      <c r="K26" s="15"/>
      <c r="L26" s="15"/>
      <c r="M26" s="16" t="s">
        <v>856</v>
      </c>
      <c r="N26" s="15" t="s">
        <v>857</v>
      </c>
    </row>
    <row r="27" spans="1:14" ht="15" customHeight="1">
      <c r="A27" s="15"/>
      <c r="B27" s="15"/>
      <c r="C27" s="17"/>
      <c r="D27" s="15"/>
      <c r="E27" s="15"/>
      <c r="F27" s="15"/>
      <c r="G27" s="15"/>
      <c r="H27" s="15"/>
      <c r="I27" s="15" t="s">
        <v>848</v>
      </c>
      <c r="J27" s="15"/>
      <c r="K27" s="15"/>
      <c r="L27" s="15"/>
      <c r="M27" s="16"/>
      <c r="N27" s="15"/>
    </row>
    <row r="28" spans="1:14" ht="15" customHeight="1">
      <c r="A28" s="15"/>
      <c r="B28" s="15"/>
      <c r="C28" s="17"/>
      <c r="D28" s="15"/>
      <c r="E28" s="15"/>
      <c r="F28" s="15"/>
      <c r="G28" s="15"/>
      <c r="H28" s="15" t="s">
        <v>848</v>
      </c>
      <c r="I28" s="15"/>
      <c r="J28" s="15"/>
      <c r="K28" s="15"/>
      <c r="L28" s="15"/>
      <c r="M28" s="16"/>
      <c r="N28" s="15"/>
    </row>
    <row r="29" spans="1:14" ht="15" customHeight="1">
      <c r="A29" s="15"/>
      <c r="B29" s="15"/>
      <c r="C29" s="17"/>
      <c r="D29" s="15"/>
      <c r="E29" s="15"/>
      <c r="F29" s="15"/>
      <c r="G29" s="15" t="s">
        <v>858</v>
      </c>
      <c r="H29" s="15"/>
      <c r="I29" s="15"/>
      <c r="J29" s="15"/>
      <c r="K29" s="15"/>
      <c r="L29" s="15"/>
      <c r="M29" s="16"/>
      <c r="N29" s="15"/>
    </row>
    <row r="30" spans="1:14" ht="15" customHeight="1">
      <c r="A30" s="15"/>
      <c r="B30" s="15"/>
      <c r="C30" s="17"/>
      <c r="D30" s="15"/>
      <c r="E30" s="15"/>
      <c r="F30" s="15" t="s">
        <v>848</v>
      </c>
      <c r="G30" s="15"/>
      <c r="H30" s="15"/>
      <c r="I30" s="15"/>
      <c r="J30" s="15"/>
      <c r="K30" s="15"/>
      <c r="L30" s="15"/>
      <c r="M30" s="16"/>
      <c r="N30" s="15"/>
    </row>
    <row r="31" spans="1:14" ht="15" customHeight="1">
      <c r="A31" s="15"/>
      <c r="B31" s="15"/>
      <c r="C31" s="17" t="s">
        <v>859</v>
      </c>
      <c r="D31" s="15"/>
      <c r="E31" s="15"/>
      <c r="F31" s="15" t="s">
        <v>848</v>
      </c>
      <c r="G31" s="15"/>
      <c r="H31" s="17"/>
      <c r="I31" s="15"/>
      <c r="J31" s="15"/>
      <c r="K31" s="15"/>
      <c r="L31" s="15"/>
      <c r="M31" s="16"/>
      <c r="N31" s="15"/>
    </row>
    <row r="32" spans="1:14" ht="15" customHeight="1">
      <c r="A32" s="15"/>
      <c r="B32" s="15"/>
      <c r="C32" s="17"/>
      <c r="D32" s="15"/>
      <c r="E32" s="15"/>
      <c r="F32" s="15" t="s">
        <v>815</v>
      </c>
      <c r="G32" s="15"/>
      <c r="H32" s="17"/>
      <c r="I32" s="15"/>
      <c r="J32" s="15"/>
      <c r="K32" s="15"/>
      <c r="L32" s="15"/>
      <c r="M32" s="16"/>
      <c r="N32" s="15"/>
    </row>
    <row r="33" spans="1:14" ht="15" customHeight="1">
      <c r="A33" s="15"/>
      <c r="B33" s="15"/>
      <c r="C33" s="17"/>
      <c r="D33" s="15"/>
      <c r="E33" s="15"/>
      <c r="F33" s="15"/>
      <c r="G33" s="15" t="s">
        <v>839</v>
      </c>
      <c r="H33" s="17"/>
      <c r="I33" s="15"/>
      <c r="J33" s="15"/>
      <c r="K33" s="15"/>
      <c r="L33" s="15"/>
      <c r="M33" s="16" t="s">
        <v>840</v>
      </c>
      <c r="N33" s="18" t="s">
        <v>860</v>
      </c>
    </row>
    <row r="34" spans="1:14" ht="15" customHeight="1">
      <c r="A34" s="15"/>
      <c r="B34" s="15"/>
      <c r="C34" s="15"/>
      <c r="D34" s="15"/>
      <c r="E34" s="15"/>
      <c r="F34" s="15"/>
      <c r="G34" s="15" t="s">
        <v>861</v>
      </c>
      <c r="H34" s="19"/>
      <c r="I34" s="15"/>
      <c r="J34" s="15"/>
      <c r="K34" s="15"/>
      <c r="L34" s="15"/>
      <c r="M34" s="16"/>
      <c r="N34" s="15"/>
    </row>
    <row r="35" spans="1:14" ht="15" customHeight="1">
      <c r="A35" s="15"/>
      <c r="B35" s="15"/>
      <c r="C35" s="15"/>
      <c r="D35" s="15"/>
      <c r="E35" s="15"/>
      <c r="F35" s="15"/>
      <c r="G35" s="15"/>
      <c r="H35" s="15" t="s">
        <v>862</v>
      </c>
      <c r="I35" s="15"/>
      <c r="J35" s="15"/>
      <c r="K35" s="15"/>
      <c r="L35" s="15"/>
      <c r="M35" s="16" t="s">
        <v>863</v>
      </c>
      <c r="N35" s="15"/>
    </row>
    <row r="36" spans="1:14" ht="15" customHeight="1">
      <c r="A36" s="15"/>
      <c r="B36" s="15"/>
      <c r="C36" s="15"/>
      <c r="D36" s="15"/>
      <c r="E36" s="15"/>
      <c r="F36" s="15"/>
      <c r="G36" s="15"/>
      <c r="H36" s="15" t="s">
        <v>864</v>
      </c>
      <c r="I36" s="15"/>
      <c r="J36" s="15"/>
      <c r="K36" s="15"/>
      <c r="L36" s="15"/>
      <c r="M36" s="16" t="s">
        <v>865</v>
      </c>
      <c r="N36" s="15"/>
    </row>
    <row r="37" spans="1:14" ht="15" customHeight="1">
      <c r="A37" s="15"/>
      <c r="B37" s="15"/>
      <c r="C37" s="15"/>
      <c r="D37" s="15"/>
      <c r="E37" s="15"/>
      <c r="F37" s="15"/>
      <c r="G37" s="15" t="s">
        <v>848</v>
      </c>
      <c r="H37" s="19"/>
      <c r="I37" s="15"/>
      <c r="J37" s="15"/>
      <c r="K37" s="15"/>
      <c r="L37" s="15"/>
      <c r="M37" s="16"/>
      <c r="N37" s="15"/>
    </row>
    <row r="38" spans="1:14" ht="15" customHeight="1">
      <c r="A38" s="15"/>
      <c r="B38" s="15"/>
      <c r="C38" s="15"/>
      <c r="D38" s="15"/>
      <c r="E38" s="15"/>
      <c r="F38" s="15" t="s">
        <v>848</v>
      </c>
      <c r="G38" s="15"/>
      <c r="H38" s="19"/>
      <c r="I38" s="15"/>
      <c r="J38" s="15"/>
      <c r="K38" s="15"/>
      <c r="L38" s="15"/>
      <c r="M38" s="16"/>
      <c r="N38" s="15"/>
    </row>
    <row r="39" spans="1:14" ht="13.5">
      <c r="A39" s="15"/>
      <c r="B39" s="15"/>
      <c r="C39" s="15"/>
      <c r="D39" s="15"/>
      <c r="E39" s="15"/>
      <c r="F39" s="15" t="s">
        <v>815</v>
      </c>
      <c r="G39" s="15"/>
      <c r="H39" s="19"/>
      <c r="I39" s="15"/>
      <c r="J39" s="15"/>
      <c r="K39" s="15"/>
      <c r="L39" s="15"/>
      <c r="M39" s="16"/>
      <c r="N39" s="15"/>
    </row>
    <row r="40" spans="1:14" ht="33.75">
      <c r="A40" s="15"/>
      <c r="B40" s="15"/>
      <c r="C40" s="15"/>
      <c r="D40" s="15"/>
      <c r="E40" s="15"/>
      <c r="F40" s="15"/>
      <c r="G40" s="15" t="s">
        <v>839</v>
      </c>
      <c r="H40" s="19"/>
      <c r="I40" s="15"/>
      <c r="J40" s="15"/>
      <c r="K40" s="15"/>
      <c r="L40" s="15"/>
      <c r="M40" s="20" t="s">
        <v>866</v>
      </c>
      <c r="N40" s="15"/>
    </row>
    <row r="41" spans="1:14" ht="13.5">
      <c r="A41" s="15"/>
      <c r="B41" s="15"/>
      <c r="C41" s="15"/>
      <c r="D41" s="15"/>
      <c r="E41" s="15"/>
      <c r="F41" s="15"/>
      <c r="G41" s="15" t="s">
        <v>838</v>
      </c>
      <c r="H41" s="19"/>
      <c r="I41" s="15"/>
      <c r="J41" s="15"/>
      <c r="K41" s="15"/>
      <c r="L41" s="15"/>
      <c r="M41" s="16"/>
      <c r="N41" s="15"/>
    </row>
    <row r="42" spans="1:14" ht="13.5">
      <c r="A42" s="15"/>
      <c r="B42" s="15"/>
      <c r="C42" s="15"/>
      <c r="D42" s="15"/>
      <c r="E42" s="15"/>
      <c r="F42" s="15"/>
      <c r="G42" s="15"/>
      <c r="H42" s="19" t="s">
        <v>815</v>
      </c>
      <c r="I42" s="15"/>
      <c r="J42" s="15"/>
      <c r="K42" s="15"/>
      <c r="L42" s="15"/>
      <c r="M42" s="16"/>
      <c r="N42" s="15"/>
    </row>
    <row r="43" spans="1:14" ht="13.5">
      <c r="A43" s="15"/>
      <c r="B43" s="15"/>
      <c r="C43" s="15"/>
      <c r="D43" s="15"/>
      <c r="E43" s="15"/>
      <c r="F43" s="15"/>
      <c r="G43" s="15"/>
      <c r="H43" s="19"/>
      <c r="I43" s="15" t="s">
        <v>839</v>
      </c>
      <c r="J43" s="15"/>
      <c r="K43" s="15"/>
      <c r="L43" s="15"/>
      <c r="M43" s="16"/>
      <c r="N43" s="15" t="s">
        <v>867</v>
      </c>
    </row>
    <row r="44" spans="1:14" ht="13.5">
      <c r="A44" s="15"/>
      <c r="B44" s="15"/>
      <c r="C44" s="15"/>
      <c r="D44" s="15"/>
      <c r="E44" s="15"/>
      <c r="F44" s="15"/>
      <c r="G44" s="15"/>
      <c r="H44" s="19"/>
      <c r="I44" s="15" t="s">
        <v>852</v>
      </c>
      <c r="J44" s="15"/>
      <c r="K44" s="15"/>
      <c r="L44" s="15"/>
      <c r="M44" s="16"/>
      <c r="N44" s="15"/>
    </row>
    <row r="45" spans="1:14" ht="12.75">
      <c r="A45" s="15"/>
      <c r="B45" s="15"/>
      <c r="C45" s="15"/>
      <c r="D45" s="15"/>
      <c r="E45" s="15"/>
      <c r="F45" s="15"/>
      <c r="G45" s="15"/>
      <c r="H45" s="15"/>
      <c r="I45" s="15"/>
      <c r="J45" s="15" t="s">
        <v>823</v>
      </c>
      <c r="K45" s="15"/>
      <c r="L45" s="15"/>
      <c r="M45" s="16"/>
      <c r="N45" s="15" t="s">
        <v>868</v>
      </c>
    </row>
    <row r="46" spans="1:14" ht="12.75">
      <c r="A46" s="15"/>
      <c r="B46" s="15"/>
      <c r="C46" s="15"/>
      <c r="D46" s="15"/>
      <c r="E46" s="15"/>
      <c r="F46" s="15"/>
      <c r="G46" s="15"/>
      <c r="H46" s="15"/>
      <c r="I46" s="15"/>
      <c r="J46" s="15" t="s">
        <v>869</v>
      </c>
      <c r="K46" s="15"/>
      <c r="L46" s="15"/>
      <c r="M46" s="16"/>
      <c r="N46" s="15"/>
    </row>
    <row r="47" spans="1:14" ht="12.75">
      <c r="A47" s="15"/>
      <c r="B47" s="15"/>
      <c r="C47" s="15"/>
      <c r="D47" s="15"/>
      <c r="E47" s="15"/>
      <c r="F47" s="15"/>
      <c r="G47" s="15"/>
      <c r="H47" s="15"/>
      <c r="I47" s="15"/>
      <c r="J47" s="15" t="s">
        <v>864</v>
      </c>
      <c r="K47" s="15"/>
      <c r="L47" s="15"/>
      <c r="M47" s="16"/>
      <c r="N47" s="15"/>
    </row>
    <row r="48" spans="1:14" ht="12.75">
      <c r="A48" s="15"/>
      <c r="B48" s="15"/>
      <c r="C48" s="15"/>
      <c r="D48" s="15"/>
      <c r="E48" s="15"/>
      <c r="F48" s="15"/>
      <c r="G48" s="15"/>
      <c r="H48" s="15"/>
      <c r="I48" s="15" t="s">
        <v>848</v>
      </c>
      <c r="J48" s="15"/>
      <c r="K48" s="15"/>
      <c r="L48" s="15"/>
      <c r="M48" s="16"/>
      <c r="N48" s="15"/>
    </row>
    <row r="49" spans="1:14" ht="12.75">
      <c r="A49" s="15"/>
      <c r="B49" s="15"/>
      <c r="C49" s="15"/>
      <c r="D49" s="15"/>
      <c r="E49" s="15"/>
      <c r="F49" s="15"/>
      <c r="G49" s="15"/>
      <c r="H49" s="15" t="s">
        <v>848</v>
      </c>
      <c r="I49" s="15"/>
      <c r="J49" s="15"/>
      <c r="K49" s="15"/>
      <c r="L49" s="15"/>
      <c r="M49" s="16"/>
      <c r="N49" s="15"/>
    </row>
    <row r="50" spans="1:14" ht="22.5">
      <c r="A50" s="15"/>
      <c r="B50" s="15"/>
      <c r="C50" s="15"/>
      <c r="D50" s="15"/>
      <c r="E50" s="15"/>
      <c r="F50" s="15"/>
      <c r="G50" s="15"/>
      <c r="H50" s="15" t="s">
        <v>815</v>
      </c>
      <c r="I50" s="15"/>
      <c r="J50" s="15"/>
      <c r="K50" s="15"/>
      <c r="L50" s="15"/>
      <c r="M50" s="16" t="s">
        <v>870</v>
      </c>
      <c r="N50" s="15"/>
    </row>
    <row r="51" spans="1:14" ht="12.75">
      <c r="A51" s="15"/>
      <c r="B51" s="15"/>
      <c r="C51" s="15"/>
      <c r="D51" s="15"/>
      <c r="E51" s="15"/>
      <c r="F51" s="15"/>
      <c r="G51" s="15"/>
      <c r="H51" s="15"/>
      <c r="I51" s="15" t="s">
        <v>839</v>
      </c>
      <c r="J51" s="15"/>
      <c r="K51" s="15"/>
      <c r="L51" s="15"/>
      <c r="M51" s="16"/>
      <c r="N51" s="15" t="s">
        <v>871</v>
      </c>
    </row>
    <row r="52" spans="1:14" ht="12.75">
      <c r="A52" s="15"/>
      <c r="B52" s="15"/>
      <c r="C52" s="15"/>
      <c r="D52" s="15"/>
      <c r="E52" s="15"/>
      <c r="F52" s="15"/>
      <c r="G52" s="15"/>
      <c r="H52" s="15"/>
      <c r="I52" s="15" t="s">
        <v>872</v>
      </c>
      <c r="J52" s="15"/>
      <c r="K52" s="15"/>
      <c r="L52" s="15"/>
      <c r="M52" s="16"/>
      <c r="N52" s="15"/>
    </row>
    <row r="53" spans="1:14" ht="12.75">
      <c r="A53" s="15"/>
      <c r="B53" s="15"/>
      <c r="C53" s="15"/>
      <c r="D53" s="15"/>
      <c r="E53" s="15"/>
      <c r="F53" s="15"/>
      <c r="G53" s="15"/>
      <c r="H53" s="15" t="s">
        <v>848</v>
      </c>
      <c r="I53" s="15"/>
      <c r="J53" s="15"/>
      <c r="K53" s="15"/>
      <c r="L53" s="15"/>
      <c r="M53" s="16"/>
      <c r="N53" s="15"/>
    </row>
    <row r="54" spans="1:14" ht="12.75">
      <c r="A54" s="15"/>
      <c r="B54" s="15"/>
      <c r="C54" s="15"/>
      <c r="D54" s="15"/>
      <c r="E54" s="15"/>
      <c r="F54" s="15"/>
      <c r="G54" s="15" t="s">
        <v>858</v>
      </c>
      <c r="H54" s="15"/>
      <c r="I54" s="15"/>
      <c r="J54" s="15"/>
      <c r="K54" s="15"/>
      <c r="L54" s="15"/>
      <c r="M54" s="16"/>
      <c r="N54" s="15"/>
    </row>
    <row r="55" spans="1:14" ht="12.75">
      <c r="A55" s="15"/>
      <c r="B55" s="15"/>
      <c r="C55" s="15"/>
      <c r="D55" s="15"/>
      <c r="E55" s="15"/>
      <c r="F55" s="15" t="s">
        <v>848</v>
      </c>
      <c r="G55" s="15"/>
      <c r="H55" s="15"/>
      <c r="I55" s="15"/>
      <c r="J55" s="15"/>
      <c r="K55" s="15"/>
      <c r="L55" s="15"/>
      <c r="M55" s="16"/>
      <c r="N55" s="15"/>
    </row>
    <row r="56" spans="1:14" ht="12.75">
      <c r="A56" s="15"/>
      <c r="B56" s="15"/>
      <c r="C56" s="15"/>
      <c r="D56" s="15"/>
      <c r="E56" s="15"/>
      <c r="F56" s="15" t="s">
        <v>815</v>
      </c>
      <c r="G56" s="15"/>
      <c r="H56" s="15"/>
      <c r="I56" s="15"/>
      <c r="J56" s="15"/>
      <c r="K56" s="15"/>
      <c r="L56" s="15"/>
      <c r="M56" s="16"/>
      <c r="N56" s="15"/>
    </row>
    <row r="57" spans="1:14" ht="12.75">
      <c r="A57" s="15"/>
      <c r="B57" s="15"/>
      <c r="C57" s="15"/>
      <c r="D57" s="15"/>
      <c r="E57" s="15"/>
      <c r="F57" s="15"/>
      <c r="G57" s="15" t="s">
        <v>839</v>
      </c>
      <c r="H57" s="15"/>
      <c r="I57" s="15"/>
      <c r="J57" s="15"/>
      <c r="K57" s="15"/>
      <c r="L57" s="15"/>
      <c r="M57" s="16" t="s">
        <v>840</v>
      </c>
      <c r="N57" s="18" t="s">
        <v>873</v>
      </c>
    </row>
    <row r="58" spans="1:14" ht="12.75">
      <c r="A58" s="15"/>
      <c r="B58" s="15"/>
      <c r="C58" s="15"/>
      <c r="D58" s="15"/>
      <c r="E58" s="15"/>
      <c r="F58" s="15"/>
      <c r="G58" s="15" t="s">
        <v>838</v>
      </c>
      <c r="H58" s="15"/>
      <c r="I58" s="15"/>
      <c r="J58" s="15"/>
      <c r="K58" s="15"/>
      <c r="L58" s="15"/>
      <c r="M58" s="16" t="s">
        <v>842</v>
      </c>
      <c r="N58" s="15"/>
    </row>
    <row r="59" spans="1:14" ht="45">
      <c r="A59" s="15"/>
      <c r="B59" s="15"/>
      <c r="C59" s="15"/>
      <c r="D59" s="15"/>
      <c r="E59" s="15"/>
      <c r="F59" s="15"/>
      <c r="G59" s="15"/>
      <c r="H59" s="15" t="s">
        <v>839</v>
      </c>
      <c r="I59" s="15"/>
      <c r="J59" s="15"/>
      <c r="K59" s="15"/>
      <c r="L59" s="15"/>
      <c r="M59" s="16" t="s">
        <v>874</v>
      </c>
      <c r="N59" s="15" t="s">
        <v>875</v>
      </c>
    </row>
    <row r="60" spans="1:14" ht="12.75">
      <c r="A60" s="15"/>
      <c r="B60" s="15"/>
      <c r="C60" s="15"/>
      <c r="D60" s="15"/>
      <c r="E60" s="15"/>
      <c r="F60" s="15"/>
      <c r="G60" s="15"/>
      <c r="H60" s="15" t="s">
        <v>876</v>
      </c>
      <c r="I60" s="15"/>
      <c r="J60" s="15"/>
      <c r="K60" s="15"/>
      <c r="L60" s="15"/>
      <c r="M60" s="16" t="s">
        <v>877</v>
      </c>
      <c r="N60" s="15"/>
    </row>
    <row r="61" spans="1:14" ht="12.75">
      <c r="A61" s="15"/>
      <c r="B61" s="15"/>
      <c r="C61" s="15"/>
      <c r="D61" s="15"/>
      <c r="E61" s="15"/>
      <c r="F61" s="15"/>
      <c r="G61" s="15" t="s">
        <v>858</v>
      </c>
      <c r="H61" s="15"/>
      <c r="I61" s="15"/>
      <c r="J61" s="15"/>
      <c r="K61" s="15"/>
      <c r="L61" s="15"/>
      <c r="M61" s="16"/>
      <c r="N61" s="15"/>
    </row>
    <row r="62" spans="1:14" ht="12.75">
      <c r="A62" s="15"/>
      <c r="B62" s="15"/>
      <c r="C62" s="15"/>
      <c r="D62" s="15"/>
      <c r="E62" s="15"/>
      <c r="F62" s="15" t="s">
        <v>848</v>
      </c>
      <c r="G62" s="15"/>
      <c r="H62" s="15"/>
      <c r="I62" s="15"/>
      <c r="J62" s="15"/>
      <c r="K62" s="15"/>
      <c r="L62" s="15"/>
      <c r="M62" s="16"/>
      <c r="N62" s="15"/>
    </row>
    <row r="63" spans="1:14" ht="78.75">
      <c r="A63" s="15"/>
      <c r="B63" s="15"/>
      <c r="C63" s="15"/>
      <c r="D63" s="15"/>
      <c r="E63" s="15"/>
      <c r="F63" s="15" t="s">
        <v>815</v>
      </c>
      <c r="G63" s="15"/>
      <c r="H63" s="15"/>
      <c r="I63" s="15"/>
      <c r="J63" s="15"/>
      <c r="K63" s="15"/>
      <c r="L63" s="15"/>
      <c r="M63" s="16" t="s">
        <v>878</v>
      </c>
      <c r="N63" s="15"/>
    </row>
    <row r="64" spans="1:14" ht="12.75">
      <c r="A64" s="15"/>
      <c r="B64" s="15"/>
      <c r="C64" s="15"/>
      <c r="D64" s="15"/>
      <c r="E64" s="15"/>
      <c r="F64" s="15"/>
      <c r="G64" s="15" t="s">
        <v>839</v>
      </c>
      <c r="H64" s="15"/>
      <c r="I64" s="15"/>
      <c r="J64" s="15"/>
      <c r="K64" s="15"/>
      <c r="L64" s="15"/>
      <c r="M64" s="16" t="s">
        <v>840</v>
      </c>
      <c r="N64" s="18" t="s">
        <v>879</v>
      </c>
    </row>
    <row r="65" spans="1:14" ht="33.75">
      <c r="A65" s="15"/>
      <c r="B65" s="15"/>
      <c r="C65" s="15"/>
      <c r="D65" s="15"/>
      <c r="E65" s="15"/>
      <c r="F65" s="15"/>
      <c r="G65" s="15" t="s">
        <v>852</v>
      </c>
      <c r="H65" s="15"/>
      <c r="I65" s="15"/>
      <c r="J65" s="15"/>
      <c r="K65" s="15"/>
      <c r="L65" s="15"/>
      <c r="M65" s="16" t="s">
        <v>880</v>
      </c>
      <c r="N65" s="15"/>
    </row>
    <row r="66" spans="1:14" ht="12.75">
      <c r="A66" s="15"/>
      <c r="B66" s="15"/>
      <c r="C66" s="15"/>
      <c r="D66" s="15"/>
      <c r="E66" s="15"/>
      <c r="F66" s="15"/>
      <c r="G66" s="15"/>
      <c r="H66" s="15" t="s">
        <v>823</v>
      </c>
      <c r="I66" s="15"/>
      <c r="J66" s="15"/>
      <c r="K66" s="15"/>
      <c r="L66" s="15"/>
      <c r="M66" s="16" t="s">
        <v>881</v>
      </c>
      <c r="N66" s="18" t="s">
        <v>882</v>
      </c>
    </row>
    <row r="67" spans="1:14" ht="12.75">
      <c r="A67" s="15"/>
      <c r="B67" s="15"/>
      <c r="C67" s="15"/>
      <c r="D67" s="15"/>
      <c r="E67" s="15"/>
      <c r="F67" s="15"/>
      <c r="G67" s="15"/>
      <c r="H67" s="15" t="s">
        <v>883</v>
      </c>
      <c r="I67" s="15"/>
      <c r="J67" s="15"/>
      <c r="K67" s="15"/>
      <c r="L67" s="15"/>
      <c r="M67" s="16" t="s">
        <v>884</v>
      </c>
      <c r="N67" s="15"/>
    </row>
    <row r="68" spans="1:14" ht="12.75">
      <c r="A68" s="15"/>
      <c r="B68" s="15"/>
      <c r="C68" s="15"/>
      <c r="D68" s="15"/>
      <c r="E68" s="15"/>
      <c r="F68" s="15"/>
      <c r="G68" s="15"/>
      <c r="H68" s="15" t="s">
        <v>864</v>
      </c>
      <c r="I68" s="15"/>
      <c r="J68" s="15"/>
      <c r="K68" s="15"/>
      <c r="L68" s="15"/>
      <c r="M68" s="16" t="s">
        <v>885</v>
      </c>
      <c r="N68" s="15"/>
    </row>
    <row r="69" spans="1:14" ht="13.5">
      <c r="A69" s="15"/>
      <c r="B69" s="15"/>
      <c r="C69" s="15"/>
      <c r="D69" s="15"/>
      <c r="E69" s="15"/>
      <c r="F69" s="15"/>
      <c r="G69" s="15" t="s">
        <v>848</v>
      </c>
      <c r="H69" s="19"/>
      <c r="I69" s="15"/>
      <c r="J69" s="15"/>
      <c r="K69" s="15"/>
      <c r="L69" s="15"/>
      <c r="M69" s="16"/>
      <c r="N69" s="15"/>
    </row>
    <row r="70" spans="1:14" ht="13.5">
      <c r="A70" s="15"/>
      <c r="B70" s="15"/>
      <c r="C70" s="15"/>
      <c r="D70" s="15"/>
      <c r="E70" s="15"/>
      <c r="F70" s="15" t="s">
        <v>848</v>
      </c>
      <c r="G70" s="15"/>
      <c r="H70" s="19"/>
      <c r="I70" s="15"/>
      <c r="J70" s="15"/>
      <c r="K70" s="15"/>
      <c r="L70" s="15"/>
      <c r="M70" s="16"/>
      <c r="N70" s="15"/>
    </row>
    <row r="71" spans="1:14" ht="13.5">
      <c r="A71" s="15"/>
      <c r="B71" s="15"/>
      <c r="C71" s="15"/>
      <c r="D71" s="15" t="s">
        <v>886</v>
      </c>
      <c r="E71" s="15"/>
      <c r="F71" s="15"/>
      <c r="G71" s="15"/>
      <c r="H71" s="19"/>
      <c r="I71" s="15"/>
      <c r="J71" s="15"/>
      <c r="K71" s="15"/>
      <c r="L71" s="15"/>
      <c r="M71" s="16"/>
      <c r="N71" s="15"/>
    </row>
    <row r="72" spans="1:14" ht="13.5">
      <c r="A72" s="15"/>
      <c r="B72" s="15"/>
      <c r="C72" s="15"/>
      <c r="D72" s="15"/>
      <c r="E72" s="15"/>
      <c r="F72" s="15" t="s">
        <v>815</v>
      </c>
      <c r="G72" s="15"/>
      <c r="H72" s="19"/>
      <c r="I72" s="15"/>
      <c r="J72" s="15"/>
      <c r="K72" s="15"/>
      <c r="L72" s="15"/>
      <c r="M72" s="16"/>
      <c r="N72" s="15"/>
    </row>
    <row r="73" spans="1:14" ht="12.75">
      <c r="A73" s="15"/>
      <c r="B73" s="15"/>
      <c r="C73" s="15"/>
      <c r="D73" s="15"/>
      <c r="E73" s="15"/>
      <c r="G73" s="15" t="s">
        <v>839</v>
      </c>
      <c r="H73" s="17"/>
      <c r="I73" s="15"/>
      <c r="J73" s="15"/>
      <c r="K73" s="15"/>
      <c r="L73" s="15"/>
      <c r="M73" s="16" t="s">
        <v>840</v>
      </c>
      <c r="N73" s="18" t="s">
        <v>887</v>
      </c>
    </row>
    <row r="74" spans="1:14" ht="12.75">
      <c r="A74" s="15"/>
      <c r="B74" s="15"/>
      <c r="C74" s="15"/>
      <c r="D74" s="15"/>
      <c r="E74" s="15"/>
      <c r="F74" s="15"/>
      <c r="G74" s="15" t="s">
        <v>888</v>
      </c>
      <c r="H74" s="17"/>
      <c r="I74" s="15"/>
      <c r="J74" s="15"/>
      <c r="K74" s="15"/>
      <c r="L74" s="15"/>
      <c r="M74" s="16"/>
      <c r="N74" s="15"/>
    </row>
    <row r="75" spans="1:14" ht="12.75">
      <c r="A75" s="15"/>
      <c r="B75" s="15"/>
      <c r="C75" s="15"/>
      <c r="D75" s="15"/>
      <c r="E75" s="15"/>
      <c r="F75" s="15"/>
      <c r="G75" s="15"/>
      <c r="H75" s="15" t="s">
        <v>889</v>
      </c>
      <c r="I75" s="15"/>
      <c r="J75" s="15"/>
      <c r="K75" s="15"/>
      <c r="L75" s="15"/>
      <c r="M75" s="16"/>
      <c r="N75" s="15"/>
    </row>
    <row r="76" spans="1:14" ht="12.75">
      <c r="A76" s="15"/>
      <c r="B76" s="15"/>
      <c r="C76" s="15"/>
      <c r="D76" s="15"/>
      <c r="E76" s="15"/>
      <c r="F76" s="15"/>
      <c r="G76" s="15"/>
      <c r="H76" s="17"/>
      <c r="I76" s="15" t="s">
        <v>890</v>
      </c>
      <c r="J76" s="15"/>
      <c r="K76" s="15"/>
      <c r="L76" s="15"/>
      <c r="M76" s="16" t="s">
        <v>891</v>
      </c>
      <c r="N76" s="18" t="s">
        <v>892</v>
      </c>
    </row>
    <row r="77" spans="1:14" ht="12.75">
      <c r="A77" s="15"/>
      <c r="B77" s="15"/>
      <c r="C77" s="15"/>
      <c r="D77" s="15"/>
      <c r="E77" s="15"/>
      <c r="F77" s="15"/>
      <c r="G77" s="15"/>
      <c r="H77" s="17"/>
      <c r="I77" s="15" t="s">
        <v>893</v>
      </c>
      <c r="J77" s="15"/>
      <c r="K77" s="15"/>
      <c r="L77" s="15"/>
      <c r="M77" s="16" t="s">
        <v>894</v>
      </c>
      <c r="N77" s="15" t="s">
        <v>895</v>
      </c>
    </row>
    <row r="78" spans="1:14" ht="12.75">
      <c r="A78" s="15"/>
      <c r="B78" s="15"/>
      <c r="C78" s="15"/>
      <c r="D78" s="15"/>
      <c r="E78" s="15"/>
      <c r="F78" s="15"/>
      <c r="G78" s="15"/>
      <c r="H78" s="15" t="s">
        <v>858</v>
      </c>
      <c r="I78" s="15"/>
      <c r="J78" s="15"/>
      <c r="K78" s="15"/>
      <c r="L78" s="15"/>
      <c r="M78" s="16"/>
      <c r="N78" s="15"/>
    </row>
    <row r="79" spans="1:14" ht="12.75">
      <c r="A79" s="15"/>
      <c r="B79" s="15"/>
      <c r="C79" s="15"/>
      <c r="D79" s="15"/>
      <c r="E79" s="15"/>
      <c r="F79" s="15"/>
      <c r="G79" s="15" t="s">
        <v>848</v>
      </c>
      <c r="H79" s="17"/>
      <c r="I79" s="15"/>
      <c r="J79" s="15"/>
      <c r="K79" s="15"/>
      <c r="L79" s="15"/>
      <c r="M79" s="16"/>
      <c r="N79" s="15"/>
    </row>
    <row r="80" spans="1:14" ht="12.75">
      <c r="A80" s="15"/>
      <c r="B80" s="15"/>
      <c r="C80" s="15"/>
      <c r="D80" s="15"/>
      <c r="E80" s="15"/>
      <c r="F80" s="15" t="s">
        <v>848</v>
      </c>
      <c r="G80" s="15"/>
      <c r="H80" s="17"/>
      <c r="I80" s="15"/>
      <c r="J80" s="15"/>
      <c r="K80" s="15"/>
      <c r="L80" s="15"/>
      <c r="M80" s="16"/>
      <c r="N80" s="15"/>
    </row>
    <row r="81" spans="1:14" ht="12.75">
      <c r="A81" s="15"/>
      <c r="B81" s="15"/>
      <c r="C81" s="15"/>
      <c r="D81" s="15"/>
      <c r="E81" s="15" t="s">
        <v>858</v>
      </c>
      <c r="F81" s="15"/>
      <c r="G81" s="15"/>
      <c r="H81" s="17"/>
      <c r="I81" s="15"/>
      <c r="J81" s="15"/>
      <c r="K81" s="15"/>
      <c r="L81" s="15"/>
      <c r="M81" s="16"/>
      <c r="N81" s="15"/>
    </row>
    <row r="82" spans="1:14" ht="12.75">
      <c r="A82" s="15"/>
      <c r="B82" s="15"/>
      <c r="C82" s="15"/>
      <c r="D82" s="15"/>
      <c r="E82" s="15" t="s">
        <v>896</v>
      </c>
      <c r="F82" s="15"/>
      <c r="G82" s="15"/>
      <c r="H82" s="17"/>
      <c r="I82" s="15"/>
      <c r="J82" s="15"/>
      <c r="K82" s="15"/>
      <c r="L82" s="15"/>
      <c r="M82" s="16" t="s">
        <v>897</v>
      </c>
      <c r="N82" s="15"/>
    </row>
    <row r="83" spans="1:14" ht="12.75">
      <c r="A83" s="15"/>
      <c r="B83" s="15"/>
      <c r="C83" s="15"/>
      <c r="D83" s="15"/>
      <c r="E83" s="15"/>
      <c r="F83" s="15" t="s">
        <v>890</v>
      </c>
      <c r="G83" s="15"/>
      <c r="H83" s="17"/>
      <c r="I83" s="15"/>
      <c r="J83" s="15"/>
      <c r="K83" s="15"/>
      <c r="L83" s="15"/>
      <c r="M83" s="16" t="s">
        <v>898</v>
      </c>
      <c r="N83" s="18" t="s">
        <v>899</v>
      </c>
    </row>
    <row r="84" spans="1:14" ht="12.75">
      <c r="A84" s="15"/>
      <c r="B84" s="15"/>
      <c r="C84" s="15"/>
      <c r="D84" s="15"/>
      <c r="E84" s="15"/>
      <c r="F84" s="15" t="s">
        <v>900</v>
      </c>
      <c r="G84" s="15"/>
      <c r="H84" s="17"/>
      <c r="I84" s="15"/>
      <c r="J84" s="15"/>
      <c r="K84" s="15"/>
      <c r="L84" s="15"/>
      <c r="M84" s="16" t="s">
        <v>901</v>
      </c>
      <c r="N84" s="15"/>
    </row>
    <row r="85" spans="1:14" ht="12.75">
      <c r="A85" s="15"/>
      <c r="B85" s="15"/>
      <c r="C85" s="15"/>
      <c r="D85" s="15"/>
      <c r="E85" s="15" t="s">
        <v>858</v>
      </c>
      <c r="F85" s="15"/>
      <c r="G85" s="15"/>
      <c r="H85" s="17"/>
      <c r="I85" s="15"/>
      <c r="J85" s="15"/>
      <c r="K85" s="15"/>
      <c r="L85" s="15"/>
      <c r="M85" s="16"/>
      <c r="N85" s="15"/>
    </row>
    <row r="86" spans="1:14" ht="22.5">
      <c r="A86" s="15"/>
      <c r="B86" s="15"/>
      <c r="C86" s="15"/>
      <c r="D86" s="15"/>
      <c r="E86" s="15" t="s">
        <v>902</v>
      </c>
      <c r="F86" s="15"/>
      <c r="G86" s="15"/>
      <c r="H86" s="15"/>
      <c r="I86" s="15"/>
      <c r="J86" s="15"/>
      <c r="K86" s="15"/>
      <c r="L86" s="15"/>
      <c r="M86" s="16" t="s">
        <v>903</v>
      </c>
      <c r="N86" s="15" t="s">
        <v>904</v>
      </c>
    </row>
    <row r="87" spans="1:14" ht="22.5">
      <c r="A87" s="15"/>
      <c r="B87" s="15"/>
      <c r="C87" s="15"/>
      <c r="D87" s="15"/>
      <c r="E87" s="15" t="s">
        <v>905</v>
      </c>
      <c r="F87" s="15"/>
      <c r="G87" s="15"/>
      <c r="H87" s="15"/>
      <c r="I87" s="15"/>
      <c r="J87" s="15"/>
      <c r="K87" s="15"/>
      <c r="L87" s="15"/>
      <c r="M87" s="16" t="s">
        <v>906</v>
      </c>
      <c r="N87" s="15" t="s">
        <v>907</v>
      </c>
    </row>
    <row r="88" spans="1:14" ht="56.25">
      <c r="A88" s="15"/>
      <c r="B88" s="15"/>
      <c r="C88" s="15"/>
      <c r="D88" s="15"/>
      <c r="E88" s="15" t="s">
        <v>908</v>
      </c>
      <c r="F88" s="15"/>
      <c r="G88" s="15"/>
      <c r="H88" s="15"/>
      <c r="I88" s="15"/>
      <c r="J88" s="15"/>
      <c r="K88" s="15"/>
      <c r="L88" s="15"/>
      <c r="M88" s="16" t="s">
        <v>909</v>
      </c>
      <c r="N88" s="15"/>
    </row>
    <row r="89" spans="1:14" ht="12.75">
      <c r="A89" s="15"/>
      <c r="B89" s="15"/>
      <c r="C89" s="15"/>
      <c r="D89" s="15"/>
      <c r="E89" s="15"/>
      <c r="F89" s="15" t="s">
        <v>889</v>
      </c>
      <c r="G89" s="15"/>
      <c r="H89" s="15"/>
      <c r="I89" s="15"/>
      <c r="J89" s="15"/>
      <c r="K89" s="15"/>
      <c r="L89" s="15"/>
      <c r="M89" s="16"/>
      <c r="N89" s="15"/>
    </row>
    <row r="90" spans="1:14" ht="12.75">
      <c r="A90" s="15"/>
      <c r="B90" s="15"/>
      <c r="C90" s="15"/>
      <c r="D90" s="15"/>
      <c r="E90" s="15"/>
      <c r="F90" s="15"/>
      <c r="G90" s="15" t="s">
        <v>890</v>
      </c>
      <c r="H90" s="15"/>
      <c r="I90" s="15"/>
      <c r="J90" s="15"/>
      <c r="K90" s="15"/>
      <c r="L90" s="15"/>
      <c r="M90" s="16" t="s">
        <v>910</v>
      </c>
      <c r="N90" s="18" t="s">
        <v>911</v>
      </c>
    </row>
    <row r="91" spans="1:14" ht="12.75">
      <c r="A91" s="15"/>
      <c r="B91" s="15"/>
      <c r="C91" s="15"/>
      <c r="D91" s="15"/>
      <c r="E91" s="15"/>
      <c r="F91" s="15"/>
      <c r="G91" s="15" t="s">
        <v>893</v>
      </c>
      <c r="H91" s="15"/>
      <c r="I91" s="15"/>
      <c r="J91" s="15"/>
      <c r="K91" s="15"/>
      <c r="L91" s="15"/>
      <c r="M91" s="16" t="s">
        <v>912</v>
      </c>
      <c r="N91" s="15" t="s">
        <v>913</v>
      </c>
    </row>
    <row r="92" spans="1:14" ht="12.75">
      <c r="A92" s="15"/>
      <c r="B92" s="15"/>
      <c r="C92" s="15"/>
      <c r="D92" s="15"/>
      <c r="E92" s="15"/>
      <c r="F92" s="15"/>
      <c r="G92" s="15" t="s">
        <v>914</v>
      </c>
      <c r="H92" s="15"/>
      <c r="I92" s="15"/>
      <c r="J92" s="15"/>
      <c r="K92" s="15"/>
      <c r="L92" s="15"/>
      <c r="M92" s="16" t="s">
        <v>915</v>
      </c>
      <c r="N92" s="15" t="s">
        <v>916</v>
      </c>
    </row>
    <row r="93" spans="1:14" ht="12.75">
      <c r="A93" s="15"/>
      <c r="B93" s="15"/>
      <c r="C93" s="15"/>
      <c r="D93" s="15"/>
      <c r="E93" s="15"/>
      <c r="F93" s="15" t="s">
        <v>858</v>
      </c>
      <c r="G93" s="15"/>
      <c r="H93" s="15"/>
      <c r="I93" s="15"/>
      <c r="J93" s="15"/>
      <c r="K93" s="15"/>
      <c r="L93" s="15"/>
      <c r="M93" s="16"/>
      <c r="N93" s="15"/>
    </row>
    <row r="94" spans="1:14" ht="12.75">
      <c r="A94" s="15"/>
      <c r="B94" s="15"/>
      <c r="C94" s="15"/>
      <c r="D94" s="15"/>
      <c r="E94" s="15" t="s">
        <v>858</v>
      </c>
      <c r="F94" s="15"/>
      <c r="G94" s="15"/>
      <c r="H94" s="15"/>
      <c r="I94" s="15"/>
      <c r="J94" s="15"/>
      <c r="K94" s="15"/>
      <c r="L94" s="15"/>
      <c r="M94" s="16"/>
      <c r="N94" s="15"/>
    </row>
    <row r="95" spans="1:14" ht="22.5">
      <c r="A95" s="15"/>
      <c r="B95" s="15"/>
      <c r="C95" s="15"/>
      <c r="D95" s="15"/>
      <c r="E95" s="15" t="s">
        <v>917</v>
      </c>
      <c r="F95" s="15"/>
      <c r="G95" s="15"/>
      <c r="H95" s="15"/>
      <c r="I95" s="15"/>
      <c r="J95" s="15"/>
      <c r="K95" s="15"/>
      <c r="L95" s="15"/>
      <c r="M95" s="16" t="s">
        <v>918</v>
      </c>
      <c r="N95" s="15"/>
    </row>
    <row r="96" spans="1:14" ht="12.75">
      <c r="A96" s="15"/>
      <c r="B96" s="15"/>
      <c r="C96" s="15"/>
      <c r="D96" s="15"/>
      <c r="E96" s="15"/>
      <c r="F96" s="15" t="s">
        <v>889</v>
      </c>
      <c r="G96" s="15"/>
      <c r="H96" s="15"/>
      <c r="I96" s="15"/>
      <c r="J96" s="15"/>
      <c r="K96" s="15"/>
      <c r="L96" s="15"/>
      <c r="M96" s="16"/>
      <c r="N96" s="15"/>
    </row>
    <row r="97" spans="1:14" ht="12.75">
      <c r="A97" s="15"/>
      <c r="B97" s="15"/>
      <c r="C97" s="15"/>
      <c r="D97" s="15"/>
      <c r="E97" s="15"/>
      <c r="F97" s="15"/>
      <c r="G97" s="15" t="s">
        <v>890</v>
      </c>
      <c r="H97" s="15"/>
      <c r="I97" s="15"/>
      <c r="J97" s="15"/>
      <c r="K97" s="15"/>
      <c r="L97" s="15"/>
      <c r="M97" s="16" t="s">
        <v>919</v>
      </c>
      <c r="N97" s="18" t="s">
        <v>920</v>
      </c>
    </row>
    <row r="98" spans="1:14" ht="12.75">
      <c r="A98" s="15"/>
      <c r="B98" s="15"/>
      <c r="C98" s="15"/>
      <c r="D98" s="15"/>
      <c r="E98" s="15"/>
      <c r="F98" s="15"/>
      <c r="G98" s="15" t="s">
        <v>921</v>
      </c>
      <c r="H98" s="15"/>
      <c r="I98" s="15"/>
      <c r="J98" s="15"/>
      <c r="K98" s="15"/>
      <c r="L98" s="15"/>
      <c r="M98" s="16" t="s">
        <v>922</v>
      </c>
      <c r="N98" s="15"/>
    </row>
    <row r="99" spans="1:14" ht="12.75">
      <c r="A99" s="15"/>
      <c r="B99" s="15"/>
      <c r="C99" s="15"/>
      <c r="D99" s="15"/>
      <c r="E99" s="15"/>
      <c r="F99" s="15"/>
      <c r="G99" s="15" t="s">
        <v>864</v>
      </c>
      <c r="H99" s="15"/>
      <c r="I99" s="15"/>
      <c r="J99" s="15"/>
      <c r="K99" s="15"/>
      <c r="L99" s="15"/>
      <c r="M99" s="16" t="s">
        <v>923</v>
      </c>
      <c r="N99" s="15"/>
    </row>
    <row r="100" spans="1:14" ht="12.75">
      <c r="A100" s="15"/>
      <c r="B100" s="15"/>
      <c r="C100" s="15"/>
      <c r="D100" s="15"/>
      <c r="E100" s="15"/>
      <c r="F100" s="15" t="s">
        <v>858</v>
      </c>
      <c r="G100" s="15"/>
      <c r="H100" s="15"/>
      <c r="I100" s="15"/>
      <c r="J100" s="15"/>
      <c r="K100" s="15"/>
      <c r="L100" s="15"/>
      <c r="M100" s="16"/>
      <c r="N100" s="15"/>
    </row>
    <row r="101" spans="1:14" ht="12.75">
      <c r="A101" s="15"/>
      <c r="B101" s="15"/>
      <c r="C101" s="15"/>
      <c r="D101" s="15"/>
      <c r="E101" s="15" t="s">
        <v>848</v>
      </c>
      <c r="F101" s="15"/>
      <c r="G101" s="15"/>
      <c r="H101" s="15"/>
      <c r="I101" s="15"/>
      <c r="J101" s="15"/>
      <c r="K101" s="15"/>
      <c r="L101" s="15"/>
      <c r="M101" s="16"/>
      <c r="N101" s="15"/>
    </row>
    <row r="102" spans="1:14" ht="33.75">
      <c r="A102" s="15"/>
      <c r="B102" s="15"/>
      <c r="C102" s="15"/>
      <c r="D102" s="15"/>
      <c r="E102" s="15" t="s">
        <v>924</v>
      </c>
      <c r="F102" s="15"/>
      <c r="G102" s="15"/>
      <c r="H102" s="15"/>
      <c r="I102" s="15"/>
      <c r="J102" s="15"/>
      <c r="K102" s="15"/>
      <c r="L102" s="15"/>
      <c r="M102" s="16" t="s">
        <v>925</v>
      </c>
      <c r="N102" s="15"/>
    </row>
    <row r="103" spans="1:14" ht="12.75">
      <c r="A103" s="15"/>
      <c r="B103" s="15"/>
      <c r="C103" s="15"/>
      <c r="D103" s="15"/>
      <c r="E103" s="15"/>
      <c r="F103" s="15" t="s">
        <v>862</v>
      </c>
      <c r="G103" s="15"/>
      <c r="H103" s="15"/>
      <c r="I103" s="15"/>
      <c r="J103" s="15"/>
      <c r="K103" s="15"/>
      <c r="L103" s="15"/>
      <c r="M103" s="16" t="s">
        <v>926</v>
      </c>
      <c r="N103" s="15"/>
    </row>
    <row r="104" spans="1:14" ht="12.75">
      <c r="A104" s="15"/>
      <c r="B104" s="15"/>
      <c r="C104" s="15"/>
      <c r="D104" s="15"/>
      <c r="E104" s="15" t="s">
        <v>848</v>
      </c>
      <c r="F104" s="15"/>
      <c r="G104" s="15"/>
      <c r="H104" s="15"/>
      <c r="I104" s="15"/>
      <c r="J104" s="15"/>
      <c r="K104" s="15"/>
      <c r="L104" s="15"/>
      <c r="M104" s="16"/>
      <c r="N104" s="15"/>
    </row>
    <row r="105" spans="1:14" ht="22.5">
      <c r="A105" s="15"/>
      <c r="B105" s="15"/>
      <c r="C105" s="15"/>
      <c r="D105" s="15"/>
      <c r="E105" s="15" t="s">
        <v>927</v>
      </c>
      <c r="F105" s="15"/>
      <c r="G105" s="15"/>
      <c r="H105" s="15"/>
      <c r="I105" s="15"/>
      <c r="J105" s="15"/>
      <c r="K105" s="15"/>
      <c r="L105" s="15"/>
      <c r="M105" s="16" t="s">
        <v>928</v>
      </c>
      <c r="N105" s="15"/>
    </row>
    <row r="106" spans="1:14" ht="33.75">
      <c r="A106" s="15"/>
      <c r="B106" s="15"/>
      <c r="C106" s="15"/>
      <c r="D106" s="15"/>
      <c r="E106" s="15" t="s">
        <v>929</v>
      </c>
      <c r="F106" s="15"/>
      <c r="G106" s="15"/>
      <c r="H106" s="15"/>
      <c r="I106" s="15"/>
      <c r="J106" s="15"/>
      <c r="K106" s="15"/>
      <c r="L106" s="15"/>
      <c r="M106" s="16" t="s">
        <v>930</v>
      </c>
      <c r="N106" s="15"/>
    </row>
    <row r="107" spans="1:14" ht="22.5">
      <c r="A107" s="15"/>
      <c r="B107" s="15"/>
      <c r="C107" s="15"/>
      <c r="D107" s="15"/>
      <c r="E107" s="15"/>
      <c r="F107" s="15" t="s">
        <v>862</v>
      </c>
      <c r="G107" s="15"/>
      <c r="H107" s="15"/>
      <c r="I107" s="15"/>
      <c r="J107" s="15"/>
      <c r="K107" s="15"/>
      <c r="L107" s="15"/>
      <c r="M107" s="16" t="s">
        <v>863</v>
      </c>
      <c r="N107" s="15"/>
    </row>
    <row r="108" spans="1:14" ht="12.75">
      <c r="A108" s="15"/>
      <c r="B108" s="15"/>
      <c r="C108" s="15"/>
      <c r="D108" s="15"/>
      <c r="E108" s="15" t="s">
        <v>848</v>
      </c>
      <c r="F108" s="15"/>
      <c r="G108" s="15"/>
      <c r="H108" s="15"/>
      <c r="I108" s="15"/>
      <c r="J108" s="15"/>
      <c r="K108" s="15"/>
      <c r="L108" s="15"/>
      <c r="M108" s="16"/>
      <c r="N108" s="15"/>
    </row>
    <row r="109" spans="1:14" ht="22.5">
      <c r="A109" s="15"/>
      <c r="B109" s="15"/>
      <c r="C109" s="15"/>
      <c r="D109" s="15"/>
      <c r="E109" s="15" t="s">
        <v>931</v>
      </c>
      <c r="F109" s="15"/>
      <c r="G109" s="15"/>
      <c r="H109" s="15"/>
      <c r="I109" s="15"/>
      <c r="J109" s="15"/>
      <c r="K109" s="15"/>
      <c r="L109" s="15"/>
      <c r="M109" s="16" t="s">
        <v>932</v>
      </c>
      <c r="N109" s="15"/>
    </row>
    <row r="110" spans="1:14" ht="12.75">
      <c r="A110" s="15"/>
      <c r="B110" s="15"/>
      <c r="C110" s="15"/>
      <c r="D110" s="15"/>
      <c r="E110" s="15"/>
      <c r="F110" s="15" t="s">
        <v>823</v>
      </c>
      <c r="G110" s="15"/>
      <c r="H110" s="15"/>
      <c r="I110" s="15"/>
      <c r="J110" s="15"/>
      <c r="K110" s="15"/>
      <c r="L110" s="15"/>
      <c r="M110" s="16" t="s">
        <v>933</v>
      </c>
      <c r="N110" s="18" t="s">
        <v>934</v>
      </c>
    </row>
    <row r="111" spans="1:14" ht="12.75">
      <c r="A111" s="15"/>
      <c r="B111" s="15"/>
      <c r="C111" s="15"/>
      <c r="D111" s="15"/>
      <c r="E111" s="15"/>
      <c r="F111" s="15" t="s">
        <v>900</v>
      </c>
      <c r="G111" s="15"/>
      <c r="H111" s="15"/>
      <c r="I111" s="15"/>
      <c r="J111" s="15"/>
      <c r="K111" s="15"/>
      <c r="L111" s="15"/>
      <c r="M111" s="16" t="s">
        <v>935</v>
      </c>
      <c r="N111" s="15"/>
    </row>
    <row r="112" spans="1:14" ht="22.5">
      <c r="A112" s="15"/>
      <c r="B112" s="15"/>
      <c r="C112" s="15"/>
      <c r="D112" s="15"/>
      <c r="E112" s="15"/>
      <c r="F112" s="15" t="s">
        <v>838</v>
      </c>
      <c r="G112" s="15"/>
      <c r="H112" s="15"/>
      <c r="I112" s="15"/>
      <c r="J112" s="15"/>
      <c r="K112" s="15"/>
      <c r="L112" s="15"/>
      <c r="M112" s="16" t="s">
        <v>936</v>
      </c>
      <c r="N112" s="15"/>
    </row>
    <row r="113" spans="1:14" ht="12.75">
      <c r="A113" s="15"/>
      <c r="B113" s="15"/>
      <c r="C113" s="15"/>
      <c r="D113" s="15"/>
      <c r="E113" s="15"/>
      <c r="F113" s="15"/>
      <c r="G113" s="15" t="s">
        <v>839</v>
      </c>
      <c r="H113" s="15"/>
      <c r="I113" s="15"/>
      <c r="J113" s="15"/>
      <c r="K113" s="15"/>
      <c r="L113" s="15"/>
      <c r="M113" s="16"/>
      <c r="N113" s="18" t="s">
        <v>937</v>
      </c>
    </row>
    <row r="114" spans="1:14" ht="12.75">
      <c r="A114" s="15"/>
      <c r="B114" s="15"/>
      <c r="C114" s="15"/>
      <c r="D114" s="15"/>
      <c r="E114" s="15"/>
      <c r="F114" s="15"/>
      <c r="G114" s="15" t="s">
        <v>938</v>
      </c>
      <c r="H114" s="15"/>
      <c r="I114" s="15"/>
      <c r="J114" s="15"/>
      <c r="K114" s="15"/>
      <c r="L114" s="15"/>
      <c r="M114" s="16" t="s">
        <v>939</v>
      </c>
      <c r="N114" s="15"/>
    </row>
    <row r="115" spans="1:14" ht="12.75">
      <c r="A115" s="15"/>
      <c r="B115" s="15"/>
      <c r="C115" s="15"/>
      <c r="D115" s="15"/>
      <c r="E115" s="15"/>
      <c r="F115" s="15"/>
      <c r="G115" s="15"/>
      <c r="H115" s="15" t="s">
        <v>823</v>
      </c>
      <c r="I115" s="15"/>
      <c r="J115" s="15"/>
      <c r="K115" s="15"/>
      <c r="L115" s="15"/>
      <c r="M115" s="16" t="s">
        <v>940</v>
      </c>
      <c r="N115" s="18" t="s">
        <v>941</v>
      </c>
    </row>
    <row r="116" spans="1:14" ht="12.75">
      <c r="A116" s="15"/>
      <c r="B116" s="15"/>
      <c r="C116" s="15"/>
      <c r="D116" s="15"/>
      <c r="E116" s="15"/>
      <c r="F116" s="15"/>
      <c r="G116" s="15"/>
      <c r="H116" s="15" t="s">
        <v>900</v>
      </c>
      <c r="I116" s="15"/>
      <c r="J116" s="15"/>
      <c r="K116" s="15"/>
      <c r="L116" s="15"/>
      <c r="M116" s="16" t="s">
        <v>942</v>
      </c>
      <c r="N116" s="15"/>
    </row>
    <row r="117" spans="1:14" ht="12.75">
      <c r="A117" s="15"/>
      <c r="B117" s="15"/>
      <c r="C117" s="15"/>
      <c r="D117" s="15"/>
      <c r="E117" s="15"/>
      <c r="F117" s="15"/>
      <c r="G117" s="15" t="s">
        <v>848</v>
      </c>
      <c r="H117" s="15"/>
      <c r="I117" s="15"/>
      <c r="J117" s="15"/>
      <c r="K117" s="15"/>
      <c r="L117" s="15"/>
      <c r="M117" s="16"/>
      <c r="N117" s="15"/>
    </row>
    <row r="118" spans="1:14" ht="12.75">
      <c r="A118" s="15"/>
      <c r="B118" s="15"/>
      <c r="C118" s="15"/>
      <c r="D118" s="15"/>
      <c r="E118" s="15"/>
      <c r="F118" s="15" t="s">
        <v>858</v>
      </c>
      <c r="G118" s="15"/>
      <c r="H118" s="15"/>
      <c r="I118" s="15"/>
      <c r="J118" s="15"/>
      <c r="K118" s="15"/>
      <c r="L118" s="15"/>
      <c r="M118" s="16"/>
      <c r="N118" s="15"/>
    </row>
    <row r="119" spans="1:14" ht="12.75">
      <c r="A119" s="15"/>
      <c r="B119" s="15"/>
      <c r="C119" s="15"/>
      <c r="D119" s="15"/>
      <c r="E119" s="15" t="s">
        <v>848</v>
      </c>
      <c r="F119" s="15"/>
      <c r="G119" s="15"/>
      <c r="H119" s="15"/>
      <c r="I119" s="15"/>
      <c r="J119" s="15"/>
      <c r="K119" s="15"/>
      <c r="L119" s="15"/>
      <c r="M119" s="16"/>
      <c r="N119" s="15"/>
    </row>
    <row r="120" spans="1:14" ht="22.5">
      <c r="A120" s="15"/>
      <c r="B120" s="15"/>
      <c r="C120" s="15"/>
      <c r="D120" s="15"/>
      <c r="E120" s="15" t="s">
        <v>943</v>
      </c>
      <c r="F120" s="15"/>
      <c r="G120" s="15"/>
      <c r="H120" s="15"/>
      <c r="I120" s="15"/>
      <c r="J120" s="15"/>
      <c r="K120" s="15"/>
      <c r="L120" s="15"/>
      <c r="M120" s="16" t="s">
        <v>944</v>
      </c>
      <c r="N120" s="15"/>
    </row>
    <row r="121" spans="1:14" ht="12.75">
      <c r="A121" s="15"/>
      <c r="B121" s="15"/>
      <c r="C121" s="15"/>
      <c r="D121" s="15"/>
      <c r="E121" s="15"/>
      <c r="F121" s="15" t="s">
        <v>889</v>
      </c>
      <c r="G121" s="15"/>
      <c r="H121" s="15"/>
      <c r="I121" s="15"/>
      <c r="J121" s="15"/>
      <c r="K121" s="15"/>
      <c r="L121" s="15"/>
      <c r="M121" s="16"/>
      <c r="N121" s="15"/>
    </row>
    <row r="122" spans="1:14" ht="12.75">
      <c r="A122" s="15"/>
      <c r="B122" s="15"/>
      <c r="C122" s="15"/>
      <c r="D122" s="15"/>
      <c r="E122" s="15"/>
      <c r="F122" s="15"/>
      <c r="G122" s="15" t="s">
        <v>890</v>
      </c>
      <c r="H122" s="15"/>
      <c r="I122" s="15"/>
      <c r="J122" s="15"/>
      <c r="K122" s="15"/>
      <c r="L122" s="15"/>
      <c r="M122" s="16" t="s">
        <v>945</v>
      </c>
      <c r="N122" s="18" t="s">
        <v>946</v>
      </c>
    </row>
    <row r="123" spans="1:14" ht="56.25">
      <c r="A123" s="15"/>
      <c r="B123" s="15"/>
      <c r="C123" s="15"/>
      <c r="D123" s="15"/>
      <c r="E123" s="15"/>
      <c r="F123" s="15"/>
      <c r="G123" s="15" t="s">
        <v>893</v>
      </c>
      <c r="H123" s="15"/>
      <c r="I123" s="15"/>
      <c r="J123" s="15"/>
      <c r="K123" s="15"/>
      <c r="L123" s="15"/>
      <c r="M123" s="16" t="s">
        <v>947</v>
      </c>
      <c r="N123" s="15" t="s">
        <v>948</v>
      </c>
    </row>
    <row r="124" spans="1:14" ht="12.75">
      <c r="A124" s="15"/>
      <c r="B124" s="15"/>
      <c r="C124" s="15"/>
      <c r="D124" s="15"/>
      <c r="E124" s="15"/>
      <c r="F124" s="15"/>
      <c r="G124" s="15" t="s">
        <v>914</v>
      </c>
      <c r="H124" s="15"/>
      <c r="I124" s="15"/>
      <c r="J124" s="15"/>
      <c r="K124" s="15"/>
      <c r="L124" s="15"/>
      <c r="M124" s="16" t="s">
        <v>949</v>
      </c>
      <c r="N124" s="15" t="s">
        <v>950</v>
      </c>
    </row>
    <row r="125" spans="1:14" ht="12.75">
      <c r="A125" s="15"/>
      <c r="B125" s="15"/>
      <c r="C125" s="15"/>
      <c r="D125" s="15"/>
      <c r="E125" s="15"/>
      <c r="F125" s="15" t="s">
        <v>858</v>
      </c>
      <c r="G125" s="15"/>
      <c r="H125" s="15"/>
      <c r="I125" s="15"/>
      <c r="J125" s="15"/>
      <c r="K125" s="15"/>
      <c r="L125" s="15"/>
      <c r="M125" s="16"/>
      <c r="N125" s="15"/>
    </row>
    <row r="126" spans="1:14" ht="12.75">
      <c r="A126" s="15"/>
      <c r="B126" s="15"/>
      <c r="C126" s="15"/>
      <c r="D126" s="15"/>
      <c r="E126" s="15" t="s">
        <v>951</v>
      </c>
      <c r="F126" s="15"/>
      <c r="G126" s="15"/>
      <c r="H126" s="15"/>
      <c r="I126" s="15"/>
      <c r="J126" s="15"/>
      <c r="K126" s="15"/>
      <c r="L126" s="15"/>
      <c r="M126" s="16"/>
      <c r="N126" s="15"/>
    </row>
    <row r="127" spans="1:14" ht="22.5">
      <c r="A127" s="15"/>
      <c r="B127" s="15"/>
      <c r="C127" s="15"/>
      <c r="D127" s="15"/>
      <c r="E127" s="15" t="s">
        <v>952</v>
      </c>
      <c r="F127" s="15"/>
      <c r="G127" s="15"/>
      <c r="H127" s="15"/>
      <c r="I127" s="15"/>
      <c r="J127" s="15"/>
      <c r="K127" s="15"/>
      <c r="L127" s="15"/>
      <c r="M127" s="16" t="s">
        <v>953</v>
      </c>
      <c r="N127" s="15"/>
    </row>
    <row r="128" spans="1:14" ht="33.75">
      <c r="A128" s="15"/>
      <c r="B128" s="15"/>
      <c r="C128" s="15"/>
      <c r="D128" s="15"/>
      <c r="E128" s="15"/>
      <c r="F128" s="15" t="s">
        <v>954</v>
      </c>
      <c r="G128" s="15"/>
      <c r="H128" s="15"/>
      <c r="I128" s="15"/>
      <c r="J128" s="15"/>
      <c r="K128" s="15"/>
      <c r="L128" s="15"/>
      <c r="M128" s="16" t="s">
        <v>955</v>
      </c>
      <c r="N128" s="15"/>
    </row>
    <row r="129" spans="1:14" ht="90">
      <c r="A129" s="15"/>
      <c r="B129" s="15"/>
      <c r="C129" s="15"/>
      <c r="D129" s="15"/>
      <c r="E129" s="15"/>
      <c r="F129" s="15" t="s">
        <v>956</v>
      </c>
      <c r="G129" s="15"/>
      <c r="H129" s="15"/>
      <c r="I129" s="15"/>
      <c r="J129" s="15"/>
      <c r="K129" s="15"/>
      <c r="L129" s="15"/>
      <c r="M129" s="16" t="s">
        <v>957</v>
      </c>
      <c r="N129" s="15"/>
    </row>
    <row r="130" spans="1:14" ht="22.5">
      <c r="A130" s="15"/>
      <c r="B130" s="15"/>
      <c r="C130" s="15"/>
      <c r="D130" s="15"/>
      <c r="E130" s="15"/>
      <c r="F130" s="15" t="s">
        <v>958</v>
      </c>
      <c r="G130" s="15"/>
      <c r="H130" s="15"/>
      <c r="I130" s="15"/>
      <c r="J130" s="15"/>
      <c r="K130" s="15"/>
      <c r="L130" s="15"/>
      <c r="M130" s="16" t="s">
        <v>959</v>
      </c>
      <c r="N130" s="15"/>
    </row>
    <row r="131" spans="1:14" ht="12.75">
      <c r="A131" s="15"/>
      <c r="B131" s="15"/>
      <c r="C131" s="15"/>
      <c r="D131" s="15"/>
      <c r="E131" s="15"/>
      <c r="F131" s="15"/>
      <c r="G131" s="15" t="s">
        <v>889</v>
      </c>
      <c r="H131" s="15"/>
      <c r="I131" s="15"/>
      <c r="J131" s="15"/>
      <c r="K131" s="15"/>
      <c r="L131" s="15"/>
      <c r="M131" s="16"/>
      <c r="N131" s="15"/>
    </row>
    <row r="132" spans="1:14" ht="12.75">
      <c r="A132" s="15"/>
      <c r="B132" s="15"/>
      <c r="C132" s="15"/>
      <c r="D132" s="15"/>
      <c r="E132" s="15"/>
      <c r="F132" s="15"/>
      <c r="G132" s="15"/>
      <c r="H132" s="15" t="s">
        <v>823</v>
      </c>
      <c r="I132" s="15"/>
      <c r="J132" s="15"/>
      <c r="K132" s="15"/>
      <c r="L132" s="15"/>
      <c r="M132" s="16" t="s">
        <v>960</v>
      </c>
      <c r="N132" s="18" t="s">
        <v>961</v>
      </c>
    </row>
    <row r="133" spans="1:14" ht="12.75">
      <c r="A133" s="15"/>
      <c r="B133" s="15"/>
      <c r="C133" s="15"/>
      <c r="D133" s="15"/>
      <c r="E133" s="15"/>
      <c r="F133" s="15"/>
      <c r="G133" s="15"/>
      <c r="H133" s="15" t="s">
        <v>883</v>
      </c>
      <c r="I133" s="15"/>
      <c r="J133" s="15"/>
      <c r="K133" s="15"/>
      <c r="L133" s="15"/>
      <c r="M133" s="16" t="s">
        <v>962</v>
      </c>
      <c r="N133" s="15"/>
    </row>
    <row r="134" spans="1:14" ht="12.75">
      <c r="A134" s="15"/>
      <c r="B134" s="15"/>
      <c r="C134" s="15"/>
      <c r="D134" s="15"/>
      <c r="E134" s="15"/>
      <c r="F134" s="15"/>
      <c r="G134" s="15"/>
      <c r="H134" s="15" t="s">
        <v>864</v>
      </c>
      <c r="I134" s="15"/>
      <c r="J134" s="15"/>
      <c r="K134" s="15"/>
      <c r="L134" s="15"/>
      <c r="M134" s="16" t="s">
        <v>963</v>
      </c>
      <c r="N134" s="15"/>
    </row>
    <row r="135" spans="1:14" ht="12.75">
      <c r="A135" s="15"/>
      <c r="B135" s="15"/>
      <c r="C135" s="15"/>
      <c r="D135" s="15"/>
      <c r="E135" s="15"/>
      <c r="F135" s="15"/>
      <c r="G135" s="15" t="s">
        <v>858</v>
      </c>
      <c r="H135" s="15"/>
      <c r="I135" s="15"/>
      <c r="J135" s="15"/>
      <c r="K135" s="15"/>
      <c r="L135" s="15"/>
      <c r="M135" s="16"/>
      <c r="N135" s="15"/>
    </row>
    <row r="136" spans="1:14" ht="12.75">
      <c r="A136" s="15"/>
      <c r="B136" s="15"/>
      <c r="C136" s="15"/>
      <c r="D136" s="15"/>
      <c r="E136" s="15"/>
      <c r="F136" s="15" t="s">
        <v>858</v>
      </c>
      <c r="G136" s="15"/>
      <c r="H136" s="15"/>
      <c r="I136" s="15"/>
      <c r="J136" s="15"/>
      <c r="K136" s="15"/>
      <c r="L136" s="15"/>
      <c r="M136" s="16"/>
      <c r="N136" s="15"/>
    </row>
    <row r="137" spans="1:14" ht="12.75">
      <c r="A137" s="15"/>
      <c r="B137" s="15"/>
      <c r="C137" s="15"/>
      <c r="D137" s="15"/>
      <c r="E137" s="15"/>
      <c r="F137" s="15" t="s">
        <v>964</v>
      </c>
      <c r="G137" s="15"/>
      <c r="H137" s="15"/>
      <c r="I137" s="15"/>
      <c r="J137" s="15"/>
      <c r="K137" s="15"/>
      <c r="L137" s="15"/>
      <c r="M137" s="16" t="s">
        <v>965</v>
      </c>
      <c r="N137" s="15"/>
    </row>
    <row r="138" spans="1:14" ht="12.75">
      <c r="A138" s="15"/>
      <c r="B138" s="15"/>
      <c r="C138" s="15"/>
      <c r="D138" s="15"/>
      <c r="E138" s="15"/>
      <c r="F138" s="15" t="s">
        <v>966</v>
      </c>
      <c r="G138" s="15"/>
      <c r="H138" s="15"/>
      <c r="I138" s="15"/>
      <c r="J138" s="15"/>
      <c r="K138" s="15"/>
      <c r="L138" s="15"/>
      <c r="M138" s="16" t="s">
        <v>967</v>
      </c>
      <c r="N138" s="15"/>
    </row>
    <row r="139" spans="1:14" ht="22.5">
      <c r="A139" s="15"/>
      <c r="B139" s="15"/>
      <c r="C139" s="15"/>
      <c r="D139" s="15"/>
      <c r="E139" s="15"/>
      <c r="F139" s="15"/>
      <c r="G139" s="15" t="s">
        <v>968</v>
      </c>
      <c r="H139" s="15"/>
      <c r="I139" s="15"/>
      <c r="J139" s="15"/>
      <c r="K139" s="15"/>
      <c r="L139" s="15"/>
      <c r="M139" s="16" t="s">
        <v>969</v>
      </c>
      <c r="N139" s="15"/>
    </row>
    <row r="140" spans="1:14" ht="22.5">
      <c r="A140" s="15"/>
      <c r="B140" s="15"/>
      <c r="C140" s="15"/>
      <c r="D140" s="15"/>
      <c r="E140" s="15"/>
      <c r="F140" s="15"/>
      <c r="G140" s="15"/>
      <c r="H140" s="15" t="s">
        <v>970</v>
      </c>
      <c r="I140" s="15"/>
      <c r="J140" s="15"/>
      <c r="K140" s="15"/>
      <c r="L140" s="15"/>
      <c r="M140" s="16" t="s">
        <v>971</v>
      </c>
      <c r="N140" s="15"/>
    </row>
    <row r="141" spans="1:14" ht="12.75">
      <c r="A141" s="15"/>
      <c r="B141" s="15"/>
      <c r="C141" s="15"/>
      <c r="D141" s="15"/>
      <c r="E141" s="15"/>
      <c r="F141" s="15"/>
      <c r="G141" s="15"/>
      <c r="H141" s="15"/>
      <c r="I141" s="15" t="s">
        <v>972</v>
      </c>
      <c r="J141" s="15"/>
      <c r="K141" s="15"/>
      <c r="L141" s="15"/>
      <c r="M141" s="16"/>
      <c r="N141" s="15"/>
    </row>
    <row r="142" spans="1:14" ht="12.75">
      <c r="A142" s="15"/>
      <c r="B142" s="15"/>
      <c r="C142" s="15"/>
      <c r="D142" s="15"/>
      <c r="E142" s="15"/>
      <c r="F142" s="15"/>
      <c r="G142" s="15"/>
      <c r="H142" s="15"/>
      <c r="I142" s="15" t="s">
        <v>973</v>
      </c>
      <c r="J142" s="15"/>
      <c r="K142" s="15"/>
      <c r="L142" s="15"/>
      <c r="M142" s="16"/>
      <c r="N142" s="15"/>
    </row>
    <row r="143" spans="1:14" ht="12.75">
      <c r="A143" s="15"/>
      <c r="B143" s="15"/>
      <c r="C143" s="15"/>
      <c r="D143" s="15"/>
      <c r="E143" s="15"/>
      <c r="F143" s="15"/>
      <c r="G143" s="15"/>
      <c r="H143" s="15"/>
      <c r="I143" s="15" t="s">
        <v>974</v>
      </c>
      <c r="J143" s="15"/>
      <c r="K143" s="15"/>
      <c r="L143" s="15"/>
      <c r="M143" s="16"/>
      <c r="N143" s="15"/>
    </row>
    <row r="144" spans="1:14" ht="12.75">
      <c r="A144" s="15"/>
      <c r="B144" s="15"/>
      <c r="C144" s="15"/>
      <c r="D144" s="15"/>
      <c r="E144" s="15"/>
      <c r="F144" s="15"/>
      <c r="G144" s="15"/>
      <c r="H144" s="15"/>
      <c r="I144" s="15" t="s">
        <v>883</v>
      </c>
      <c r="J144" s="15"/>
      <c r="K144" s="15"/>
      <c r="L144" s="15"/>
      <c r="M144" s="16"/>
      <c r="N144" s="15"/>
    </row>
    <row r="145" spans="1:14" ht="12.75">
      <c r="A145" s="15"/>
      <c r="B145" s="15"/>
      <c r="C145" s="15"/>
      <c r="D145" s="15"/>
      <c r="E145" s="15"/>
      <c r="F145" s="15"/>
      <c r="G145" s="15"/>
      <c r="H145" s="15" t="s">
        <v>848</v>
      </c>
      <c r="I145" s="15"/>
      <c r="J145" s="15"/>
      <c r="K145" s="15"/>
      <c r="L145" s="15"/>
      <c r="M145" s="16"/>
      <c r="N145" s="15"/>
    </row>
    <row r="146" spans="1:14" ht="33.75">
      <c r="A146" s="15"/>
      <c r="B146" s="15"/>
      <c r="C146" s="15"/>
      <c r="D146" s="15"/>
      <c r="E146" s="15"/>
      <c r="F146" s="15"/>
      <c r="G146" s="15"/>
      <c r="H146" s="15" t="s">
        <v>975</v>
      </c>
      <c r="I146" s="15"/>
      <c r="J146" s="15"/>
      <c r="K146" s="15"/>
      <c r="L146" s="15"/>
      <c r="M146" s="16" t="s">
        <v>976</v>
      </c>
      <c r="N146" s="15"/>
    </row>
    <row r="147" spans="1:14" ht="22.5">
      <c r="A147" s="15"/>
      <c r="B147" s="15"/>
      <c r="C147" s="15"/>
      <c r="D147" s="15"/>
      <c r="E147" s="15"/>
      <c r="F147" s="15"/>
      <c r="G147" s="15"/>
      <c r="H147" s="15" t="s">
        <v>977</v>
      </c>
      <c r="I147" s="15"/>
      <c r="J147" s="15"/>
      <c r="K147" s="15"/>
      <c r="L147" s="15"/>
      <c r="M147" s="16" t="s">
        <v>978</v>
      </c>
      <c r="N147" s="15"/>
    </row>
    <row r="148" spans="1:14" ht="12.75">
      <c r="A148" s="15"/>
      <c r="B148" s="15"/>
      <c r="C148" s="15"/>
      <c r="D148" s="15"/>
      <c r="E148" s="15"/>
      <c r="F148" s="15"/>
      <c r="G148" s="15"/>
      <c r="H148" s="15" t="s">
        <v>979</v>
      </c>
      <c r="I148" s="15"/>
      <c r="J148" s="15"/>
      <c r="K148" s="15"/>
      <c r="L148" s="15"/>
      <c r="M148" s="16" t="s">
        <v>980</v>
      </c>
      <c r="N148" s="15"/>
    </row>
    <row r="149" spans="1:14" ht="12.75">
      <c r="A149" s="15"/>
      <c r="B149" s="15"/>
      <c r="C149" s="15"/>
      <c r="D149" s="15"/>
      <c r="E149" s="15"/>
      <c r="F149" s="15"/>
      <c r="G149" s="15" t="s">
        <v>848</v>
      </c>
      <c r="H149" s="15"/>
      <c r="I149" s="15"/>
      <c r="J149" s="15"/>
      <c r="K149" s="15"/>
      <c r="L149" s="15"/>
      <c r="M149" s="16"/>
      <c r="N149" s="15"/>
    </row>
    <row r="150" spans="1:14" ht="12.75">
      <c r="A150" s="15"/>
      <c r="B150" s="15"/>
      <c r="C150" s="15"/>
      <c r="D150" s="15"/>
      <c r="E150" s="15"/>
      <c r="F150" s="15" t="s">
        <v>848</v>
      </c>
      <c r="G150" s="15"/>
      <c r="H150" s="15"/>
      <c r="I150" s="15"/>
      <c r="J150" s="15"/>
      <c r="K150" s="15"/>
      <c r="L150" s="15"/>
      <c r="M150" s="16"/>
      <c r="N150" s="15"/>
    </row>
    <row r="151" spans="1:14" ht="33.75">
      <c r="A151" s="15"/>
      <c r="B151" s="15"/>
      <c r="C151" s="15"/>
      <c r="D151" s="15"/>
      <c r="E151" s="15"/>
      <c r="F151" s="15" t="s">
        <v>981</v>
      </c>
      <c r="G151" s="15"/>
      <c r="H151" s="15"/>
      <c r="I151" s="15"/>
      <c r="J151" s="15"/>
      <c r="K151" s="15"/>
      <c r="L151" s="15"/>
      <c r="M151" s="16" t="s">
        <v>982</v>
      </c>
      <c r="N151" s="15" t="s">
        <v>983</v>
      </c>
    </row>
    <row r="152" spans="1:14" ht="12.75">
      <c r="A152" s="15"/>
      <c r="B152" s="15"/>
      <c r="C152" s="15"/>
      <c r="D152" s="15"/>
      <c r="E152" s="15"/>
      <c r="F152" s="15" t="s">
        <v>984</v>
      </c>
      <c r="G152" s="15"/>
      <c r="H152" s="15"/>
      <c r="I152" s="15"/>
      <c r="J152" s="15"/>
      <c r="K152" s="15"/>
      <c r="L152" s="15"/>
      <c r="M152" s="16" t="s">
        <v>985</v>
      </c>
      <c r="N152" s="15"/>
    </row>
    <row r="153" spans="1:14" ht="12.75">
      <c r="A153" s="15"/>
      <c r="B153" s="15"/>
      <c r="C153" s="15"/>
      <c r="D153" s="15"/>
      <c r="E153" s="15"/>
      <c r="F153" s="15"/>
      <c r="G153" s="15" t="s">
        <v>889</v>
      </c>
      <c r="H153" s="15"/>
      <c r="I153" s="15"/>
      <c r="J153" s="15"/>
      <c r="K153" s="15"/>
      <c r="L153" s="15"/>
      <c r="M153" s="16"/>
      <c r="N153" s="15"/>
    </row>
    <row r="154" spans="1:14" ht="12.75">
      <c r="A154" s="15"/>
      <c r="B154" s="15"/>
      <c r="C154" s="15"/>
      <c r="D154" s="15"/>
      <c r="E154" s="15"/>
      <c r="F154" s="15"/>
      <c r="G154" s="15"/>
      <c r="H154" s="15" t="s">
        <v>823</v>
      </c>
      <c r="I154" s="15"/>
      <c r="J154" s="15"/>
      <c r="K154" s="15"/>
      <c r="L154" s="15"/>
      <c r="M154" s="16" t="s">
        <v>960</v>
      </c>
      <c r="N154" s="18" t="s">
        <v>986</v>
      </c>
    </row>
    <row r="155" spans="1:14" ht="22.5">
      <c r="A155" s="15"/>
      <c r="B155" s="15"/>
      <c r="C155" s="15"/>
      <c r="D155" s="15"/>
      <c r="E155" s="15"/>
      <c r="F155" s="15"/>
      <c r="G155" s="15"/>
      <c r="H155" s="15" t="s">
        <v>883</v>
      </c>
      <c r="I155" s="15"/>
      <c r="J155" s="15"/>
      <c r="K155" s="15"/>
      <c r="L155" s="15"/>
      <c r="M155" s="16" t="s">
        <v>987</v>
      </c>
      <c r="N155" s="15"/>
    </row>
    <row r="156" spans="1:14" ht="12.75">
      <c r="A156" s="15"/>
      <c r="B156" s="15"/>
      <c r="C156" s="15"/>
      <c r="D156" s="15"/>
      <c r="E156" s="15"/>
      <c r="F156" s="15"/>
      <c r="G156" s="15"/>
      <c r="H156" s="15" t="s">
        <v>864</v>
      </c>
      <c r="I156" s="15"/>
      <c r="J156" s="15"/>
      <c r="K156" s="15"/>
      <c r="L156" s="15"/>
      <c r="M156" s="16"/>
      <c r="N156" s="15"/>
    </row>
    <row r="157" spans="1:14" ht="12.75">
      <c r="A157" s="15"/>
      <c r="B157" s="15"/>
      <c r="C157" s="15"/>
      <c r="D157" s="15"/>
      <c r="E157" s="15"/>
      <c r="F157" s="15"/>
      <c r="G157" s="15" t="s">
        <v>858</v>
      </c>
      <c r="H157" s="15"/>
      <c r="I157" s="15"/>
      <c r="J157" s="15"/>
      <c r="K157" s="15"/>
      <c r="L157" s="15"/>
      <c r="M157" s="16"/>
      <c r="N157" s="15"/>
    </row>
    <row r="158" spans="1:14" ht="12.75">
      <c r="A158" s="15"/>
      <c r="B158" s="15"/>
      <c r="C158" s="15"/>
      <c r="D158" s="15"/>
      <c r="E158" s="15"/>
      <c r="F158" s="15" t="s">
        <v>848</v>
      </c>
      <c r="G158" s="15"/>
      <c r="H158" s="15"/>
      <c r="I158" s="15"/>
      <c r="J158" s="15"/>
      <c r="K158" s="15"/>
      <c r="L158" s="15"/>
      <c r="M158" s="16"/>
      <c r="N158" s="15"/>
    </row>
    <row r="159" spans="1:14" ht="12.75">
      <c r="A159" s="15"/>
      <c r="B159" s="15"/>
      <c r="C159" s="15"/>
      <c r="D159" s="15"/>
      <c r="E159" s="15"/>
      <c r="F159" s="15" t="s">
        <v>988</v>
      </c>
      <c r="G159" s="15"/>
      <c r="H159" s="15"/>
      <c r="I159" s="15"/>
      <c r="J159" s="15"/>
      <c r="K159" s="15"/>
      <c r="L159" s="15"/>
      <c r="M159" s="16"/>
      <c r="N159" s="15"/>
    </row>
    <row r="160" spans="1:14" ht="12.75">
      <c r="A160" s="15"/>
      <c r="B160" s="15"/>
      <c r="C160" s="15"/>
      <c r="D160" s="15"/>
      <c r="E160" s="15"/>
      <c r="F160" s="15"/>
      <c r="G160" s="15" t="s">
        <v>889</v>
      </c>
      <c r="H160" s="15"/>
      <c r="I160" s="15"/>
      <c r="J160" s="15"/>
      <c r="K160" s="15"/>
      <c r="L160" s="15"/>
      <c r="M160" s="16"/>
      <c r="N160" s="15"/>
    </row>
    <row r="161" spans="1:14" ht="12.75">
      <c r="A161" s="15"/>
      <c r="B161" s="15"/>
      <c r="C161" s="15"/>
      <c r="D161" s="15"/>
      <c r="E161" s="15"/>
      <c r="F161" s="15"/>
      <c r="G161" s="15"/>
      <c r="H161" s="15" t="s">
        <v>823</v>
      </c>
      <c r="I161" s="15"/>
      <c r="J161" s="15"/>
      <c r="K161" s="15"/>
      <c r="L161" s="15"/>
      <c r="M161" s="16" t="s">
        <v>960</v>
      </c>
      <c r="N161" s="18" t="s">
        <v>989</v>
      </c>
    </row>
    <row r="162" spans="1:14" ht="22.5">
      <c r="A162" s="15"/>
      <c r="B162" s="15"/>
      <c r="C162" s="15"/>
      <c r="D162" s="15"/>
      <c r="E162" s="15"/>
      <c r="F162" s="15"/>
      <c r="G162" s="15"/>
      <c r="H162" s="15" t="s">
        <v>883</v>
      </c>
      <c r="I162" s="15"/>
      <c r="J162" s="15"/>
      <c r="K162" s="15"/>
      <c r="L162" s="15"/>
      <c r="M162" s="16" t="s">
        <v>990</v>
      </c>
      <c r="N162" s="15"/>
    </row>
    <row r="163" spans="1:14" ht="12.75">
      <c r="A163" s="15"/>
      <c r="B163" s="15"/>
      <c r="C163" s="15"/>
      <c r="D163" s="15"/>
      <c r="E163" s="15"/>
      <c r="F163" s="15"/>
      <c r="G163" s="15"/>
      <c r="H163" s="15" t="s">
        <v>864</v>
      </c>
      <c r="I163" s="15"/>
      <c r="J163" s="15"/>
      <c r="K163" s="15"/>
      <c r="L163" s="15"/>
      <c r="M163" s="16" t="s">
        <v>991</v>
      </c>
      <c r="N163" s="15"/>
    </row>
    <row r="164" spans="1:14" ht="12.75">
      <c r="A164" s="15"/>
      <c r="B164" s="15"/>
      <c r="C164" s="15"/>
      <c r="D164" s="15"/>
      <c r="E164" s="15"/>
      <c r="F164" s="15"/>
      <c r="G164" s="15" t="s">
        <v>858</v>
      </c>
      <c r="H164" s="15"/>
      <c r="I164" s="15"/>
      <c r="J164" s="15"/>
      <c r="K164" s="15"/>
      <c r="L164" s="15"/>
      <c r="M164" s="16"/>
      <c r="N164" s="15"/>
    </row>
    <row r="165" spans="1:14" ht="12.75">
      <c r="A165" s="15"/>
      <c r="B165" s="15"/>
      <c r="C165" s="15"/>
      <c r="D165" s="15"/>
      <c r="E165" s="15"/>
      <c r="F165" s="15" t="s">
        <v>848</v>
      </c>
      <c r="G165" s="15"/>
      <c r="H165" s="15"/>
      <c r="I165" s="15"/>
      <c r="J165" s="15"/>
      <c r="K165" s="15"/>
      <c r="L165" s="15"/>
      <c r="M165" s="16"/>
      <c r="N165" s="15"/>
    </row>
    <row r="166" spans="1:14" ht="12.75">
      <c r="A166" s="15"/>
      <c r="B166" s="15"/>
      <c r="C166" s="15"/>
      <c r="D166" s="15"/>
      <c r="E166" s="15"/>
      <c r="F166" s="15" t="s">
        <v>992</v>
      </c>
      <c r="G166" s="15"/>
      <c r="H166" s="15"/>
      <c r="I166" s="15"/>
      <c r="J166" s="15"/>
      <c r="K166" s="15"/>
      <c r="L166" s="15"/>
      <c r="M166" s="16"/>
      <c r="N166" s="15"/>
    </row>
    <row r="167" spans="1:14" ht="12.75">
      <c r="A167" s="15"/>
      <c r="B167" s="15"/>
      <c r="C167" s="15"/>
      <c r="D167" s="15"/>
      <c r="E167" s="15"/>
      <c r="F167" s="15"/>
      <c r="G167" s="15" t="s">
        <v>889</v>
      </c>
      <c r="H167" s="15"/>
      <c r="I167" s="15"/>
      <c r="J167" s="15"/>
      <c r="K167" s="15"/>
      <c r="L167" s="15"/>
      <c r="M167" s="16"/>
      <c r="N167" s="15"/>
    </row>
    <row r="168" spans="1:14" ht="12.75">
      <c r="A168" s="15"/>
      <c r="B168" s="15"/>
      <c r="C168" s="15"/>
      <c r="D168" s="15"/>
      <c r="E168" s="15"/>
      <c r="F168" s="15"/>
      <c r="G168" s="15"/>
      <c r="H168" s="15" t="s">
        <v>823</v>
      </c>
      <c r="I168" s="15"/>
      <c r="J168" s="15"/>
      <c r="K168" s="15"/>
      <c r="L168" s="15"/>
      <c r="M168" s="16" t="s">
        <v>960</v>
      </c>
      <c r="N168" s="18" t="s">
        <v>993</v>
      </c>
    </row>
    <row r="169" spans="1:14" ht="22.5">
      <c r="A169" s="15"/>
      <c r="B169" s="15"/>
      <c r="C169" s="15"/>
      <c r="D169" s="15"/>
      <c r="E169" s="15"/>
      <c r="F169" s="15"/>
      <c r="G169" s="15"/>
      <c r="H169" s="15" t="s">
        <v>883</v>
      </c>
      <c r="I169" s="15"/>
      <c r="J169" s="15"/>
      <c r="K169" s="15"/>
      <c r="L169" s="15"/>
      <c r="M169" s="16" t="s">
        <v>994</v>
      </c>
      <c r="N169" s="15"/>
    </row>
    <row r="170" spans="1:14" ht="12.75">
      <c r="A170" s="15"/>
      <c r="B170" s="15"/>
      <c r="C170" s="15"/>
      <c r="D170" s="15"/>
      <c r="E170" s="15"/>
      <c r="F170" s="15"/>
      <c r="G170" s="15"/>
      <c r="H170" s="15" t="s">
        <v>864</v>
      </c>
      <c r="I170" s="15"/>
      <c r="J170" s="15"/>
      <c r="K170" s="15"/>
      <c r="L170" s="15"/>
      <c r="M170" s="16"/>
      <c r="N170" s="15"/>
    </row>
    <row r="171" spans="1:14" ht="12.75">
      <c r="A171" s="15"/>
      <c r="B171" s="15"/>
      <c r="C171" s="15"/>
      <c r="D171" s="15"/>
      <c r="E171" s="15"/>
      <c r="F171" s="15"/>
      <c r="G171" s="15" t="s">
        <v>858</v>
      </c>
      <c r="H171" s="15"/>
      <c r="I171" s="15"/>
      <c r="J171" s="15"/>
      <c r="K171" s="15"/>
      <c r="L171" s="15"/>
      <c r="M171" s="16"/>
      <c r="N171" s="15"/>
    </row>
    <row r="172" spans="1:14" ht="12.75">
      <c r="A172" s="15"/>
      <c r="B172" s="15"/>
      <c r="C172" s="15"/>
      <c r="D172" s="15"/>
      <c r="E172" s="15"/>
      <c r="F172" s="15" t="s">
        <v>848</v>
      </c>
      <c r="G172" s="15"/>
      <c r="H172" s="15"/>
      <c r="I172" s="15"/>
      <c r="J172" s="15"/>
      <c r="K172" s="15"/>
      <c r="L172" s="15"/>
      <c r="M172" s="16"/>
      <c r="N172" s="15"/>
    </row>
    <row r="173" spans="1:14" ht="12.75">
      <c r="A173" s="15"/>
      <c r="B173" s="15"/>
      <c r="C173" s="15"/>
      <c r="D173" s="15"/>
      <c r="E173" s="15"/>
      <c r="F173" s="15" t="s">
        <v>995</v>
      </c>
      <c r="G173" s="15"/>
      <c r="H173" s="15"/>
      <c r="I173" s="15"/>
      <c r="J173" s="15"/>
      <c r="K173" s="15"/>
      <c r="L173" s="15"/>
      <c r="M173" s="16"/>
      <c r="N173" s="15"/>
    </row>
    <row r="174" spans="1:14" ht="12.75">
      <c r="A174" s="15"/>
      <c r="B174" s="15"/>
      <c r="C174" s="15"/>
      <c r="D174" s="15"/>
      <c r="E174" s="15"/>
      <c r="F174" s="15"/>
      <c r="G174" s="15" t="s">
        <v>996</v>
      </c>
      <c r="H174" s="15"/>
      <c r="I174" s="15"/>
      <c r="J174" s="15"/>
      <c r="K174" s="15"/>
      <c r="L174" s="15"/>
      <c r="M174" s="16"/>
      <c r="N174" s="15"/>
    </row>
    <row r="175" spans="1:14" ht="12.75">
      <c r="A175" s="15"/>
      <c r="B175" s="15"/>
      <c r="C175" s="15"/>
      <c r="D175" s="15"/>
      <c r="E175" s="15"/>
      <c r="F175" s="15"/>
      <c r="G175" s="15"/>
      <c r="H175" s="15" t="s">
        <v>972</v>
      </c>
      <c r="I175" s="15"/>
      <c r="J175" s="15"/>
      <c r="K175" s="15"/>
      <c r="L175" s="15"/>
      <c r="M175" s="16"/>
      <c r="N175" s="15"/>
    </row>
    <row r="176" spans="1:14" ht="12.75">
      <c r="A176" s="15"/>
      <c r="B176" s="15"/>
      <c r="C176" s="15"/>
      <c r="D176" s="15"/>
      <c r="E176" s="15"/>
      <c r="F176" s="15"/>
      <c r="G176" s="15"/>
      <c r="H176" s="15" t="s">
        <v>973</v>
      </c>
      <c r="I176" s="15"/>
      <c r="J176" s="15"/>
      <c r="K176" s="15"/>
      <c r="L176" s="15"/>
      <c r="M176" s="16"/>
      <c r="N176" s="15"/>
    </row>
    <row r="177" spans="1:13" ht="12.75">
      <c r="A177" s="15"/>
      <c r="B177" s="15"/>
      <c r="C177" s="15"/>
      <c r="D177" s="15"/>
      <c r="E177" s="15"/>
      <c r="F177" s="15"/>
      <c r="G177" s="15"/>
      <c r="H177" s="15" t="s">
        <v>974</v>
      </c>
      <c r="I177" s="15"/>
      <c r="J177" s="15"/>
      <c r="K177" s="15"/>
      <c r="L177" s="15"/>
      <c r="M177" s="16"/>
    </row>
    <row r="178" spans="1:13" ht="12.75">
      <c r="A178" s="15"/>
      <c r="B178" s="15"/>
      <c r="C178" s="15"/>
      <c r="D178" s="15"/>
      <c r="E178" s="15"/>
      <c r="F178" s="15"/>
      <c r="G178" s="15"/>
      <c r="H178" s="15" t="s">
        <v>883</v>
      </c>
      <c r="I178" s="15"/>
      <c r="J178" s="15"/>
      <c r="K178" s="15"/>
      <c r="L178" s="15"/>
      <c r="M178" s="16"/>
    </row>
    <row r="179" spans="1:13" ht="12.75">
      <c r="A179" s="15"/>
      <c r="B179" s="15"/>
      <c r="C179" s="15"/>
      <c r="D179" s="15"/>
      <c r="E179" s="15"/>
      <c r="F179" s="15"/>
      <c r="G179" s="15" t="s">
        <v>848</v>
      </c>
      <c r="H179" s="15"/>
      <c r="I179" s="15"/>
      <c r="J179" s="15"/>
      <c r="K179" s="15"/>
      <c r="L179" s="15"/>
      <c r="M179" s="16"/>
    </row>
    <row r="180" spans="1:13" ht="12.75">
      <c r="A180" s="15"/>
      <c r="B180" s="15"/>
      <c r="C180" s="15"/>
      <c r="D180" s="15"/>
      <c r="E180" s="15"/>
      <c r="F180" s="15" t="s">
        <v>858</v>
      </c>
      <c r="G180" s="15"/>
      <c r="H180" s="15"/>
      <c r="I180" s="15"/>
      <c r="J180" s="15"/>
      <c r="K180" s="15"/>
      <c r="L180" s="15"/>
      <c r="M180" s="16"/>
    </row>
    <row r="181" spans="1:13" ht="12.75">
      <c r="A181" s="15"/>
      <c r="B181" s="15"/>
      <c r="C181" s="15"/>
      <c r="D181" s="15"/>
      <c r="E181" s="15"/>
      <c r="F181" s="15" t="s">
        <v>997</v>
      </c>
      <c r="G181" s="15"/>
      <c r="H181" s="15"/>
      <c r="I181" s="15"/>
      <c r="J181" s="15"/>
      <c r="K181" s="15"/>
      <c r="L181" s="15"/>
      <c r="M181" s="16" t="s">
        <v>998</v>
      </c>
    </row>
    <row r="182" spans="1:13" ht="12.75">
      <c r="A182" s="15"/>
      <c r="B182" s="15"/>
      <c r="C182" s="15"/>
      <c r="D182" s="15"/>
      <c r="E182" s="15"/>
      <c r="F182" s="15"/>
      <c r="G182" s="15" t="s">
        <v>999</v>
      </c>
      <c r="H182" s="15"/>
      <c r="I182" s="15"/>
      <c r="J182" s="15"/>
      <c r="K182" s="15"/>
      <c r="L182" s="15"/>
      <c r="M182" s="16"/>
    </row>
    <row r="183" spans="1:13" ht="12.75">
      <c r="A183" s="15"/>
      <c r="B183" s="15"/>
      <c r="C183" s="15"/>
      <c r="D183" s="15"/>
      <c r="E183" s="15"/>
      <c r="F183" s="15"/>
      <c r="G183" s="15"/>
      <c r="H183" s="15" t="s">
        <v>972</v>
      </c>
      <c r="I183" s="15"/>
      <c r="J183" s="15"/>
      <c r="K183" s="15"/>
      <c r="L183" s="15"/>
      <c r="M183" s="16"/>
    </row>
    <row r="184" spans="1:13" ht="12.75">
      <c r="A184" s="15"/>
      <c r="B184" s="15"/>
      <c r="C184" s="15"/>
      <c r="D184" s="15"/>
      <c r="E184" s="15"/>
      <c r="F184" s="15"/>
      <c r="G184" s="15"/>
      <c r="H184" s="15" t="s">
        <v>973</v>
      </c>
      <c r="I184" s="15"/>
      <c r="J184" s="15"/>
      <c r="K184" s="15"/>
      <c r="L184" s="15"/>
      <c r="M184" s="16"/>
    </row>
    <row r="185" spans="1:13" ht="12.75">
      <c r="A185" s="15"/>
      <c r="B185" s="15"/>
      <c r="C185" s="15"/>
      <c r="D185" s="15"/>
      <c r="E185" s="15"/>
      <c r="F185" s="15"/>
      <c r="G185" s="15"/>
      <c r="H185" s="15" t="s">
        <v>974</v>
      </c>
      <c r="I185" s="15"/>
      <c r="J185" s="15"/>
      <c r="K185" s="15"/>
      <c r="L185" s="15"/>
      <c r="M185" s="16"/>
    </row>
    <row r="186" spans="1:13" ht="12.75">
      <c r="A186" s="15"/>
      <c r="B186" s="15"/>
      <c r="C186" s="15"/>
      <c r="D186" s="15"/>
      <c r="E186" s="15"/>
      <c r="F186" s="15"/>
      <c r="G186" s="15"/>
      <c r="H186" s="15" t="s">
        <v>883</v>
      </c>
      <c r="I186" s="15"/>
      <c r="J186" s="15"/>
      <c r="K186" s="15"/>
      <c r="L186" s="15"/>
      <c r="M186" s="16"/>
    </row>
    <row r="187" spans="1:13" ht="12.75">
      <c r="A187" s="15"/>
      <c r="B187" s="15"/>
      <c r="C187" s="15"/>
      <c r="D187" s="15"/>
      <c r="E187" s="15"/>
      <c r="F187" s="15"/>
      <c r="G187" s="15" t="s">
        <v>848</v>
      </c>
      <c r="H187" s="15"/>
      <c r="I187" s="15"/>
      <c r="J187" s="15"/>
      <c r="K187" s="15"/>
      <c r="L187" s="15"/>
      <c r="M187" s="16"/>
    </row>
    <row r="188" spans="1:13" ht="12.75">
      <c r="A188" s="15"/>
      <c r="B188" s="15"/>
      <c r="C188" s="15"/>
      <c r="D188" s="15"/>
      <c r="E188" s="15"/>
      <c r="F188" s="17"/>
      <c r="G188" s="15" t="s">
        <v>1000</v>
      </c>
      <c r="H188" s="15"/>
      <c r="I188" s="15"/>
      <c r="J188" s="15"/>
      <c r="K188" s="15"/>
      <c r="L188" s="15"/>
      <c r="M188" s="16"/>
    </row>
    <row r="189" spans="1:13" ht="12.75">
      <c r="A189" s="15"/>
      <c r="B189" s="15"/>
      <c r="C189" s="15"/>
      <c r="D189" s="15"/>
      <c r="E189" s="15"/>
      <c r="F189" s="15"/>
      <c r="G189" s="15"/>
      <c r="H189" s="15" t="s">
        <v>972</v>
      </c>
      <c r="I189" s="15"/>
      <c r="J189" s="15"/>
      <c r="K189" s="15"/>
      <c r="L189" s="15"/>
      <c r="M189" s="16"/>
    </row>
    <row r="190" spans="1:13" ht="12.75">
      <c r="A190" s="15"/>
      <c r="B190" s="15"/>
      <c r="C190" s="15"/>
      <c r="D190" s="15"/>
      <c r="E190" s="15"/>
      <c r="F190" s="15"/>
      <c r="G190" s="15"/>
      <c r="H190" s="15" t="s">
        <v>973</v>
      </c>
      <c r="I190" s="15"/>
      <c r="J190" s="15"/>
      <c r="K190" s="15"/>
      <c r="L190" s="15"/>
      <c r="M190" s="16"/>
    </row>
    <row r="191" spans="1:13" ht="12.75">
      <c r="A191" s="15"/>
      <c r="B191" s="15"/>
      <c r="C191" s="15"/>
      <c r="D191" s="15"/>
      <c r="E191" s="15"/>
      <c r="F191" s="15"/>
      <c r="G191" s="15"/>
      <c r="H191" s="15" t="s">
        <v>974</v>
      </c>
      <c r="I191" s="15"/>
      <c r="J191" s="15"/>
      <c r="K191" s="15"/>
      <c r="L191" s="15"/>
      <c r="M191" s="16"/>
    </row>
    <row r="192" spans="1:13" ht="12.75">
      <c r="A192" s="15"/>
      <c r="B192" s="15"/>
      <c r="C192" s="15"/>
      <c r="D192" s="15"/>
      <c r="E192" s="15"/>
      <c r="F192" s="15"/>
      <c r="G192" s="15"/>
      <c r="H192" s="15" t="s">
        <v>883</v>
      </c>
      <c r="I192" s="15"/>
      <c r="J192" s="15"/>
      <c r="K192" s="15"/>
      <c r="L192" s="15"/>
      <c r="M192" s="16"/>
    </row>
    <row r="193" spans="1:13" ht="12.75">
      <c r="A193" s="15"/>
      <c r="B193" s="15"/>
      <c r="C193" s="15"/>
      <c r="D193" s="15"/>
      <c r="E193" s="15"/>
      <c r="F193" s="15"/>
      <c r="G193" s="15" t="s">
        <v>848</v>
      </c>
      <c r="H193" s="15"/>
      <c r="I193" s="15"/>
      <c r="J193" s="15"/>
      <c r="K193" s="15"/>
      <c r="L193" s="15"/>
      <c r="M193" s="16"/>
    </row>
    <row r="194" spans="1:13" ht="12.75">
      <c r="A194" s="15"/>
      <c r="B194" s="15"/>
      <c r="C194" s="15"/>
      <c r="D194" s="15"/>
      <c r="E194" s="15"/>
      <c r="F194" s="15" t="s">
        <v>848</v>
      </c>
      <c r="G194" s="15"/>
      <c r="H194" s="15"/>
      <c r="I194" s="15"/>
      <c r="J194" s="15"/>
      <c r="K194" s="15"/>
      <c r="L194" s="15"/>
      <c r="M194" s="16"/>
    </row>
    <row r="195" spans="1:13" ht="22.5">
      <c r="A195" s="15"/>
      <c r="B195" s="15"/>
      <c r="C195" s="15"/>
      <c r="D195" s="15"/>
      <c r="E195" s="15"/>
      <c r="F195" s="15" t="s">
        <v>1001</v>
      </c>
      <c r="G195" s="15"/>
      <c r="H195" s="15"/>
      <c r="I195" s="15"/>
      <c r="J195" s="15"/>
      <c r="K195" s="15"/>
      <c r="L195" s="15"/>
      <c r="M195" s="16" t="s">
        <v>1002</v>
      </c>
    </row>
    <row r="196" spans="1:13" ht="12.75">
      <c r="A196" s="15"/>
      <c r="B196" s="15"/>
      <c r="C196" s="15"/>
      <c r="D196" s="15"/>
      <c r="E196" s="15"/>
      <c r="F196" s="15"/>
      <c r="G196" s="15" t="s">
        <v>972</v>
      </c>
      <c r="H196" s="15"/>
      <c r="I196" s="15"/>
      <c r="J196" s="15"/>
      <c r="K196" s="15"/>
      <c r="L196" s="15"/>
      <c r="M196" s="16"/>
    </row>
    <row r="197" spans="1:13" ht="12.75">
      <c r="A197" s="15"/>
      <c r="B197" s="15"/>
      <c r="C197" s="15"/>
      <c r="D197" s="15"/>
      <c r="E197" s="15"/>
      <c r="F197" s="15"/>
      <c r="G197" s="15" t="s">
        <v>973</v>
      </c>
      <c r="H197" s="15"/>
      <c r="I197" s="15"/>
      <c r="J197" s="15"/>
      <c r="K197" s="15"/>
      <c r="L197" s="15"/>
      <c r="M197" s="16"/>
    </row>
    <row r="198" spans="1:13" ht="12.75">
      <c r="A198" s="15"/>
      <c r="B198" s="15"/>
      <c r="C198" s="15"/>
      <c r="D198" s="15"/>
      <c r="E198" s="15"/>
      <c r="F198" s="15"/>
      <c r="G198" s="15" t="s">
        <v>974</v>
      </c>
      <c r="H198" s="15"/>
      <c r="I198" s="15"/>
      <c r="J198" s="15"/>
      <c r="K198" s="15"/>
      <c r="L198" s="15"/>
      <c r="M198" s="16"/>
    </row>
    <row r="199" spans="1:13" ht="12.75">
      <c r="A199" s="15"/>
      <c r="B199" s="15"/>
      <c r="C199" s="15"/>
      <c r="D199" s="15"/>
      <c r="E199" s="15"/>
      <c r="F199" s="15"/>
      <c r="G199" s="15" t="s">
        <v>883</v>
      </c>
      <c r="H199" s="15"/>
      <c r="I199" s="15"/>
      <c r="J199" s="15"/>
      <c r="K199" s="15"/>
      <c r="L199" s="15"/>
      <c r="M199" s="16"/>
    </row>
    <row r="200" spans="1:13" ht="12.75">
      <c r="A200" s="15"/>
      <c r="B200" s="15"/>
      <c r="C200" s="15"/>
      <c r="D200" s="15"/>
      <c r="E200" s="15"/>
      <c r="F200" s="15" t="s">
        <v>848</v>
      </c>
      <c r="G200" s="15"/>
      <c r="H200" s="15"/>
      <c r="I200" s="15"/>
      <c r="J200" s="15"/>
      <c r="K200" s="15"/>
      <c r="L200" s="15"/>
      <c r="M200" s="16"/>
    </row>
    <row r="201" spans="1:13" ht="22.5">
      <c r="A201" s="15"/>
      <c r="B201" s="15"/>
      <c r="C201" s="15"/>
      <c r="D201" s="15"/>
      <c r="E201" s="15"/>
      <c r="F201" s="15" t="s">
        <v>1003</v>
      </c>
      <c r="G201" s="15"/>
      <c r="H201" s="15"/>
      <c r="I201" s="15"/>
      <c r="J201" s="15"/>
      <c r="K201" s="15"/>
      <c r="L201" s="15"/>
      <c r="M201" s="16" t="s">
        <v>1004</v>
      </c>
    </row>
    <row r="202" spans="1:13" ht="12.75">
      <c r="A202" s="15"/>
      <c r="B202" s="15"/>
      <c r="C202" s="15"/>
      <c r="D202" s="15"/>
      <c r="E202" s="15"/>
      <c r="F202" s="15"/>
      <c r="G202" s="15" t="s">
        <v>972</v>
      </c>
      <c r="H202" s="15"/>
      <c r="I202" s="15"/>
      <c r="J202" s="15"/>
      <c r="K202" s="15"/>
      <c r="L202" s="15"/>
      <c r="M202" s="16"/>
    </row>
    <row r="203" spans="1:13" ht="12.75">
      <c r="A203" s="15"/>
      <c r="B203" s="15"/>
      <c r="C203" s="15"/>
      <c r="D203" s="15"/>
      <c r="E203" s="15"/>
      <c r="F203" s="15"/>
      <c r="G203" s="15" t="s">
        <v>973</v>
      </c>
      <c r="H203" s="15"/>
      <c r="I203" s="15"/>
      <c r="J203" s="15"/>
      <c r="K203" s="15"/>
      <c r="L203" s="15"/>
      <c r="M203" s="16"/>
    </row>
    <row r="204" spans="1:13" ht="12.75">
      <c r="A204" s="15"/>
      <c r="B204" s="15"/>
      <c r="C204" s="15"/>
      <c r="D204" s="15"/>
      <c r="E204" s="15"/>
      <c r="F204" s="15"/>
      <c r="G204" s="15" t="s">
        <v>974</v>
      </c>
      <c r="H204" s="15"/>
      <c r="I204" s="15"/>
      <c r="J204" s="15"/>
      <c r="K204" s="15"/>
      <c r="L204" s="15"/>
      <c r="M204" s="16"/>
    </row>
    <row r="205" spans="1:13" ht="12.75">
      <c r="A205" s="15"/>
      <c r="B205" s="15"/>
      <c r="C205" s="15"/>
      <c r="D205" s="15"/>
      <c r="E205" s="15"/>
      <c r="F205" s="15"/>
      <c r="G205" s="15" t="s">
        <v>883</v>
      </c>
      <c r="H205" s="15"/>
      <c r="I205" s="15"/>
      <c r="J205" s="15"/>
      <c r="K205" s="15"/>
      <c r="L205" s="15"/>
      <c r="M205" s="16"/>
    </row>
    <row r="206" spans="1:13" ht="12.75">
      <c r="A206" s="15"/>
      <c r="B206" s="15"/>
      <c r="C206" s="15"/>
      <c r="D206" s="15"/>
      <c r="E206" s="15"/>
      <c r="F206" s="15" t="s">
        <v>848</v>
      </c>
      <c r="G206" s="15"/>
      <c r="H206" s="15"/>
      <c r="I206" s="15"/>
      <c r="J206" s="15"/>
      <c r="K206" s="15"/>
      <c r="L206" s="15"/>
      <c r="M206" s="16"/>
    </row>
    <row r="207" spans="1:13" ht="12.75">
      <c r="A207" s="15"/>
      <c r="B207" s="15"/>
      <c r="C207" s="15"/>
      <c r="D207" s="15"/>
      <c r="E207" s="15" t="s">
        <v>858</v>
      </c>
      <c r="F207" s="15"/>
      <c r="G207" s="15"/>
      <c r="H207" s="15"/>
      <c r="I207" s="15"/>
      <c r="J207" s="15"/>
      <c r="K207" s="15"/>
      <c r="L207" s="15"/>
      <c r="M207" s="16"/>
    </row>
    <row r="208" spans="1:13" ht="22.5">
      <c r="A208" s="15"/>
      <c r="B208" s="15"/>
      <c r="C208" s="15"/>
      <c r="D208" s="15"/>
      <c r="E208" s="15" t="s">
        <v>1005</v>
      </c>
      <c r="F208" s="15"/>
      <c r="G208" s="15"/>
      <c r="H208" s="15"/>
      <c r="I208" s="15"/>
      <c r="J208" s="15"/>
      <c r="K208" s="15"/>
      <c r="L208" s="15"/>
      <c r="M208" s="16" t="s">
        <v>1006</v>
      </c>
    </row>
    <row r="209" spans="1:14" ht="22.5">
      <c r="A209" s="15"/>
      <c r="B209" s="15"/>
      <c r="C209" s="15"/>
      <c r="D209" s="15"/>
      <c r="E209" s="15"/>
      <c r="F209" s="15" t="s">
        <v>956</v>
      </c>
      <c r="G209" s="15"/>
      <c r="H209" s="15"/>
      <c r="I209" s="15"/>
      <c r="J209" s="15"/>
      <c r="K209" s="15"/>
      <c r="L209" s="15"/>
      <c r="M209" s="16" t="s">
        <v>1007</v>
      </c>
      <c r="N209" s="15"/>
    </row>
    <row r="210" spans="1:14" ht="12.75">
      <c r="A210" s="15"/>
      <c r="B210" s="15"/>
      <c r="C210" s="15"/>
      <c r="D210" s="15"/>
      <c r="E210" s="15" t="s">
        <v>858</v>
      </c>
      <c r="F210" s="15"/>
      <c r="G210" s="15"/>
      <c r="H210" s="15"/>
      <c r="I210" s="15"/>
      <c r="J210" s="15"/>
      <c r="K210" s="15"/>
      <c r="L210" s="15"/>
      <c r="M210" s="16"/>
      <c r="N210" s="15"/>
    </row>
    <row r="211" spans="1:14" ht="33.75">
      <c r="A211" s="15"/>
      <c r="B211" s="15"/>
      <c r="C211" s="15"/>
      <c r="D211" s="15"/>
      <c r="E211" s="15" t="s">
        <v>1008</v>
      </c>
      <c r="F211" s="15"/>
      <c r="G211" s="15"/>
      <c r="H211" s="15"/>
      <c r="I211" s="15"/>
      <c r="J211" s="15"/>
      <c r="K211" s="15"/>
      <c r="L211" s="15"/>
      <c r="M211" s="16" t="s">
        <v>1009</v>
      </c>
      <c r="N211" s="15"/>
    </row>
    <row r="212" spans="1:14" ht="22.5">
      <c r="A212" s="15"/>
      <c r="B212" s="15"/>
      <c r="C212" s="15"/>
      <c r="D212" s="15"/>
      <c r="E212" s="15"/>
      <c r="F212" s="15" t="s">
        <v>838</v>
      </c>
      <c r="G212" s="15"/>
      <c r="H212" s="15"/>
      <c r="I212" s="15"/>
      <c r="J212" s="15"/>
      <c r="K212" s="15"/>
      <c r="L212" s="15"/>
      <c r="M212" s="16" t="s">
        <v>1010</v>
      </c>
      <c r="N212" s="15"/>
    </row>
    <row r="213" spans="1:14" ht="12.75">
      <c r="A213" s="15"/>
      <c r="B213" s="15"/>
      <c r="C213" s="15"/>
      <c r="D213" s="15"/>
      <c r="E213" s="15"/>
      <c r="F213" s="15"/>
      <c r="G213" s="15" t="s">
        <v>839</v>
      </c>
      <c r="H213" s="15"/>
      <c r="I213" s="15"/>
      <c r="J213" s="15"/>
      <c r="K213" s="15"/>
      <c r="L213" s="15"/>
      <c r="M213" s="16" t="s">
        <v>1011</v>
      </c>
      <c r="N213" s="18" t="s">
        <v>1012</v>
      </c>
    </row>
    <row r="214" spans="1:14" ht="12.75">
      <c r="A214" s="15"/>
      <c r="B214" s="15"/>
      <c r="C214" s="15"/>
      <c r="D214" s="15"/>
      <c r="E214" s="15"/>
      <c r="F214" s="15"/>
      <c r="G214" s="15" t="s">
        <v>852</v>
      </c>
      <c r="H214" s="15"/>
      <c r="I214" s="15"/>
      <c r="J214" s="15"/>
      <c r="K214" s="15"/>
      <c r="L214" s="15"/>
      <c r="M214" s="16"/>
      <c r="N214" s="15"/>
    </row>
    <row r="215" spans="1:14" ht="12.75">
      <c r="A215" s="15"/>
      <c r="B215" s="15"/>
      <c r="C215" s="15"/>
      <c r="D215" s="15"/>
      <c r="E215" s="15"/>
      <c r="F215" s="15"/>
      <c r="G215" s="15"/>
      <c r="H215" s="15" t="s">
        <v>823</v>
      </c>
      <c r="I215" s="15"/>
      <c r="J215" s="15"/>
      <c r="K215" s="15"/>
      <c r="L215" s="15"/>
      <c r="M215" s="16" t="s">
        <v>1013</v>
      </c>
      <c r="N215" s="18" t="s">
        <v>1014</v>
      </c>
    </row>
    <row r="216" spans="1:14" ht="78.75">
      <c r="A216" s="15"/>
      <c r="B216" s="15"/>
      <c r="C216" s="15"/>
      <c r="D216" s="15"/>
      <c r="E216" s="15"/>
      <c r="F216" s="15"/>
      <c r="G216" s="17"/>
      <c r="H216" s="15" t="s">
        <v>855</v>
      </c>
      <c r="I216" s="15"/>
      <c r="J216" s="15"/>
      <c r="K216" s="15"/>
      <c r="L216" s="15"/>
      <c r="M216" s="16" t="s">
        <v>1015</v>
      </c>
      <c r="N216" s="15" t="s">
        <v>1016</v>
      </c>
    </row>
    <row r="217" spans="1:14" ht="12.75">
      <c r="A217" s="15"/>
      <c r="B217" s="15"/>
      <c r="C217" s="15"/>
      <c r="D217" s="15"/>
      <c r="E217" s="15"/>
      <c r="F217" s="15"/>
      <c r="G217" s="15" t="s">
        <v>848</v>
      </c>
      <c r="H217" s="15"/>
      <c r="I217" s="15"/>
      <c r="J217" s="15"/>
      <c r="K217" s="15"/>
      <c r="L217" s="15"/>
      <c r="M217" s="16"/>
      <c r="N217" s="15"/>
    </row>
    <row r="218" spans="1:14" ht="12.75">
      <c r="A218" s="15"/>
      <c r="B218" s="15"/>
      <c r="C218" s="15"/>
      <c r="D218" s="15"/>
      <c r="E218" s="15"/>
      <c r="F218" s="15" t="s">
        <v>858</v>
      </c>
      <c r="G218" s="15"/>
      <c r="H218" s="15"/>
      <c r="I218" s="15"/>
      <c r="J218" s="15"/>
      <c r="K218" s="15"/>
      <c r="L218" s="15"/>
      <c r="M218" s="16"/>
      <c r="N218" s="15"/>
    </row>
    <row r="219" spans="1:14" ht="56.25">
      <c r="A219" s="15"/>
      <c r="B219" s="15"/>
      <c r="C219" s="15"/>
      <c r="D219" s="15"/>
      <c r="E219" s="15"/>
      <c r="F219" s="15" t="s">
        <v>1017</v>
      </c>
      <c r="G219" s="15"/>
      <c r="H219" s="15"/>
      <c r="I219" s="15"/>
      <c r="J219" s="15"/>
      <c r="K219" s="15"/>
      <c r="L219" s="15"/>
      <c r="M219" s="16" t="s">
        <v>1018</v>
      </c>
      <c r="N219" s="15"/>
    </row>
    <row r="220" spans="1:14" ht="12.75">
      <c r="A220" s="15"/>
      <c r="B220" s="15"/>
      <c r="C220" s="15"/>
      <c r="D220" s="15"/>
      <c r="E220" s="15"/>
      <c r="F220" s="15" t="s">
        <v>1019</v>
      </c>
      <c r="G220" s="15"/>
      <c r="H220" s="15"/>
      <c r="I220" s="15"/>
      <c r="J220" s="15"/>
      <c r="K220" s="15"/>
      <c r="L220" s="15"/>
      <c r="M220" s="16" t="s">
        <v>1020</v>
      </c>
      <c r="N220" s="15"/>
    </row>
    <row r="221" spans="1:14" ht="12.75">
      <c r="A221" s="15"/>
      <c r="B221" s="15"/>
      <c r="C221" s="15"/>
      <c r="D221" s="15"/>
      <c r="E221" s="15"/>
      <c r="F221" s="15"/>
      <c r="G221" s="15" t="s">
        <v>1021</v>
      </c>
      <c r="H221" s="15"/>
      <c r="I221" s="15"/>
      <c r="J221" s="15"/>
      <c r="K221" s="15"/>
      <c r="L221" s="15"/>
      <c r="M221" s="16" t="s">
        <v>1022</v>
      </c>
      <c r="N221" s="15"/>
    </row>
    <row r="222" spans="1:14" ht="22.5">
      <c r="A222" s="15"/>
      <c r="B222" s="15"/>
      <c r="C222" s="15"/>
      <c r="D222" s="15"/>
      <c r="E222" s="15"/>
      <c r="F222" s="15"/>
      <c r="G222" s="15" t="s">
        <v>1023</v>
      </c>
      <c r="H222" s="15"/>
      <c r="I222" s="15"/>
      <c r="J222" s="15"/>
      <c r="K222" s="15"/>
      <c r="L222" s="15"/>
      <c r="M222" s="16" t="s">
        <v>1024</v>
      </c>
      <c r="N222" s="15"/>
    </row>
    <row r="223" spans="1:14" ht="12.75">
      <c r="A223" s="15"/>
      <c r="B223" s="15"/>
      <c r="C223" s="15"/>
      <c r="D223" s="15"/>
      <c r="E223" s="15"/>
      <c r="F223" s="15" t="s">
        <v>848</v>
      </c>
      <c r="G223" s="15"/>
      <c r="H223" s="15"/>
      <c r="I223" s="15"/>
      <c r="J223" s="15"/>
      <c r="K223" s="15"/>
      <c r="L223" s="15"/>
      <c r="M223" s="16"/>
      <c r="N223" s="15"/>
    </row>
    <row r="224" spans="1:14" ht="33.75">
      <c r="A224" s="15"/>
      <c r="B224" s="15"/>
      <c r="C224" s="15"/>
      <c r="D224" s="15"/>
      <c r="E224" s="15"/>
      <c r="F224" s="15" t="s">
        <v>1025</v>
      </c>
      <c r="G224" s="15"/>
      <c r="H224" s="15"/>
      <c r="I224" s="15"/>
      <c r="J224" s="15"/>
      <c r="K224" s="15"/>
      <c r="L224" s="15"/>
      <c r="M224" s="16" t="s">
        <v>1026</v>
      </c>
      <c r="N224" s="15"/>
    </row>
    <row r="225" spans="1:14" ht="22.5">
      <c r="A225" s="15"/>
      <c r="B225" s="15"/>
      <c r="C225" s="15"/>
      <c r="D225" s="15"/>
      <c r="E225" s="15"/>
      <c r="F225" s="15"/>
      <c r="G225" s="15" t="s">
        <v>972</v>
      </c>
      <c r="H225" s="15"/>
      <c r="I225" s="15"/>
      <c r="J225" s="15"/>
      <c r="K225" s="15"/>
      <c r="L225" s="15"/>
      <c r="M225" s="16" t="s">
        <v>1027</v>
      </c>
      <c r="N225" s="15"/>
    </row>
    <row r="226" spans="1:14" ht="12.75">
      <c r="A226" s="15"/>
      <c r="B226" s="15"/>
      <c r="C226" s="15"/>
      <c r="D226" s="15"/>
      <c r="E226" s="15"/>
      <c r="F226" s="15"/>
      <c r="G226" s="15" t="s">
        <v>973</v>
      </c>
      <c r="H226" s="15"/>
      <c r="I226" s="15"/>
      <c r="J226" s="15"/>
      <c r="K226" s="15"/>
      <c r="L226" s="15"/>
      <c r="M226" s="16" t="s">
        <v>1028</v>
      </c>
      <c r="N226" s="15" t="s">
        <v>1029</v>
      </c>
    </row>
    <row r="227" spans="1:14" ht="12.75">
      <c r="A227" s="15"/>
      <c r="B227" s="15"/>
      <c r="C227" s="15"/>
      <c r="D227" s="15"/>
      <c r="E227" s="15"/>
      <c r="F227" s="15"/>
      <c r="G227" s="15" t="s">
        <v>823</v>
      </c>
      <c r="H227" s="15"/>
      <c r="I227" s="15"/>
      <c r="J227" s="15"/>
      <c r="K227" s="15"/>
      <c r="L227" s="15"/>
      <c r="M227" s="16" t="s">
        <v>1030</v>
      </c>
      <c r="N227" s="18" t="s">
        <v>1031</v>
      </c>
    </row>
    <row r="228" spans="1:14" ht="12.75">
      <c r="A228" s="15"/>
      <c r="B228" s="15"/>
      <c r="C228" s="15"/>
      <c r="D228" s="15"/>
      <c r="E228" s="15"/>
      <c r="F228" s="15"/>
      <c r="G228" s="15" t="s">
        <v>883</v>
      </c>
      <c r="H228" s="15"/>
      <c r="I228" s="15"/>
      <c r="J228" s="15"/>
      <c r="K228" s="15"/>
      <c r="L228" s="15"/>
      <c r="M228" s="16" t="s">
        <v>1032</v>
      </c>
      <c r="N228" s="15" t="s">
        <v>1033</v>
      </c>
    </row>
    <row r="229" spans="1:14" ht="12.75">
      <c r="A229" s="15"/>
      <c r="B229" s="15"/>
      <c r="C229" s="15"/>
      <c r="D229" s="15"/>
      <c r="E229" s="15"/>
      <c r="F229" s="15" t="s">
        <v>848</v>
      </c>
      <c r="G229" s="15"/>
      <c r="H229" s="15"/>
      <c r="I229" s="15"/>
      <c r="J229" s="15"/>
      <c r="K229" s="15"/>
      <c r="L229" s="15"/>
      <c r="M229" s="16"/>
      <c r="N229" s="15"/>
    </row>
    <row r="230" spans="1:14" ht="22.5">
      <c r="A230" s="15"/>
      <c r="B230" s="15"/>
      <c r="C230" s="15"/>
      <c r="D230" s="15"/>
      <c r="E230" s="15"/>
      <c r="F230" s="15" t="s">
        <v>1034</v>
      </c>
      <c r="G230" s="15"/>
      <c r="H230" s="15"/>
      <c r="I230" s="15"/>
      <c r="J230" s="15"/>
      <c r="K230" s="15"/>
      <c r="L230" s="15"/>
      <c r="M230" s="16" t="s">
        <v>1035</v>
      </c>
      <c r="N230" s="15"/>
    </row>
    <row r="231" spans="1:14" ht="12.75">
      <c r="A231" s="15"/>
      <c r="B231" s="15"/>
      <c r="C231" s="15"/>
      <c r="D231" s="15"/>
      <c r="E231" s="15"/>
      <c r="F231" s="15"/>
      <c r="G231" s="15" t="s">
        <v>1036</v>
      </c>
      <c r="H231" s="17"/>
      <c r="I231" s="15"/>
      <c r="J231" s="15"/>
      <c r="K231" s="15"/>
      <c r="L231" s="15"/>
      <c r="M231" s="16"/>
      <c r="N231" s="15"/>
    </row>
    <row r="232" spans="1:14" ht="12.75">
      <c r="A232" s="15"/>
      <c r="B232" s="15"/>
      <c r="C232" s="15"/>
      <c r="D232" s="15"/>
      <c r="E232" s="15"/>
      <c r="F232" s="15"/>
      <c r="G232" s="15"/>
      <c r="H232" s="15" t="s">
        <v>890</v>
      </c>
      <c r="I232" s="15"/>
      <c r="J232" s="15"/>
      <c r="K232" s="15"/>
      <c r="L232" s="15"/>
      <c r="M232" s="16" t="s">
        <v>1037</v>
      </c>
      <c r="N232" s="18" t="s">
        <v>1038</v>
      </c>
    </row>
    <row r="233" spans="1:14" ht="12.75">
      <c r="A233" s="15"/>
      <c r="B233" s="15"/>
      <c r="C233" s="15"/>
      <c r="D233" s="15"/>
      <c r="E233" s="15"/>
      <c r="F233" s="15"/>
      <c r="G233" s="15"/>
      <c r="H233" s="15" t="s">
        <v>900</v>
      </c>
      <c r="I233" s="15"/>
      <c r="J233" s="15"/>
      <c r="K233" s="15"/>
      <c r="L233" s="15"/>
      <c r="M233" s="20" t="s">
        <v>1039</v>
      </c>
      <c r="N233" s="15"/>
    </row>
    <row r="234" spans="1:14" ht="12.75">
      <c r="A234" s="15"/>
      <c r="B234" s="15"/>
      <c r="C234" s="15"/>
      <c r="D234" s="15"/>
      <c r="E234" s="15"/>
      <c r="F234" s="15"/>
      <c r="G234" s="15" t="s">
        <v>848</v>
      </c>
      <c r="H234" s="15"/>
      <c r="I234" s="15"/>
      <c r="J234" s="15"/>
      <c r="K234" s="15"/>
      <c r="L234" s="15"/>
      <c r="M234" s="16" t="s">
        <v>1040</v>
      </c>
      <c r="N234" s="15"/>
    </row>
    <row r="235" spans="1:14" ht="12.75">
      <c r="A235" s="15"/>
      <c r="B235" s="15"/>
      <c r="C235" s="15"/>
      <c r="D235" s="15"/>
      <c r="E235" s="15"/>
      <c r="F235" s="15" t="s">
        <v>848</v>
      </c>
      <c r="G235" s="15"/>
      <c r="H235" s="15"/>
      <c r="I235" s="15"/>
      <c r="J235" s="15"/>
      <c r="K235" s="15"/>
      <c r="L235" s="15"/>
      <c r="M235" s="16"/>
      <c r="N235" s="15"/>
    </row>
    <row r="236" spans="1:14" ht="12.75">
      <c r="A236" s="15"/>
      <c r="B236" s="15"/>
      <c r="C236" s="15"/>
      <c r="D236" s="15"/>
      <c r="E236" s="15"/>
      <c r="F236" s="15" t="s">
        <v>1041</v>
      </c>
      <c r="G236" s="15"/>
      <c r="H236" s="15"/>
      <c r="I236" s="15"/>
      <c r="J236" s="15"/>
      <c r="K236" s="15"/>
      <c r="L236" s="15"/>
      <c r="M236" s="16" t="s">
        <v>1042</v>
      </c>
      <c r="N236" s="15"/>
    </row>
    <row r="237" spans="1:14" ht="12.75">
      <c r="A237" s="15"/>
      <c r="B237" s="15"/>
      <c r="C237" s="15"/>
      <c r="D237" s="15"/>
      <c r="E237" s="15"/>
      <c r="F237" s="15"/>
      <c r="G237" s="15" t="s">
        <v>972</v>
      </c>
      <c r="H237" s="15"/>
      <c r="I237" s="15"/>
      <c r="J237" s="15"/>
      <c r="K237" s="15"/>
      <c r="L237" s="15"/>
      <c r="M237" s="16" t="s">
        <v>1043</v>
      </c>
      <c r="N237" s="15"/>
    </row>
    <row r="238" spans="1:14" ht="22.5">
      <c r="A238" s="15"/>
      <c r="B238" s="15"/>
      <c r="C238" s="15"/>
      <c r="D238" s="15"/>
      <c r="E238" s="15"/>
      <c r="F238" s="15"/>
      <c r="G238" s="15" t="s">
        <v>973</v>
      </c>
      <c r="H238" s="15"/>
      <c r="I238" s="15"/>
      <c r="J238" s="15"/>
      <c r="K238" s="15"/>
      <c r="L238" s="15"/>
      <c r="M238" s="16" t="s">
        <v>1044</v>
      </c>
      <c r="N238" s="15"/>
    </row>
    <row r="239" spans="1:14" ht="12.75">
      <c r="A239" s="15"/>
      <c r="B239" s="15"/>
      <c r="C239" s="15"/>
      <c r="D239" s="15"/>
      <c r="E239" s="15"/>
      <c r="F239" s="15"/>
      <c r="G239" s="15" t="s">
        <v>823</v>
      </c>
      <c r="H239" s="15"/>
      <c r="I239" s="15"/>
      <c r="J239" s="15"/>
      <c r="K239" s="15"/>
      <c r="L239" s="15"/>
      <c r="M239" s="16" t="s">
        <v>919</v>
      </c>
      <c r="N239" s="18" t="s">
        <v>1045</v>
      </c>
    </row>
    <row r="240" spans="1:14" ht="12.75">
      <c r="A240" s="15"/>
      <c r="B240" s="15"/>
      <c r="C240" s="15"/>
      <c r="D240" s="15"/>
      <c r="E240" s="15"/>
      <c r="F240" s="15"/>
      <c r="G240" s="15" t="s">
        <v>883</v>
      </c>
      <c r="H240" s="15"/>
      <c r="I240" s="15"/>
      <c r="J240" s="15"/>
      <c r="K240" s="15"/>
      <c r="L240" s="15"/>
      <c r="M240" s="16" t="s">
        <v>1046</v>
      </c>
      <c r="N240" s="15"/>
    </row>
    <row r="241" spans="1:14" ht="12.75">
      <c r="A241" s="15"/>
      <c r="B241" s="15"/>
      <c r="C241" s="15"/>
      <c r="D241" s="15"/>
      <c r="E241" s="15"/>
      <c r="F241" s="15" t="s">
        <v>848</v>
      </c>
      <c r="G241" s="15"/>
      <c r="H241" s="15"/>
      <c r="I241" s="15"/>
      <c r="J241" s="15"/>
      <c r="K241" s="15"/>
      <c r="L241" s="15"/>
      <c r="M241" s="16"/>
      <c r="N241" s="15"/>
    </row>
    <row r="242" spans="1:14" ht="12.75">
      <c r="A242" s="15"/>
      <c r="B242" s="15"/>
      <c r="C242" s="15"/>
      <c r="D242" s="15"/>
      <c r="E242" s="15" t="s">
        <v>848</v>
      </c>
      <c r="F242" s="15"/>
      <c r="G242" s="15"/>
      <c r="H242" s="15"/>
      <c r="I242" s="15"/>
      <c r="J242" s="15"/>
      <c r="K242" s="15"/>
      <c r="L242" s="15"/>
      <c r="M242" s="16"/>
      <c r="N242" s="15"/>
    </row>
    <row r="243" spans="1:14" ht="22.5">
      <c r="A243" s="15"/>
      <c r="B243" s="15"/>
      <c r="C243" s="15"/>
      <c r="D243" s="15"/>
      <c r="E243" s="15" t="s">
        <v>1047</v>
      </c>
      <c r="F243" s="15"/>
      <c r="G243" s="15"/>
      <c r="H243" s="15"/>
      <c r="I243" s="15"/>
      <c r="J243" s="15"/>
      <c r="K243" s="15"/>
      <c r="L243" s="15"/>
      <c r="M243" s="16" t="s">
        <v>1048</v>
      </c>
      <c r="N243" s="15"/>
    </row>
    <row r="244" spans="1:14" ht="12.75">
      <c r="A244" s="15"/>
      <c r="B244" s="15"/>
      <c r="C244" s="15"/>
      <c r="D244" s="15"/>
      <c r="E244" s="15"/>
      <c r="F244" s="15" t="s">
        <v>1049</v>
      </c>
      <c r="G244" s="15"/>
      <c r="H244" s="15"/>
      <c r="I244" s="15"/>
      <c r="J244" s="15"/>
      <c r="K244" s="15"/>
      <c r="L244" s="15"/>
      <c r="M244" s="16"/>
      <c r="N244" s="15" t="s">
        <v>1050</v>
      </c>
    </row>
    <row r="245" spans="1:14" ht="12.75">
      <c r="A245" s="15"/>
      <c r="B245" s="15"/>
      <c r="C245" s="15"/>
      <c r="D245" s="15"/>
      <c r="E245" s="15" t="s">
        <v>848</v>
      </c>
      <c r="F245" s="15"/>
      <c r="G245" s="15"/>
      <c r="H245" s="15"/>
      <c r="I245" s="15"/>
      <c r="J245" s="15"/>
      <c r="K245" s="15"/>
      <c r="L245" s="15"/>
      <c r="M245" s="16"/>
      <c r="N245" s="15"/>
    </row>
    <row r="246" spans="1:14" ht="12.75">
      <c r="A246" s="15"/>
      <c r="B246" s="15"/>
      <c r="C246" s="15"/>
      <c r="D246" s="15" t="s">
        <v>848</v>
      </c>
      <c r="E246" s="15"/>
      <c r="F246" s="15"/>
      <c r="G246" s="15"/>
      <c r="H246" s="15"/>
      <c r="I246" s="15"/>
      <c r="J246" s="15"/>
      <c r="K246" s="15"/>
      <c r="L246" s="15"/>
      <c r="M246" s="16"/>
      <c r="N246" s="15"/>
    </row>
    <row r="247" spans="1:14" ht="12.75">
      <c r="A247" s="15"/>
      <c r="B247" s="15"/>
      <c r="C247" s="15" t="s">
        <v>848</v>
      </c>
      <c r="D247" s="15"/>
      <c r="E247" s="15"/>
      <c r="F247" s="15"/>
      <c r="G247" s="15"/>
      <c r="H247" s="15"/>
      <c r="I247" s="15"/>
      <c r="J247" s="15"/>
      <c r="K247" s="15"/>
      <c r="L247" s="15"/>
      <c r="M247" s="16"/>
      <c r="N247" s="15"/>
    </row>
    <row r="248" spans="1:14" ht="12.75">
      <c r="A248" s="15" t="s">
        <v>1051</v>
      </c>
      <c r="B248" s="15"/>
      <c r="C248" s="15" t="s">
        <v>815</v>
      </c>
      <c r="D248" s="15"/>
      <c r="E248" s="15"/>
      <c r="F248" s="15"/>
      <c r="G248" s="15"/>
      <c r="H248" s="15"/>
      <c r="I248" s="15"/>
      <c r="J248" s="15"/>
      <c r="K248" s="15"/>
      <c r="L248" s="15"/>
      <c r="M248" s="16" t="s">
        <v>622</v>
      </c>
      <c r="N248" s="15"/>
    </row>
    <row r="249" spans="1:14" ht="12.75">
      <c r="A249" s="15"/>
      <c r="B249" s="15"/>
      <c r="C249" s="15"/>
      <c r="D249" s="15" t="s">
        <v>833</v>
      </c>
      <c r="E249" s="15"/>
      <c r="F249" s="15"/>
      <c r="G249" s="15"/>
      <c r="H249" s="15"/>
      <c r="I249" s="15"/>
      <c r="J249" s="15"/>
      <c r="K249" s="15"/>
      <c r="L249" s="15"/>
      <c r="M249" s="16" t="s">
        <v>834</v>
      </c>
      <c r="N249" s="15"/>
    </row>
    <row r="250" spans="1:14" ht="12.75">
      <c r="A250" s="15"/>
      <c r="B250" s="15"/>
      <c r="C250" s="15"/>
      <c r="D250" s="15" t="s">
        <v>835</v>
      </c>
      <c r="E250" s="15"/>
      <c r="F250" s="15"/>
      <c r="G250" s="15"/>
      <c r="H250" s="15"/>
      <c r="I250" s="15"/>
      <c r="J250" s="15"/>
      <c r="M250" s="16" t="s">
        <v>1052</v>
      </c>
      <c r="N250" s="15"/>
    </row>
    <row r="251" spans="1:14" ht="12.75">
      <c r="A251" s="15"/>
      <c r="B251" s="15"/>
      <c r="C251" s="15"/>
      <c r="D251" s="15"/>
      <c r="E251" s="15" t="s">
        <v>816</v>
      </c>
      <c r="F251" s="15"/>
      <c r="G251" s="15"/>
      <c r="H251" s="15"/>
      <c r="I251" s="15"/>
      <c r="J251" s="15"/>
      <c r="M251" s="16" t="s">
        <v>817</v>
      </c>
      <c r="N251" s="15" t="s">
        <v>1053</v>
      </c>
    </row>
    <row r="252" spans="1:14" ht="12.75">
      <c r="A252" s="15"/>
      <c r="B252" s="15"/>
      <c r="C252" s="15"/>
      <c r="D252" s="15"/>
      <c r="E252" s="15" t="s">
        <v>896</v>
      </c>
      <c r="F252" s="15"/>
      <c r="G252" s="15"/>
      <c r="H252" s="15"/>
      <c r="I252" s="15"/>
      <c r="J252" s="15"/>
      <c r="M252" s="16" t="s">
        <v>1054</v>
      </c>
      <c r="N252" s="15"/>
    </row>
    <row r="253" spans="1:14" ht="12.75">
      <c r="A253" s="15"/>
      <c r="B253" s="15"/>
      <c r="C253" s="15"/>
      <c r="D253" s="15"/>
      <c r="E253" s="15"/>
      <c r="F253" s="15" t="s">
        <v>890</v>
      </c>
      <c r="G253" s="15"/>
      <c r="H253" s="15"/>
      <c r="I253" s="15"/>
      <c r="J253" s="15"/>
      <c r="M253" s="16" t="s">
        <v>1055</v>
      </c>
      <c r="N253" s="18" t="s">
        <v>1056</v>
      </c>
    </row>
    <row r="254" spans="1:14" ht="33.75">
      <c r="A254" s="15"/>
      <c r="B254" s="15"/>
      <c r="C254" s="15"/>
      <c r="D254" s="15"/>
      <c r="E254" s="15"/>
      <c r="F254" s="15" t="s">
        <v>900</v>
      </c>
      <c r="G254" s="15"/>
      <c r="H254" s="15"/>
      <c r="I254" s="15"/>
      <c r="J254" s="15"/>
      <c r="M254" s="16" t="s">
        <v>1057</v>
      </c>
      <c r="N254" s="21" t="s">
        <v>1058</v>
      </c>
    </row>
    <row r="255" spans="1:14" ht="12.75">
      <c r="A255" s="15"/>
      <c r="B255" s="15"/>
      <c r="C255" s="15"/>
      <c r="D255" s="15"/>
      <c r="E255" s="15" t="s">
        <v>858</v>
      </c>
      <c r="F255" s="15"/>
      <c r="G255" s="15"/>
      <c r="H255" s="15"/>
      <c r="I255" s="15"/>
      <c r="J255" s="15"/>
      <c r="M255" s="16"/>
      <c r="N255" s="15"/>
    </row>
    <row r="256" spans="1:14" ht="12.75">
      <c r="A256" s="15"/>
      <c r="B256" s="15"/>
      <c r="C256" s="15"/>
      <c r="D256" s="15"/>
      <c r="E256" s="15" t="s">
        <v>1059</v>
      </c>
      <c r="F256" s="15"/>
      <c r="G256" s="15"/>
      <c r="H256" s="15"/>
      <c r="I256" s="15"/>
      <c r="J256" s="15"/>
      <c r="M256" s="16"/>
      <c r="N256" s="15"/>
    </row>
    <row r="257" spans="1:14" ht="270">
      <c r="A257" s="15"/>
      <c r="B257" s="15"/>
      <c r="C257" s="15"/>
      <c r="D257" s="15"/>
      <c r="E257" s="15"/>
      <c r="F257" s="15" t="s">
        <v>1060</v>
      </c>
      <c r="G257" s="15"/>
      <c r="H257" s="15"/>
      <c r="I257" s="15"/>
      <c r="J257" s="15"/>
      <c r="M257" s="16" t="s">
        <v>1061</v>
      </c>
      <c r="N257" s="15" t="s">
        <v>1062</v>
      </c>
    </row>
    <row r="258" spans="1:14" ht="12.75">
      <c r="A258" s="15"/>
      <c r="B258" s="15"/>
      <c r="C258" s="15"/>
      <c r="D258" s="15"/>
      <c r="E258" s="15"/>
      <c r="F258" s="15" t="s">
        <v>1063</v>
      </c>
      <c r="G258" s="15"/>
      <c r="H258" s="15"/>
      <c r="I258" s="15"/>
      <c r="J258" s="15"/>
      <c r="M258" s="16" t="s">
        <v>1064</v>
      </c>
      <c r="N258" s="15" t="s">
        <v>1065</v>
      </c>
    </row>
    <row r="259" spans="1:14" ht="67.5">
      <c r="A259" s="15"/>
      <c r="B259" s="15"/>
      <c r="C259" s="15"/>
      <c r="D259" s="15"/>
      <c r="E259" s="15"/>
      <c r="F259" s="15" t="s">
        <v>1066</v>
      </c>
      <c r="G259" s="15"/>
      <c r="H259" s="15"/>
      <c r="I259" s="15"/>
      <c r="J259" s="15"/>
      <c r="M259" s="16" t="s">
        <v>1067</v>
      </c>
      <c r="N259" s="15" t="s">
        <v>1065</v>
      </c>
    </row>
    <row r="260" spans="1:14" ht="12.75">
      <c r="A260" s="15"/>
      <c r="B260" s="15"/>
      <c r="C260" s="15"/>
      <c r="D260" s="15"/>
      <c r="E260" s="15"/>
      <c r="F260" s="15" t="s">
        <v>1068</v>
      </c>
      <c r="G260" s="15"/>
      <c r="H260" s="15"/>
      <c r="I260" s="15"/>
      <c r="J260" s="15"/>
      <c r="M260" s="16" t="s">
        <v>1069</v>
      </c>
      <c r="N260" s="15"/>
    </row>
    <row r="261" spans="1:14" ht="12.75">
      <c r="A261" s="15"/>
      <c r="B261" s="15"/>
      <c r="C261" s="15"/>
      <c r="D261" s="15"/>
      <c r="E261" s="15" t="s">
        <v>858</v>
      </c>
      <c r="F261" s="15"/>
      <c r="G261" s="15"/>
      <c r="H261" s="15"/>
      <c r="I261" s="15"/>
      <c r="J261" s="15"/>
      <c r="M261" s="16"/>
      <c r="N261" s="15"/>
    </row>
    <row r="262" spans="1:14" ht="90">
      <c r="A262" s="15"/>
      <c r="B262" s="15"/>
      <c r="C262" s="15"/>
      <c r="D262" s="15"/>
      <c r="E262" s="15" t="s">
        <v>1070</v>
      </c>
      <c r="F262" s="15"/>
      <c r="G262" s="15"/>
      <c r="H262" s="15"/>
      <c r="I262" s="15"/>
      <c r="J262" s="15"/>
      <c r="M262" s="16" t="s">
        <v>1071</v>
      </c>
      <c r="N262" s="15" t="s">
        <v>1072</v>
      </c>
    </row>
    <row r="263" spans="1:14" ht="101.25">
      <c r="A263" s="15"/>
      <c r="B263" s="15"/>
      <c r="C263" s="15"/>
      <c r="D263" s="15"/>
      <c r="E263" s="15" t="s">
        <v>1073</v>
      </c>
      <c r="F263" s="15"/>
      <c r="G263" s="15"/>
      <c r="H263" s="15"/>
      <c r="I263" s="15"/>
      <c r="J263" s="15"/>
      <c r="M263" s="16" t="s">
        <v>1074</v>
      </c>
      <c r="N263" s="15"/>
    </row>
    <row r="264" spans="1:14" ht="22.5">
      <c r="A264" s="15"/>
      <c r="B264" s="15"/>
      <c r="C264" s="15"/>
      <c r="D264" s="15"/>
      <c r="E264" s="15" t="s">
        <v>1075</v>
      </c>
      <c r="F264" s="15"/>
      <c r="G264" s="15"/>
      <c r="H264" s="15"/>
      <c r="I264" s="15"/>
      <c r="J264" s="15"/>
      <c r="M264" s="16" t="s">
        <v>1076</v>
      </c>
      <c r="N264" s="15"/>
    </row>
    <row r="265" spans="1:14" ht="409.5">
      <c r="A265" s="15"/>
      <c r="B265" s="15"/>
      <c r="C265" s="15"/>
      <c r="D265" s="15"/>
      <c r="E265" s="15"/>
      <c r="F265" s="15" t="s">
        <v>1077</v>
      </c>
      <c r="G265" s="15"/>
      <c r="H265" s="15"/>
      <c r="I265" s="15"/>
      <c r="J265" s="15"/>
      <c r="M265" s="16" t="s">
        <v>1078</v>
      </c>
      <c r="N265" s="15" t="s">
        <v>1079</v>
      </c>
    </row>
    <row r="266" spans="1:14" ht="180">
      <c r="A266" s="15"/>
      <c r="B266" s="15"/>
      <c r="C266" s="15"/>
      <c r="D266" s="15"/>
      <c r="E266" s="15"/>
      <c r="F266" s="15" t="s">
        <v>1080</v>
      </c>
      <c r="G266" s="15"/>
      <c r="H266" s="15"/>
      <c r="I266" s="15"/>
      <c r="J266" s="15"/>
      <c r="M266" s="16" t="s">
        <v>1081</v>
      </c>
      <c r="N266" s="15" t="s">
        <v>1082</v>
      </c>
    </row>
    <row r="267" spans="1:14" ht="12.75">
      <c r="A267" s="15"/>
      <c r="B267" s="15"/>
      <c r="C267" s="15"/>
      <c r="D267" s="15"/>
      <c r="E267" s="15"/>
      <c r="F267" s="15" t="s">
        <v>1083</v>
      </c>
      <c r="G267" s="15"/>
      <c r="H267" s="15"/>
      <c r="I267" s="15"/>
      <c r="J267" s="15"/>
      <c r="M267" s="16" t="s">
        <v>1084</v>
      </c>
      <c r="N267" s="15"/>
    </row>
    <row r="268" spans="1:14" ht="12.75">
      <c r="A268" s="15"/>
      <c r="B268" s="15"/>
      <c r="C268" s="15"/>
      <c r="D268" s="15"/>
      <c r="E268" s="15" t="s">
        <v>858</v>
      </c>
      <c r="F268" s="15"/>
      <c r="G268" s="15"/>
      <c r="H268" s="15"/>
      <c r="I268" s="15"/>
      <c r="J268" s="15"/>
      <c r="M268" s="16"/>
      <c r="N268" s="15"/>
    </row>
    <row r="269" spans="1:14" ht="12.75">
      <c r="A269" s="15"/>
      <c r="B269" s="15"/>
      <c r="C269" s="15"/>
      <c r="D269" s="15"/>
      <c r="E269" s="15" t="s">
        <v>1085</v>
      </c>
      <c r="F269" s="15"/>
      <c r="G269" s="15"/>
      <c r="H269" s="15"/>
      <c r="I269" s="15"/>
      <c r="J269" s="15"/>
      <c r="M269" s="16" t="s">
        <v>1086</v>
      </c>
      <c r="N269" s="15"/>
    </row>
    <row r="270" spans="1:14" ht="12.75">
      <c r="A270" s="15"/>
      <c r="B270" s="15"/>
      <c r="C270" s="15"/>
      <c r="D270" s="15"/>
      <c r="E270" s="15"/>
      <c r="F270" s="15" t="s">
        <v>823</v>
      </c>
      <c r="G270" s="15"/>
      <c r="H270" s="15"/>
      <c r="I270" s="15"/>
      <c r="J270" s="15"/>
      <c r="M270" s="16" t="s">
        <v>1087</v>
      </c>
      <c r="N270" s="15" t="s">
        <v>1088</v>
      </c>
    </row>
    <row r="271" spans="1:14" ht="12.75">
      <c r="A271" s="15"/>
      <c r="B271" s="15"/>
      <c r="C271" s="15"/>
      <c r="D271" s="15"/>
      <c r="E271" s="15"/>
      <c r="F271" s="15" t="s">
        <v>1077</v>
      </c>
      <c r="G271" s="15"/>
      <c r="H271" s="15"/>
      <c r="I271" s="15"/>
      <c r="J271" s="15"/>
      <c r="M271" s="16" t="s">
        <v>1089</v>
      </c>
      <c r="N271" s="15" t="s">
        <v>1090</v>
      </c>
    </row>
    <row r="272" spans="1:14" ht="22.5">
      <c r="A272" s="15"/>
      <c r="B272" s="15"/>
      <c r="C272" s="15"/>
      <c r="D272" s="15"/>
      <c r="E272" s="15"/>
      <c r="F272" s="15" t="s">
        <v>826</v>
      </c>
      <c r="G272" s="15"/>
      <c r="H272" s="15"/>
      <c r="I272" s="15"/>
      <c r="J272" s="15"/>
      <c r="M272" s="16" t="s">
        <v>1091</v>
      </c>
      <c r="N272" s="15"/>
    </row>
    <row r="273" spans="1:14" ht="12.75">
      <c r="A273" s="15"/>
      <c r="B273" s="15"/>
      <c r="C273" s="15"/>
      <c r="D273" s="15"/>
      <c r="E273" s="15" t="s">
        <v>858</v>
      </c>
      <c r="F273" s="15"/>
      <c r="G273" s="15"/>
      <c r="H273" s="15"/>
      <c r="I273" s="15"/>
      <c r="J273" s="15"/>
      <c r="M273" s="16"/>
      <c r="N273" s="15"/>
    </row>
    <row r="274" spans="1:14" ht="22.5">
      <c r="A274" s="15"/>
      <c r="B274" s="15"/>
      <c r="C274" s="15"/>
      <c r="D274" s="15"/>
      <c r="E274" s="15" t="s">
        <v>1092</v>
      </c>
      <c r="F274" s="15"/>
      <c r="G274" s="15"/>
      <c r="H274" s="15"/>
      <c r="I274" s="15"/>
      <c r="J274" s="15"/>
      <c r="M274" s="16" t="s">
        <v>1093</v>
      </c>
      <c r="N274" s="15"/>
    </row>
    <row r="275" spans="1:14" ht="12.75">
      <c r="A275" s="15"/>
      <c r="B275" s="15"/>
      <c r="C275" s="15"/>
      <c r="D275" s="15"/>
      <c r="E275" s="15"/>
      <c r="F275" s="15" t="s">
        <v>1036</v>
      </c>
      <c r="G275" s="15"/>
      <c r="H275" s="15"/>
      <c r="I275" s="15"/>
      <c r="J275" s="15"/>
      <c r="M275" s="16"/>
      <c r="N275" s="15"/>
    </row>
    <row r="276" spans="1:14" ht="12.75">
      <c r="A276" s="15"/>
      <c r="B276" s="15"/>
      <c r="C276" s="15"/>
      <c r="D276" s="15"/>
      <c r="E276" s="15"/>
      <c r="F276" s="15"/>
      <c r="G276" s="15" t="s">
        <v>890</v>
      </c>
      <c r="H276" s="15"/>
      <c r="I276" s="15"/>
      <c r="J276" s="15"/>
      <c r="M276" s="16" t="s">
        <v>1037</v>
      </c>
      <c r="N276" s="18" t="s">
        <v>1094</v>
      </c>
    </row>
    <row r="277" spans="1:14" ht="12.75">
      <c r="A277" s="15"/>
      <c r="B277" s="15"/>
      <c r="C277" s="15"/>
      <c r="D277" s="15"/>
      <c r="E277" s="15"/>
      <c r="F277" s="15"/>
      <c r="G277" s="15" t="s">
        <v>900</v>
      </c>
      <c r="H277" s="15"/>
      <c r="I277" s="15"/>
      <c r="J277" s="15"/>
      <c r="M277" s="16" t="s">
        <v>1040</v>
      </c>
    </row>
    <row r="278" spans="1:14" ht="12.75">
      <c r="A278" s="15"/>
      <c r="B278" s="15"/>
      <c r="C278" s="15"/>
      <c r="D278" s="15"/>
      <c r="E278" s="15"/>
      <c r="F278" s="15" t="s">
        <v>848</v>
      </c>
      <c r="G278" s="15"/>
      <c r="H278" s="15"/>
      <c r="I278" s="15"/>
      <c r="J278" s="15"/>
      <c r="M278" s="16"/>
      <c r="N278" s="15"/>
    </row>
    <row r="279" spans="1:14" ht="12.75">
      <c r="A279" s="15"/>
      <c r="B279" s="15"/>
      <c r="C279" s="15"/>
      <c r="D279" s="15"/>
      <c r="E279" s="15" t="s">
        <v>858</v>
      </c>
      <c r="F279" s="15"/>
      <c r="G279" s="15"/>
      <c r="H279" s="15"/>
      <c r="I279" s="15"/>
      <c r="J279" s="15"/>
      <c r="M279" s="16"/>
      <c r="N279" s="15"/>
    </row>
    <row r="280" spans="1:14" ht="12.75">
      <c r="A280" s="15"/>
      <c r="B280" s="15"/>
      <c r="C280" s="15"/>
      <c r="D280" s="15" t="s">
        <v>848</v>
      </c>
      <c r="E280" s="15"/>
      <c r="F280" s="15"/>
      <c r="G280" s="15"/>
      <c r="H280" s="15"/>
      <c r="I280" s="15"/>
      <c r="J280" s="15"/>
      <c r="M280" s="16"/>
      <c r="N280" s="15"/>
    </row>
    <row r="281" spans="1:14" ht="12.75">
      <c r="A281" s="15"/>
      <c r="B281" s="15"/>
      <c r="C281" s="15" t="s">
        <v>848</v>
      </c>
      <c r="D281" s="15"/>
      <c r="E281" s="15"/>
      <c r="F281" s="15"/>
      <c r="G281" s="15"/>
      <c r="H281" s="15"/>
      <c r="I281" s="15"/>
      <c r="J281" s="15"/>
      <c r="K281" s="15"/>
      <c r="L281" s="15"/>
      <c r="M281" s="16"/>
      <c r="N281" s="15"/>
    </row>
    <row r="282" spans="1:14" ht="12.75">
      <c r="A282" s="15"/>
      <c r="B282" s="15"/>
      <c r="C282" s="15" t="s">
        <v>815</v>
      </c>
      <c r="D282" s="15"/>
      <c r="E282" s="15"/>
      <c r="F282" s="15"/>
      <c r="G282" s="15"/>
      <c r="H282" s="15"/>
      <c r="I282" s="15"/>
      <c r="J282" s="15"/>
      <c r="K282" s="15"/>
      <c r="L282" s="15"/>
      <c r="M282" s="16" t="s">
        <v>1095</v>
      </c>
      <c r="N282" s="15"/>
    </row>
    <row r="283" spans="1:14" ht="12.75">
      <c r="A283" s="15"/>
      <c r="B283" s="15"/>
      <c r="C283" s="15"/>
      <c r="D283" s="15" t="s">
        <v>833</v>
      </c>
      <c r="E283" s="15"/>
      <c r="F283" s="15"/>
      <c r="G283" s="15"/>
      <c r="H283" s="15"/>
      <c r="I283" s="15"/>
      <c r="J283" s="15"/>
      <c r="K283" s="15"/>
      <c r="L283" s="15"/>
      <c r="M283" s="16" t="s">
        <v>834</v>
      </c>
      <c r="N283" s="15"/>
    </row>
    <row r="284" spans="1:14" ht="90">
      <c r="A284" s="15"/>
      <c r="B284" s="15"/>
      <c r="C284" s="15"/>
      <c r="D284" s="15" t="s">
        <v>835</v>
      </c>
      <c r="E284" s="15"/>
      <c r="F284" s="15"/>
      <c r="G284" s="15"/>
      <c r="H284" s="15"/>
      <c r="I284" s="15"/>
      <c r="J284" s="15"/>
      <c r="K284" s="15"/>
      <c r="L284" s="15"/>
      <c r="M284" s="16" t="s">
        <v>1096</v>
      </c>
      <c r="N284" s="15"/>
    </row>
    <row r="285" spans="1:14" ht="12.75">
      <c r="A285" s="15"/>
      <c r="B285" s="15"/>
      <c r="C285" s="15"/>
      <c r="D285" s="15"/>
      <c r="E285" s="15" t="s">
        <v>1097</v>
      </c>
      <c r="F285" s="15"/>
      <c r="G285" s="15"/>
      <c r="H285" s="15"/>
      <c r="I285" s="15"/>
      <c r="J285" s="15"/>
      <c r="K285" s="15"/>
      <c r="L285" s="15"/>
      <c r="M285" s="16" t="s">
        <v>817</v>
      </c>
      <c r="N285" s="15" t="s">
        <v>1098</v>
      </c>
    </row>
    <row r="286" spans="1:14" ht="12.75">
      <c r="A286" s="15"/>
      <c r="B286" s="15"/>
      <c r="C286" s="15"/>
      <c r="D286" s="15"/>
      <c r="E286" s="15" t="s">
        <v>1099</v>
      </c>
      <c r="F286" s="15"/>
      <c r="G286" s="15"/>
      <c r="H286" s="15"/>
      <c r="I286" s="15"/>
      <c r="J286" s="15"/>
      <c r="K286" s="15"/>
      <c r="L286" s="15"/>
      <c r="M286" s="16" t="s">
        <v>1100</v>
      </c>
      <c r="N286" s="15"/>
    </row>
    <row r="287" spans="1:14" ht="12.75">
      <c r="A287" s="15"/>
      <c r="B287" s="15"/>
      <c r="C287" s="15"/>
      <c r="D287" s="15"/>
      <c r="E287" s="15"/>
      <c r="F287" s="15" t="s">
        <v>890</v>
      </c>
      <c r="G287" s="15"/>
      <c r="H287" s="15"/>
      <c r="I287" s="15"/>
      <c r="J287" s="15"/>
      <c r="K287" s="15"/>
      <c r="L287" s="15"/>
      <c r="M287" s="16" t="s">
        <v>1037</v>
      </c>
      <c r="N287" s="18" t="s">
        <v>1101</v>
      </c>
    </row>
    <row r="288" spans="1:14" ht="12.75">
      <c r="A288" s="15"/>
      <c r="B288" s="15"/>
      <c r="C288" s="15"/>
      <c r="D288" s="15"/>
      <c r="E288" s="15"/>
      <c r="F288" s="15" t="s">
        <v>900</v>
      </c>
      <c r="G288" s="15"/>
      <c r="H288" s="15"/>
      <c r="I288" s="15"/>
      <c r="J288" s="15"/>
      <c r="K288" s="15"/>
      <c r="L288" s="15"/>
      <c r="M288" s="16" t="s">
        <v>1040</v>
      </c>
      <c r="N288" s="15"/>
    </row>
    <row r="289" spans="1:14" ht="12.75">
      <c r="A289" s="15"/>
      <c r="B289" s="15"/>
      <c r="C289" s="15"/>
      <c r="D289" s="15"/>
      <c r="E289" s="15" t="s">
        <v>858</v>
      </c>
      <c r="F289" s="15"/>
      <c r="G289" s="15"/>
      <c r="H289" s="15"/>
      <c r="I289" s="15"/>
      <c r="J289" s="15"/>
      <c r="K289" s="15"/>
      <c r="L289" s="15"/>
      <c r="M289" s="16"/>
      <c r="N289" s="15"/>
    </row>
    <row r="290" spans="1:14" ht="12.75">
      <c r="A290" s="15"/>
      <c r="B290" s="15"/>
      <c r="C290" s="15"/>
      <c r="D290" s="15"/>
      <c r="E290" s="15" t="s">
        <v>1102</v>
      </c>
      <c r="F290" s="15"/>
      <c r="G290" s="15"/>
      <c r="H290" s="15"/>
      <c r="I290" s="15"/>
      <c r="J290" s="15"/>
      <c r="K290" s="15"/>
      <c r="L290" s="15"/>
      <c r="M290" s="16" t="s">
        <v>1103</v>
      </c>
      <c r="N290" s="15"/>
    </row>
    <row r="291" spans="1:14" ht="12.75">
      <c r="A291" s="15"/>
      <c r="B291" s="15"/>
      <c r="C291" s="15"/>
      <c r="D291" s="15"/>
      <c r="E291" s="15" t="s">
        <v>1104</v>
      </c>
      <c r="F291" s="15"/>
      <c r="G291" s="15"/>
      <c r="H291" s="15"/>
      <c r="I291" s="15"/>
      <c r="J291" s="15"/>
      <c r="K291" s="15"/>
      <c r="L291" s="15"/>
      <c r="M291" s="16" t="s">
        <v>1105</v>
      </c>
      <c r="N291" s="15"/>
    </row>
    <row r="292" spans="1:14" ht="12.75">
      <c r="A292" s="15"/>
      <c r="B292" s="15"/>
      <c r="C292" s="15"/>
      <c r="D292" s="15"/>
      <c r="E292" s="15"/>
      <c r="F292" s="15" t="s">
        <v>1077</v>
      </c>
      <c r="G292" s="15"/>
      <c r="H292" s="15"/>
      <c r="I292" s="15"/>
      <c r="J292" s="15"/>
      <c r="K292" s="15"/>
      <c r="L292" s="15"/>
      <c r="M292" s="16" t="s">
        <v>1106</v>
      </c>
      <c r="N292" s="15" t="s">
        <v>1107</v>
      </c>
    </row>
    <row r="293" spans="1:14" ht="12.75">
      <c r="A293" s="15"/>
      <c r="B293" s="15"/>
      <c r="C293" s="15"/>
      <c r="D293" s="15"/>
      <c r="E293" s="15"/>
      <c r="F293" s="15" t="s">
        <v>1108</v>
      </c>
      <c r="G293" s="15"/>
      <c r="H293" s="15"/>
      <c r="I293" s="15"/>
      <c r="J293" s="15"/>
      <c r="K293" s="15"/>
      <c r="L293" s="15"/>
      <c r="M293" s="16" t="s">
        <v>1109</v>
      </c>
      <c r="N293" s="15" t="s">
        <v>1110</v>
      </c>
    </row>
    <row r="294" spans="1:14" ht="168.75">
      <c r="A294" s="15"/>
      <c r="B294" s="15"/>
      <c r="C294" s="15"/>
      <c r="D294" s="15"/>
      <c r="E294" s="15"/>
      <c r="F294" s="15" t="s">
        <v>1080</v>
      </c>
      <c r="G294" s="15"/>
      <c r="H294" s="15"/>
      <c r="I294" s="15"/>
      <c r="J294" s="15"/>
      <c r="K294" s="15"/>
      <c r="L294" s="15"/>
      <c r="M294" s="16" t="s">
        <v>1111</v>
      </c>
      <c r="N294" s="15"/>
    </row>
    <row r="295" spans="1:14" ht="12.75">
      <c r="A295" s="15"/>
      <c r="B295" s="15"/>
      <c r="C295" s="15"/>
      <c r="D295" s="15"/>
      <c r="E295" s="15"/>
      <c r="F295" s="15" t="s">
        <v>1112</v>
      </c>
      <c r="G295" s="15"/>
      <c r="H295" s="15"/>
      <c r="I295" s="15"/>
      <c r="J295" s="15"/>
      <c r="K295" s="15"/>
      <c r="L295" s="15"/>
      <c r="M295" s="16" t="s">
        <v>1113</v>
      </c>
      <c r="N295" s="15"/>
    </row>
    <row r="296" spans="1:14" ht="12.75">
      <c r="A296" s="15"/>
      <c r="B296" s="15"/>
      <c r="C296" s="15"/>
      <c r="D296" s="15"/>
      <c r="E296" s="15"/>
      <c r="F296" s="15" t="s">
        <v>1114</v>
      </c>
      <c r="G296" s="15"/>
      <c r="H296" s="15"/>
      <c r="I296" s="15"/>
      <c r="J296" s="15"/>
      <c r="K296" s="15"/>
      <c r="L296" s="15"/>
      <c r="M296" s="16" t="s">
        <v>1115</v>
      </c>
      <c r="N296" s="15"/>
    </row>
    <row r="297" spans="1:14" ht="12.75">
      <c r="A297" s="15"/>
      <c r="B297" s="15"/>
      <c r="C297" s="15"/>
      <c r="D297" s="15"/>
      <c r="E297" s="15"/>
      <c r="F297" s="15" t="s">
        <v>1083</v>
      </c>
      <c r="G297" s="15"/>
      <c r="H297" s="15"/>
      <c r="I297" s="15"/>
      <c r="J297" s="15"/>
      <c r="K297" s="15"/>
      <c r="L297" s="15"/>
      <c r="M297" s="16" t="s">
        <v>1116</v>
      </c>
      <c r="N297" s="15"/>
    </row>
    <row r="298" spans="1:14" ht="12.75">
      <c r="A298" s="15"/>
      <c r="B298" s="15"/>
      <c r="C298" s="15"/>
      <c r="D298" s="15"/>
      <c r="E298" s="15" t="s">
        <v>858</v>
      </c>
      <c r="F298" s="15"/>
      <c r="G298" s="15"/>
      <c r="H298" s="15"/>
      <c r="I298" s="15"/>
      <c r="J298" s="15"/>
      <c r="K298" s="15"/>
      <c r="L298" s="15"/>
      <c r="M298" s="16"/>
      <c r="N298" s="15"/>
    </row>
    <row r="299" spans="1:14" ht="12.75">
      <c r="A299" s="15"/>
      <c r="B299" s="15"/>
      <c r="C299" s="15"/>
      <c r="D299" s="15"/>
      <c r="E299" s="15" t="s">
        <v>1117</v>
      </c>
      <c r="F299" s="15"/>
      <c r="G299" s="15"/>
      <c r="H299" s="15"/>
      <c r="I299" s="15"/>
      <c r="J299" s="15"/>
      <c r="K299" s="15"/>
      <c r="L299" s="15"/>
      <c r="M299" s="16" t="s">
        <v>1118</v>
      </c>
      <c r="N299" s="15"/>
    </row>
    <row r="300" spans="1:14" ht="12.75">
      <c r="A300" s="15"/>
      <c r="B300" s="15"/>
      <c r="C300" s="15"/>
      <c r="D300" s="15"/>
      <c r="E300" s="15"/>
      <c r="F300" s="15" t="s">
        <v>823</v>
      </c>
      <c r="G300" s="15"/>
      <c r="H300" s="15"/>
      <c r="I300" s="15"/>
      <c r="J300" s="15"/>
      <c r="K300" s="15"/>
      <c r="L300" s="15"/>
      <c r="M300" s="16" t="s">
        <v>1087</v>
      </c>
      <c r="N300" s="15" t="s">
        <v>1119</v>
      </c>
    </row>
    <row r="301" spans="1:14" ht="22.5">
      <c r="A301" s="15"/>
      <c r="B301" s="15"/>
      <c r="C301" s="15"/>
      <c r="D301" s="15"/>
      <c r="E301" s="15"/>
      <c r="F301" s="15" t="s">
        <v>1077</v>
      </c>
      <c r="G301" s="15"/>
      <c r="H301" s="15"/>
      <c r="I301" s="15"/>
      <c r="J301" s="15"/>
      <c r="K301" s="15"/>
      <c r="L301" s="15"/>
      <c r="M301" s="16" t="s">
        <v>1120</v>
      </c>
      <c r="N301" s="15" t="s">
        <v>1121</v>
      </c>
    </row>
    <row r="302" spans="1:14" ht="22.5">
      <c r="A302" s="15"/>
      <c r="B302" s="15"/>
      <c r="C302" s="15"/>
      <c r="D302" s="15"/>
      <c r="E302" s="15"/>
      <c r="F302" s="15" t="s">
        <v>826</v>
      </c>
      <c r="G302" s="15"/>
      <c r="H302" s="15"/>
      <c r="I302" s="15"/>
      <c r="J302" s="15"/>
      <c r="K302" s="15"/>
      <c r="L302" s="15"/>
      <c r="M302" s="16" t="s">
        <v>1091</v>
      </c>
      <c r="N302" s="15"/>
    </row>
    <row r="303" spans="1:14" ht="12.75">
      <c r="A303" s="15"/>
      <c r="B303" s="15"/>
      <c r="C303" s="15"/>
      <c r="D303" s="15"/>
      <c r="E303" s="15" t="s">
        <v>858</v>
      </c>
      <c r="F303" s="15"/>
      <c r="G303" s="15"/>
      <c r="H303" s="15"/>
      <c r="I303" s="15"/>
      <c r="J303" s="15"/>
      <c r="K303" s="15"/>
      <c r="L303" s="15"/>
      <c r="M303" s="16"/>
      <c r="N303" s="15"/>
    </row>
    <row r="304" spans="1:14" ht="33.75">
      <c r="A304" s="15"/>
      <c r="B304" s="15"/>
      <c r="C304" s="15"/>
      <c r="D304" s="15"/>
      <c r="E304" s="15" t="s">
        <v>1122</v>
      </c>
      <c r="F304" s="15"/>
      <c r="G304" s="15"/>
      <c r="H304" s="15"/>
      <c r="I304" s="15"/>
      <c r="J304" s="15"/>
      <c r="K304" s="15"/>
      <c r="L304" s="15"/>
      <c r="M304" s="16" t="s">
        <v>1123</v>
      </c>
      <c r="N304" s="15"/>
    </row>
    <row r="305" spans="1:14" ht="12.75">
      <c r="A305" s="15"/>
      <c r="B305" s="15"/>
      <c r="C305" s="15"/>
      <c r="D305" s="15"/>
      <c r="E305" s="15"/>
      <c r="F305" s="15" t="s">
        <v>1036</v>
      </c>
      <c r="G305" s="15"/>
      <c r="H305" s="15"/>
      <c r="I305" s="15"/>
      <c r="J305" s="15"/>
      <c r="K305" s="15"/>
      <c r="L305" s="15"/>
      <c r="M305" s="16"/>
      <c r="N305" s="15"/>
    </row>
    <row r="306" spans="1:14" ht="12.75">
      <c r="A306" s="15"/>
      <c r="B306" s="15"/>
      <c r="C306" s="15"/>
      <c r="D306" s="15"/>
      <c r="E306" s="15"/>
      <c r="F306" s="15"/>
      <c r="G306" s="15" t="s">
        <v>890</v>
      </c>
      <c r="H306" s="15"/>
      <c r="I306" s="15"/>
      <c r="J306" s="15"/>
      <c r="K306" s="15"/>
      <c r="L306" s="15"/>
      <c r="M306" s="16" t="s">
        <v>1037</v>
      </c>
      <c r="N306" s="18" t="s">
        <v>1124</v>
      </c>
    </row>
    <row r="307" spans="1:14" ht="12.75">
      <c r="A307" s="15"/>
      <c r="B307" s="15"/>
      <c r="C307" s="15"/>
      <c r="D307" s="15"/>
      <c r="E307" s="15"/>
      <c r="F307" s="15"/>
      <c r="G307" s="15" t="s">
        <v>900</v>
      </c>
      <c r="H307" s="15"/>
      <c r="I307" s="15"/>
      <c r="J307" s="15"/>
      <c r="K307" s="15"/>
      <c r="L307" s="15"/>
      <c r="M307" s="16" t="s">
        <v>1040</v>
      </c>
      <c r="N307" s="15"/>
    </row>
    <row r="308" spans="1:14" ht="12.75">
      <c r="A308" s="15"/>
      <c r="B308" s="15"/>
      <c r="C308" s="15"/>
      <c r="D308" s="15"/>
      <c r="E308" s="15"/>
      <c r="F308" s="15" t="s">
        <v>848</v>
      </c>
      <c r="G308" s="15"/>
      <c r="H308" s="15"/>
      <c r="I308" s="15"/>
      <c r="J308" s="15"/>
      <c r="K308" s="15"/>
      <c r="L308" s="15"/>
      <c r="M308" s="16"/>
      <c r="N308" s="15"/>
    </row>
    <row r="309" spans="1:14" ht="22.5">
      <c r="A309" s="15"/>
      <c r="B309" s="15"/>
      <c r="C309" s="15"/>
      <c r="D309" s="15"/>
      <c r="E309" s="15"/>
      <c r="F309" s="15" t="s">
        <v>864</v>
      </c>
      <c r="G309" s="15"/>
      <c r="H309" s="15"/>
      <c r="I309" s="15"/>
      <c r="J309" s="15"/>
      <c r="K309" s="15"/>
      <c r="L309" s="15"/>
      <c r="M309" s="16" t="s">
        <v>1125</v>
      </c>
      <c r="N309" s="15"/>
    </row>
    <row r="310" spans="1:14" ht="12.75">
      <c r="A310" s="15"/>
      <c r="B310" s="15"/>
      <c r="C310" s="15"/>
      <c r="D310" s="15"/>
      <c r="E310" s="15" t="s">
        <v>848</v>
      </c>
      <c r="F310" s="15"/>
      <c r="G310" s="15"/>
      <c r="H310" s="15"/>
      <c r="I310" s="15"/>
      <c r="J310" s="15"/>
      <c r="K310" s="15"/>
      <c r="L310" s="15"/>
      <c r="M310" s="16"/>
      <c r="N310" s="15"/>
    </row>
    <row r="311" spans="1:14" ht="12.75">
      <c r="A311" s="15"/>
      <c r="B311" s="15"/>
      <c r="C311" s="15"/>
      <c r="D311" s="15" t="s">
        <v>848</v>
      </c>
      <c r="E311" s="15"/>
      <c r="F311" s="15"/>
      <c r="G311" s="15"/>
      <c r="H311" s="15"/>
      <c r="I311" s="15"/>
      <c r="J311" s="15"/>
      <c r="K311" s="15"/>
      <c r="L311" s="15"/>
      <c r="M311" s="16"/>
      <c r="N311" s="15"/>
    </row>
    <row r="312" spans="1:14" ht="12.75">
      <c r="A312" s="15"/>
      <c r="B312" s="15"/>
      <c r="C312" s="15" t="s">
        <v>848</v>
      </c>
      <c r="D312" s="15"/>
      <c r="E312" s="15"/>
      <c r="F312" s="15"/>
      <c r="G312" s="15"/>
      <c r="H312" s="15"/>
      <c r="I312" s="15"/>
      <c r="J312" s="15"/>
      <c r="K312" s="15"/>
      <c r="L312" s="15"/>
      <c r="M312" s="16"/>
      <c r="N312" s="15"/>
    </row>
    <row r="313" spans="1:14" ht="12.75">
      <c r="A313" s="15"/>
      <c r="B313" s="15"/>
      <c r="C313" s="15" t="s">
        <v>815</v>
      </c>
      <c r="D313" s="15"/>
      <c r="E313" s="15"/>
      <c r="F313" s="15"/>
      <c r="G313" s="15"/>
      <c r="H313" s="15"/>
      <c r="I313" s="15"/>
      <c r="J313" s="15"/>
      <c r="K313" s="15"/>
      <c r="L313" s="15"/>
      <c r="M313" s="16" t="s">
        <v>1126</v>
      </c>
      <c r="N313" s="15"/>
    </row>
    <row r="314" spans="1:14" ht="12.75">
      <c r="A314" s="15"/>
      <c r="B314" s="15"/>
      <c r="C314" s="15"/>
      <c r="D314" s="15" t="s">
        <v>833</v>
      </c>
      <c r="E314" s="15"/>
      <c r="F314" s="15"/>
      <c r="G314" s="15"/>
      <c r="H314" s="15"/>
      <c r="I314" s="15"/>
      <c r="J314" s="15"/>
      <c r="K314" s="15"/>
      <c r="L314" s="15"/>
      <c r="M314" s="16" t="s">
        <v>834</v>
      </c>
      <c r="N314" s="15"/>
    </row>
    <row r="315" spans="1:14" ht="33.75">
      <c r="A315" s="15"/>
      <c r="B315" s="15"/>
      <c r="C315" s="15"/>
      <c r="D315" s="15" t="s">
        <v>835</v>
      </c>
      <c r="E315" s="15"/>
      <c r="F315" s="15"/>
      <c r="G315" s="15"/>
      <c r="H315" s="15"/>
      <c r="I315" s="15"/>
      <c r="J315" s="15"/>
      <c r="K315" s="15"/>
      <c r="L315" s="15"/>
      <c r="M315" s="16" t="s">
        <v>1127</v>
      </c>
      <c r="N315" s="15"/>
    </row>
    <row r="316" spans="1:14" ht="12.75">
      <c r="A316" s="15"/>
      <c r="B316" s="15"/>
      <c r="C316" s="15"/>
      <c r="D316" s="15"/>
      <c r="E316" s="15" t="s">
        <v>1097</v>
      </c>
      <c r="F316" s="15"/>
      <c r="G316" s="15"/>
      <c r="H316" s="15"/>
      <c r="I316" s="15"/>
      <c r="J316" s="15"/>
      <c r="K316" s="15"/>
      <c r="L316" s="15"/>
      <c r="M316" s="16" t="s">
        <v>817</v>
      </c>
      <c r="N316" s="15" t="s">
        <v>1128</v>
      </c>
    </row>
    <row r="317" spans="1:14" ht="22.5">
      <c r="A317" s="15"/>
      <c r="B317" s="15"/>
      <c r="C317" s="15"/>
      <c r="D317" s="15"/>
      <c r="E317" s="15" t="s">
        <v>1129</v>
      </c>
      <c r="F317" s="15"/>
      <c r="G317" s="15"/>
      <c r="H317" s="15"/>
      <c r="I317" s="15"/>
      <c r="J317" s="15"/>
      <c r="K317" s="15"/>
      <c r="L317" s="15"/>
      <c r="M317" s="16" t="s">
        <v>1130</v>
      </c>
      <c r="N317" s="15" t="s">
        <v>1131</v>
      </c>
    </row>
    <row r="318" spans="1:14" ht="22.5">
      <c r="A318" s="15"/>
      <c r="B318" s="15"/>
      <c r="C318" s="15"/>
      <c r="D318" s="15"/>
      <c r="E318" s="15" t="s">
        <v>1132</v>
      </c>
      <c r="F318" s="15"/>
      <c r="G318" s="15"/>
      <c r="H318" s="15"/>
      <c r="I318" s="15"/>
      <c r="J318" s="15"/>
      <c r="K318" s="15"/>
      <c r="L318" s="15"/>
      <c r="M318" s="16" t="s">
        <v>1133</v>
      </c>
      <c r="N318" s="15"/>
    </row>
    <row r="319" spans="1:14" ht="12.75">
      <c r="A319" s="15"/>
      <c r="B319" s="15"/>
      <c r="C319" s="15"/>
      <c r="D319" s="15"/>
      <c r="E319" s="15"/>
      <c r="F319" s="15" t="s">
        <v>862</v>
      </c>
      <c r="G319" s="15"/>
      <c r="H319" s="15"/>
      <c r="I319" s="15"/>
      <c r="J319" s="15"/>
      <c r="K319" s="15"/>
      <c r="L319" s="15"/>
      <c r="M319" s="16" t="s">
        <v>926</v>
      </c>
      <c r="N319" s="15"/>
    </row>
    <row r="320" spans="1:14" ht="12.75">
      <c r="A320" s="15"/>
      <c r="B320" s="15"/>
      <c r="C320" s="15"/>
      <c r="D320" s="15"/>
      <c r="E320" s="15" t="s">
        <v>848</v>
      </c>
      <c r="F320" s="15"/>
      <c r="G320" s="15"/>
      <c r="H320" s="15"/>
      <c r="I320" s="15"/>
      <c r="J320" s="15"/>
      <c r="K320" s="15"/>
      <c r="L320" s="15"/>
      <c r="M320" s="16"/>
      <c r="N320" s="15"/>
    </row>
    <row r="321" spans="1:14" ht="22.5">
      <c r="A321" s="15"/>
      <c r="B321" s="15"/>
      <c r="C321" s="15"/>
      <c r="D321" s="15"/>
      <c r="E321" s="15" t="s">
        <v>1134</v>
      </c>
      <c r="F321" s="15"/>
      <c r="G321" s="15"/>
      <c r="H321" s="15"/>
      <c r="I321" s="15"/>
      <c r="J321" s="15"/>
      <c r="K321" s="15"/>
      <c r="L321" s="15"/>
      <c r="M321" s="16" t="s">
        <v>1135</v>
      </c>
      <c r="N321" s="15"/>
    </row>
    <row r="322" spans="1:14" ht="12.75">
      <c r="A322" s="15"/>
      <c r="B322" s="15"/>
      <c r="C322" s="15"/>
      <c r="D322" s="15"/>
      <c r="E322" s="15"/>
      <c r="F322" s="15" t="s">
        <v>1136</v>
      </c>
      <c r="G322" s="15"/>
      <c r="H322" s="15"/>
      <c r="I322" s="15"/>
      <c r="J322" s="15"/>
      <c r="K322" s="15"/>
      <c r="L322" s="15"/>
      <c r="M322" s="16" t="s">
        <v>1137</v>
      </c>
      <c r="N322" s="15"/>
    </row>
    <row r="323" spans="1:14" ht="22.5">
      <c r="A323" s="15"/>
      <c r="B323" s="15"/>
      <c r="C323" s="15"/>
      <c r="D323" s="15"/>
      <c r="E323" s="15"/>
      <c r="F323" s="15" t="s">
        <v>1138</v>
      </c>
      <c r="G323" s="15"/>
      <c r="H323" s="15"/>
      <c r="I323" s="15"/>
      <c r="J323" s="15"/>
      <c r="K323" s="15"/>
      <c r="L323" s="15"/>
      <c r="M323" s="16" t="s">
        <v>1139</v>
      </c>
      <c r="N323" s="15"/>
    </row>
    <row r="324" spans="1:14" ht="12.75">
      <c r="A324" s="15"/>
      <c r="B324" s="15"/>
      <c r="C324" s="15"/>
      <c r="D324" s="15"/>
      <c r="E324" s="15"/>
      <c r="F324" s="15"/>
      <c r="G324" s="15" t="s">
        <v>862</v>
      </c>
      <c r="H324" s="15"/>
      <c r="I324" s="15"/>
      <c r="J324" s="15"/>
      <c r="K324" s="15"/>
      <c r="L324" s="15"/>
      <c r="M324" s="16" t="s">
        <v>1140</v>
      </c>
      <c r="N324" s="15"/>
    </row>
    <row r="325" spans="1:14" ht="12.75">
      <c r="A325" s="15"/>
      <c r="B325" s="15"/>
      <c r="C325" s="15"/>
      <c r="D325" s="15"/>
      <c r="E325" s="15"/>
      <c r="F325" s="15" t="s">
        <v>848</v>
      </c>
      <c r="G325" s="15"/>
      <c r="H325" s="15"/>
      <c r="I325" s="15"/>
      <c r="J325" s="15"/>
      <c r="K325" s="15"/>
      <c r="L325" s="15"/>
      <c r="M325" s="16"/>
      <c r="N325" s="15"/>
    </row>
    <row r="326" spans="1:14" ht="12.75">
      <c r="A326" s="15"/>
      <c r="B326" s="15"/>
      <c r="C326" s="15"/>
      <c r="D326" s="15"/>
      <c r="E326" s="15" t="s">
        <v>858</v>
      </c>
      <c r="F326" s="15"/>
      <c r="G326" s="15"/>
      <c r="H326" s="15"/>
      <c r="I326" s="15"/>
      <c r="J326" s="15"/>
      <c r="K326" s="15"/>
      <c r="L326" s="15"/>
      <c r="M326" s="16"/>
      <c r="N326" s="15"/>
    </row>
    <row r="327" spans="1:14" ht="22.5">
      <c r="A327" s="15"/>
      <c r="B327" s="15"/>
      <c r="C327" s="15"/>
      <c r="D327" s="15"/>
      <c r="E327" s="15" t="s">
        <v>1141</v>
      </c>
      <c r="F327" s="15"/>
      <c r="G327" s="15"/>
      <c r="H327" s="15"/>
      <c r="I327" s="15"/>
      <c r="J327" s="15"/>
      <c r="K327" s="15"/>
      <c r="L327" s="15"/>
      <c r="M327" s="16" t="s">
        <v>1142</v>
      </c>
      <c r="N327" s="15"/>
    </row>
    <row r="328" spans="1:14" ht="12.75">
      <c r="A328" s="15"/>
      <c r="B328" s="15"/>
      <c r="C328" s="15"/>
      <c r="D328" s="15"/>
      <c r="E328" s="15"/>
      <c r="F328" s="15" t="s">
        <v>1036</v>
      </c>
      <c r="G328" s="15"/>
      <c r="H328" s="15"/>
      <c r="I328" s="15"/>
      <c r="J328" s="15"/>
      <c r="K328" s="15"/>
      <c r="L328" s="15"/>
      <c r="M328" s="16"/>
      <c r="N328" s="15"/>
    </row>
    <row r="329" spans="1:14" ht="12.75">
      <c r="A329" s="15"/>
      <c r="B329" s="15"/>
      <c r="C329" s="15"/>
      <c r="D329" s="15"/>
      <c r="E329" s="15"/>
      <c r="F329" s="15"/>
      <c r="G329" s="15" t="s">
        <v>890</v>
      </c>
      <c r="H329" s="15"/>
      <c r="I329" s="15"/>
      <c r="J329" s="15"/>
      <c r="K329" s="15"/>
      <c r="L329" s="15"/>
      <c r="M329" s="16" t="s">
        <v>1037</v>
      </c>
      <c r="N329" s="15" t="s">
        <v>1037</v>
      </c>
    </row>
    <row r="330" spans="1:14" ht="12.75">
      <c r="A330" s="15"/>
      <c r="B330" s="15"/>
      <c r="C330" s="15"/>
      <c r="D330" s="15"/>
      <c r="E330" s="15"/>
      <c r="F330" s="15"/>
      <c r="G330" s="15" t="s">
        <v>900</v>
      </c>
      <c r="H330" s="15"/>
      <c r="I330" s="15"/>
      <c r="J330" s="15"/>
      <c r="K330" s="15"/>
      <c r="L330" s="15"/>
      <c r="M330" s="16" t="s">
        <v>1040</v>
      </c>
      <c r="N330" s="15"/>
    </row>
    <row r="331" spans="1:14" ht="12.75">
      <c r="A331" s="15"/>
      <c r="B331" s="15"/>
      <c r="C331" s="15"/>
      <c r="D331" s="15"/>
      <c r="E331" s="15"/>
      <c r="F331" s="15" t="s">
        <v>848</v>
      </c>
      <c r="G331" s="15"/>
      <c r="H331" s="15"/>
      <c r="I331" s="15"/>
      <c r="J331" s="15"/>
      <c r="K331" s="15"/>
      <c r="L331" s="15"/>
      <c r="M331" s="16"/>
      <c r="N331" s="15"/>
    </row>
    <row r="332" spans="1:14" ht="12.75">
      <c r="A332" s="15"/>
      <c r="B332" s="15"/>
      <c r="C332" s="15"/>
      <c r="D332" s="15"/>
      <c r="E332" s="15" t="s">
        <v>848</v>
      </c>
      <c r="F332" s="15"/>
      <c r="G332" s="15"/>
      <c r="H332" s="15"/>
      <c r="I332" s="15"/>
      <c r="J332" s="15"/>
      <c r="K332" s="15"/>
      <c r="L332" s="15"/>
      <c r="M332" s="16"/>
      <c r="N332" s="15"/>
    </row>
    <row r="333" spans="1:14" ht="12.75">
      <c r="A333" s="15"/>
      <c r="B333" s="15"/>
      <c r="C333" s="15"/>
      <c r="D333" s="15"/>
      <c r="E333" s="15" t="s">
        <v>1143</v>
      </c>
      <c r="F333" s="15"/>
      <c r="G333" s="15"/>
      <c r="H333" s="15"/>
      <c r="I333" s="15"/>
      <c r="J333" s="15"/>
      <c r="K333" s="15"/>
      <c r="L333" s="15"/>
      <c r="M333" s="16" t="s">
        <v>1144</v>
      </c>
      <c r="N333" s="15"/>
    </row>
    <row r="334" spans="1:14" ht="12.75">
      <c r="A334" s="15"/>
      <c r="B334" s="15"/>
      <c r="C334" s="15"/>
      <c r="D334" s="15"/>
      <c r="E334" s="15"/>
      <c r="F334" s="15" t="s">
        <v>1036</v>
      </c>
      <c r="G334" s="15"/>
      <c r="H334" s="15"/>
      <c r="I334" s="15"/>
      <c r="J334" s="15"/>
      <c r="K334" s="15"/>
      <c r="L334" s="15"/>
      <c r="M334" s="16"/>
      <c r="N334" s="15"/>
    </row>
    <row r="335" spans="1:14" ht="12.75">
      <c r="A335" s="15"/>
      <c r="B335" s="15"/>
      <c r="C335" s="15"/>
      <c r="D335" s="15"/>
      <c r="E335" s="15"/>
      <c r="F335" s="15"/>
      <c r="G335" s="15" t="s">
        <v>890</v>
      </c>
      <c r="H335" s="15"/>
      <c r="I335" s="15"/>
      <c r="J335" s="15"/>
      <c r="K335" s="15"/>
      <c r="L335" s="15"/>
      <c r="M335" s="16" t="s">
        <v>1055</v>
      </c>
      <c r="N335" s="18" t="s">
        <v>1145</v>
      </c>
    </row>
    <row r="336" spans="1:14" ht="33.75">
      <c r="A336" s="15"/>
      <c r="B336" s="15"/>
      <c r="C336" s="15"/>
      <c r="D336" s="15"/>
      <c r="E336" s="15"/>
      <c r="F336" s="15"/>
      <c r="G336" s="15" t="s">
        <v>900</v>
      </c>
      <c r="H336" s="15"/>
      <c r="I336" s="15"/>
      <c r="J336" s="15"/>
      <c r="K336" s="15"/>
      <c r="L336" s="15"/>
      <c r="M336" s="16" t="s">
        <v>1057</v>
      </c>
      <c r="N336" s="15" t="s">
        <v>1058</v>
      </c>
    </row>
    <row r="337" spans="1:14" ht="12.75">
      <c r="A337" s="15"/>
      <c r="B337" s="15"/>
      <c r="C337" s="15"/>
      <c r="D337" s="15"/>
      <c r="E337" s="15"/>
      <c r="F337" s="15" t="s">
        <v>848</v>
      </c>
      <c r="G337" s="15"/>
      <c r="H337" s="15"/>
      <c r="I337" s="15"/>
      <c r="J337" s="15"/>
      <c r="K337" s="15"/>
      <c r="L337" s="15"/>
      <c r="M337" s="16"/>
      <c r="N337" s="15"/>
    </row>
    <row r="338" spans="1:14" ht="12.75">
      <c r="A338" s="15"/>
      <c r="B338" s="15"/>
      <c r="C338" s="15"/>
      <c r="D338" s="15"/>
      <c r="E338" s="15" t="s">
        <v>858</v>
      </c>
      <c r="F338" s="15"/>
      <c r="G338" s="15"/>
      <c r="H338" s="15"/>
      <c r="I338" s="15"/>
      <c r="J338" s="15"/>
      <c r="K338" s="15"/>
      <c r="L338" s="15"/>
      <c r="M338" s="16"/>
      <c r="N338" s="15"/>
    </row>
    <row r="339" spans="1:14" ht="12.75">
      <c r="A339" s="15"/>
      <c r="B339" s="15"/>
      <c r="C339" s="15"/>
      <c r="D339" s="15" t="s">
        <v>848</v>
      </c>
      <c r="E339" s="15"/>
      <c r="F339" s="15"/>
      <c r="G339" s="15"/>
      <c r="H339" s="15"/>
      <c r="I339" s="15"/>
      <c r="J339" s="15"/>
      <c r="K339" s="15"/>
      <c r="L339" s="15"/>
      <c r="M339" s="16"/>
      <c r="N339" s="15"/>
    </row>
    <row r="340" spans="1:14" ht="12.75">
      <c r="A340" s="15"/>
      <c r="B340" s="15"/>
      <c r="C340" s="15" t="s">
        <v>848</v>
      </c>
      <c r="D340" s="15"/>
      <c r="E340" s="15"/>
      <c r="F340" s="15"/>
      <c r="G340" s="15"/>
      <c r="H340" s="15"/>
      <c r="I340" s="15"/>
      <c r="J340" s="15"/>
      <c r="K340" s="15"/>
      <c r="L340" s="15"/>
      <c r="M340" s="16"/>
      <c r="N340" s="15"/>
    </row>
    <row r="341" spans="1:14" ht="12.75">
      <c r="A341" s="15"/>
      <c r="B341" s="15"/>
      <c r="C341" s="15" t="s">
        <v>815</v>
      </c>
      <c r="D341" s="15"/>
      <c r="E341" s="15"/>
      <c r="F341" s="15"/>
      <c r="G341" s="15"/>
      <c r="H341" s="15"/>
      <c r="I341" s="15"/>
      <c r="J341" s="15"/>
      <c r="K341" s="15"/>
      <c r="L341" s="15"/>
      <c r="M341" s="16" t="s">
        <v>1146</v>
      </c>
      <c r="N341" s="15"/>
    </row>
    <row r="342" spans="1:14" ht="12.75">
      <c r="A342" s="15"/>
      <c r="B342" s="15"/>
      <c r="C342" s="15"/>
      <c r="D342" s="15" t="s">
        <v>833</v>
      </c>
      <c r="E342" s="15"/>
      <c r="F342" s="15"/>
      <c r="G342" s="15"/>
      <c r="H342" s="15"/>
      <c r="I342" s="15"/>
      <c r="J342" s="15"/>
      <c r="K342" s="15"/>
      <c r="L342" s="15"/>
      <c r="M342" s="16" t="s">
        <v>834</v>
      </c>
      <c r="N342" s="15"/>
    </row>
    <row r="343" spans="1:14" ht="22.5">
      <c r="A343" s="15"/>
      <c r="B343" s="15"/>
      <c r="C343" s="15"/>
      <c r="D343" s="15" t="s">
        <v>835</v>
      </c>
      <c r="E343" s="15"/>
      <c r="F343" s="15"/>
      <c r="G343" s="15"/>
      <c r="H343" s="15"/>
      <c r="I343" s="15"/>
      <c r="J343" s="15"/>
      <c r="K343" s="15"/>
      <c r="L343" s="15"/>
      <c r="M343" s="16" t="s">
        <v>1147</v>
      </c>
      <c r="N343" s="15"/>
    </row>
    <row r="344" spans="1:14" ht="12.75">
      <c r="A344" s="15"/>
      <c r="B344" s="15"/>
      <c r="C344" s="15"/>
      <c r="D344" s="15"/>
      <c r="E344" s="15" t="s">
        <v>1097</v>
      </c>
      <c r="F344" s="15"/>
      <c r="G344" s="15"/>
      <c r="H344" s="15"/>
      <c r="I344" s="15"/>
      <c r="J344" s="15"/>
      <c r="K344" s="15"/>
      <c r="L344" s="15"/>
      <c r="M344" s="16" t="s">
        <v>817</v>
      </c>
      <c r="N344" s="15" t="s">
        <v>1148</v>
      </c>
    </row>
    <row r="345" spans="1:14" ht="22.5">
      <c r="A345" s="15"/>
      <c r="B345" s="15"/>
      <c r="C345" s="15"/>
      <c r="D345" s="15"/>
      <c r="E345" s="15" t="s">
        <v>1129</v>
      </c>
      <c r="F345" s="15"/>
      <c r="G345" s="15"/>
      <c r="H345" s="15"/>
      <c r="I345" s="15"/>
      <c r="J345" s="15"/>
      <c r="K345" s="15"/>
      <c r="L345" s="15"/>
      <c r="M345" s="16" t="s">
        <v>1149</v>
      </c>
      <c r="N345" s="15" t="s">
        <v>1150</v>
      </c>
    </row>
    <row r="346" spans="1:14" ht="22.5">
      <c r="A346" s="15"/>
      <c r="B346" s="15"/>
      <c r="C346" s="15"/>
      <c r="D346" s="15"/>
      <c r="E346" s="15" t="s">
        <v>1151</v>
      </c>
      <c r="F346" s="15"/>
      <c r="G346" s="15"/>
      <c r="H346" s="15"/>
      <c r="I346" s="15"/>
      <c r="J346" s="15"/>
      <c r="K346" s="15"/>
      <c r="L346" s="15"/>
      <c r="M346" s="16" t="s">
        <v>1152</v>
      </c>
      <c r="N346" s="15" t="s">
        <v>1153</v>
      </c>
    </row>
    <row r="347" spans="1:14" ht="12.75">
      <c r="A347" s="15"/>
      <c r="B347" s="15"/>
      <c r="C347" s="15"/>
      <c r="D347" s="15"/>
      <c r="E347" s="15" t="s">
        <v>1154</v>
      </c>
      <c r="F347" s="15"/>
      <c r="G347" s="15"/>
      <c r="H347" s="15"/>
      <c r="I347" s="15"/>
      <c r="J347" s="15"/>
      <c r="K347" s="15"/>
      <c r="L347" s="15"/>
      <c r="M347" s="16" t="s">
        <v>1155</v>
      </c>
      <c r="N347" s="15"/>
    </row>
    <row r="348" spans="1:14" ht="22.5">
      <c r="A348" s="15"/>
      <c r="B348" s="15"/>
      <c r="C348" s="15"/>
      <c r="D348" s="15"/>
      <c r="E348" s="15"/>
      <c r="F348" s="15" t="s">
        <v>1156</v>
      </c>
      <c r="G348" s="15"/>
      <c r="H348" s="15"/>
      <c r="I348" s="15"/>
      <c r="J348" s="15"/>
      <c r="K348" s="15"/>
      <c r="L348" s="15"/>
      <c r="M348" s="16" t="s">
        <v>1157</v>
      </c>
      <c r="N348" s="15" t="s">
        <v>1158</v>
      </c>
    </row>
    <row r="349" spans="1:14" ht="12.75">
      <c r="A349" s="15"/>
      <c r="B349" s="15"/>
      <c r="C349" s="15"/>
      <c r="D349" s="15"/>
      <c r="E349" s="15" t="s">
        <v>848</v>
      </c>
      <c r="F349" s="15"/>
      <c r="G349" s="15"/>
      <c r="H349" s="15"/>
      <c r="I349" s="15"/>
      <c r="J349" s="15"/>
      <c r="K349" s="15"/>
      <c r="L349" s="15"/>
      <c r="M349" s="16"/>
      <c r="N349" s="15"/>
    </row>
    <row r="350" spans="1:14" ht="22.5">
      <c r="A350" s="15"/>
      <c r="B350" s="15"/>
      <c r="C350" s="15"/>
      <c r="D350" s="15"/>
      <c r="E350" s="15" t="s">
        <v>1132</v>
      </c>
      <c r="F350" s="15"/>
      <c r="G350" s="15"/>
      <c r="H350" s="15"/>
      <c r="I350" s="15"/>
      <c r="J350" s="15"/>
      <c r="K350" s="15"/>
      <c r="L350" s="15"/>
      <c r="M350" s="16" t="s">
        <v>1133</v>
      </c>
      <c r="N350" s="15"/>
    </row>
    <row r="351" spans="1:14" ht="12.75">
      <c r="A351" s="15"/>
      <c r="B351" s="15"/>
      <c r="C351" s="15"/>
      <c r="D351" s="15"/>
      <c r="E351" s="15"/>
      <c r="F351" s="15" t="s">
        <v>862</v>
      </c>
      <c r="G351" s="15"/>
      <c r="H351" s="15"/>
      <c r="I351" s="15"/>
      <c r="J351" s="15"/>
      <c r="K351" s="15"/>
      <c r="L351" s="15"/>
      <c r="M351" s="16" t="s">
        <v>926</v>
      </c>
      <c r="N351" s="15"/>
    </row>
    <row r="352" spans="1:14" ht="12.75">
      <c r="A352" s="15"/>
      <c r="B352" s="15"/>
      <c r="C352" s="15"/>
      <c r="D352" s="15"/>
      <c r="E352" s="15" t="s">
        <v>848</v>
      </c>
      <c r="F352" s="15"/>
      <c r="G352" s="15"/>
      <c r="H352" s="15"/>
      <c r="I352" s="15"/>
      <c r="J352" s="15"/>
      <c r="K352" s="15"/>
      <c r="L352" s="15"/>
      <c r="M352" s="16"/>
      <c r="N352" s="15"/>
    </row>
    <row r="353" spans="1:14" ht="33.75">
      <c r="A353" s="15"/>
      <c r="B353" s="15"/>
      <c r="C353" s="15"/>
      <c r="D353" s="15"/>
      <c r="E353" s="15" t="s">
        <v>1159</v>
      </c>
      <c r="F353" s="15"/>
      <c r="G353" s="15"/>
      <c r="H353" s="15"/>
      <c r="I353" s="15"/>
      <c r="J353" s="15"/>
      <c r="K353" s="15"/>
      <c r="L353" s="15"/>
      <c r="M353" s="16" t="s">
        <v>1160</v>
      </c>
      <c r="N353" s="15"/>
    </row>
    <row r="354" spans="1:14" ht="22.5">
      <c r="A354" s="15"/>
      <c r="B354" s="15"/>
      <c r="C354" s="15"/>
      <c r="D354" s="15"/>
      <c r="E354" s="15"/>
      <c r="F354" s="15" t="s">
        <v>1161</v>
      </c>
      <c r="G354" s="15"/>
      <c r="H354" s="15"/>
      <c r="I354" s="15"/>
      <c r="J354" s="15"/>
      <c r="K354" s="15"/>
      <c r="L354" s="15"/>
      <c r="M354" s="16" t="s">
        <v>1162</v>
      </c>
      <c r="N354" s="15"/>
    </row>
    <row r="355" spans="1:14" ht="12.75">
      <c r="A355" s="15"/>
      <c r="B355" s="15"/>
      <c r="C355" s="15"/>
      <c r="D355" s="15"/>
      <c r="E355" s="15"/>
      <c r="F355" s="15" t="s">
        <v>848</v>
      </c>
      <c r="G355" s="15"/>
      <c r="H355" s="15"/>
      <c r="I355" s="15"/>
      <c r="J355" s="15"/>
      <c r="K355" s="15"/>
      <c r="L355" s="15"/>
      <c r="M355" s="16"/>
      <c r="N355" s="15"/>
    </row>
    <row r="356" spans="1:14" ht="12.75">
      <c r="A356" s="15"/>
      <c r="B356" s="15"/>
      <c r="C356" s="15"/>
      <c r="D356" s="15"/>
      <c r="E356" s="15" t="s">
        <v>858</v>
      </c>
      <c r="F356" s="15"/>
      <c r="G356" s="15"/>
      <c r="H356" s="15"/>
      <c r="I356" s="15"/>
      <c r="J356" s="15"/>
      <c r="K356" s="15"/>
      <c r="L356" s="15"/>
      <c r="M356" s="16"/>
      <c r="N356" s="15"/>
    </row>
    <row r="357" spans="1:14" ht="12.75">
      <c r="A357" s="15"/>
      <c r="B357" s="15"/>
      <c r="C357" s="15"/>
      <c r="D357" s="15" t="s">
        <v>848</v>
      </c>
      <c r="E357" s="15"/>
      <c r="F357" s="15"/>
      <c r="G357" s="15"/>
      <c r="H357" s="15"/>
      <c r="I357" s="15"/>
      <c r="J357" s="15"/>
      <c r="K357" s="15"/>
      <c r="L357" s="15"/>
      <c r="M357" s="16"/>
      <c r="N357" s="15"/>
    </row>
    <row r="358" spans="1:14" ht="12.75">
      <c r="A358" s="15"/>
      <c r="B358" s="15"/>
      <c r="C358" s="15" t="s">
        <v>848</v>
      </c>
      <c r="D358" s="15"/>
      <c r="E358" s="15"/>
      <c r="F358" s="15"/>
      <c r="G358" s="15"/>
      <c r="H358" s="15"/>
      <c r="I358" s="15"/>
      <c r="J358" s="15"/>
      <c r="K358" s="15"/>
      <c r="L358" s="15"/>
      <c r="M358" s="16"/>
      <c r="N358" s="15"/>
    </row>
    <row r="359" spans="1:14" ht="12.75">
      <c r="A359" s="15"/>
      <c r="B359" s="15"/>
      <c r="C359" s="15" t="s">
        <v>815</v>
      </c>
      <c r="D359" s="15"/>
      <c r="E359" s="15"/>
      <c r="F359" s="15"/>
      <c r="G359" s="15"/>
      <c r="H359" s="15"/>
      <c r="I359" s="15"/>
      <c r="J359" s="15"/>
      <c r="K359" s="15"/>
      <c r="L359" s="15"/>
      <c r="M359" s="16" t="s">
        <v>1163</v>
      </c>
      <c r="N359" s="15"/>
    </row>
    <row r="360" spans="1:14" ht="12.75">
      <c r="A360" s="15"/>
      <c r="B360" s="15"/>
      <c r="C360" s="15"/>
      <c r="D360" s="15" t="s">
        <v>833</v>
      </c>
      <c r="E360" s="15"/>
      <c r="F360" s="15"/>
      <c r="G360" s="15"/>
      <c r="H360" s="15"/>
      <c r="I360" s="15"/>
      <c r="J360" s="15"/>
      <c r="K360" s="15"/>
      <c r="L360" s="15"/>
      <c r="M360" s="16" t="s">
        <v>834</v>
      </c>
      <c r="N360" s="15"/>
    </row>
    <row r="361" spans="1:14" ht="67.5">
      <c r="A361" s="15"/>
      <c r="B361" s="15"/>
      <c r="C361" s="15"/>
      <c r="D361" s="15" t="s">
        <v>835</v>
      </c>
      <c r="E361" s="15"/>
      <c r="F361" s="15"/>
      <c r="G361" s="15"/>
      <c r="H361" s="15"/>
      <c r="I361" s="15"/>
      <c r="J361" s="15"/>
      <c r="K361" s="15"/>
      <c r="L361" s="15"/>
      <c r="M361" s="16" t="s">
        <v>1164</v>
      </c>
      <c r="N361" s="15"/>
    </row>
    <row r="362" spans="1:14" ht="12.75">
      <c r="A362" s="15"/>
      <c r="B362" s="15"/>
      <c r="C362" s="15"/>
      <c r="D362" s="15"/>
      <c r="E362" s="15" t="s">
        <v>1097</v>
      </c>
      <c r="F362" s="15"/>
      <c r="G362" s="15"/>
      <c r="H362" s="15"/>
      <c r="I362" s="15"/>
      <c r="J362" s="15"/>
      <c r="K362" s="15"/>
      <c r="L362" s="15"/>
      <c r="M362" s="16" t="s">
        <v>1165</v>
      </c>
      <c r="N362" s="15" t="s">
        <v>1166</v>
      </c>
    </row>
    <row r="363" spans="1:14" ht="22.5">
      <c r="A363" s="15"/>
      <c r="B363" s="15"/>
      <c r="C363" s="15"/>
      <c r="D363" s="15"/>
      <c r="E363" s="15" t="s">
        <v>896</v>
      </c>
      <c r="F363" s="15"/>
      <c r="G363" s="15"/>
      <c r="H363" s="15"/>
      <c r="I363" s="15"/>
      <c r="J363" s="15"/>
      <c r="K363" s="15"/>
      <c r="L363" s="15"/>
      <c r="M363" s="16" t="s">
        <v>1167</v>
      </c>
      <c r="N363" s="15"/>
    </row>
    <row r="364" spans="1:14" ht="12.75">
      <c r="A364" s="15"/>
      <c r="B364" s="15"/>
      <c r="C364" s="15"/>
      <c r="D364" s="15"/>
      <c r="E364" s="15"/>
      <c r="F364" s="15" t="s">
        <v>1168</v>
      </c>
      <c r="G364" s="15"/>
      <c r="H364" s="15"/>
      <c r="I364" s="15"/>
      <c r="J364" s="15"/>
      <c r="K364" s="15"/>
      <c r="L364" s="15"/>
      <c r="M364" s="16" t="s">
        <v>1169</v>
      </c>
      <c r="N364" s="15"/>
    </row>
    <row r="365" spans="1:14" ht="12.75">
      <c r="A365" s="15"/>
      <c r="B365" s="15"/>
      <c r="C365" s="15"/>
      <c r="D365" s="15"/>
      <c r="E365" s="15"/>
      <c r="F365" s="15"/>
      <c r="G365" s="15" t="s">
        <v>890</v>
      </c>
      <c r="H365" s="15"/>
      <c r="I365" s="15"/>
      <c r="J365" s="15"/>
      <c r="K365" s="15"/>
      <c r="L365" s="15"/>
      <c r="M365" s="16" t="s">
        <v>1170</v>
      </c>
      <c r="N365" s="18" t="s">
        <v>1171</v>
      </c>
    </row>
    <row r="366" spans="1:14" ht="12.75">
      <c r="A366" s="15"/>
      <c r="B366" s="15"/>
      <c r="C366" s="15"/>
      <c r="D366" s="15"/>
      <c r="E366" s="15"/>
      <c r="F366" s="15"/>
      <c r="G366" s="15" t="s">
        <v>900</v>
      </c>
      <c r="H366" s="15"/>
      <c r="I366" s="15"/>
      <c r="J366" s="15"/>
      <c r="K366" s="15"/>
      <c r="L366" s="15"/>
      <c r="M366" s="16" t="s">
        <v>1172</v>
      </c>
      <c r="N366" s="15"/>
    </row>
    <row r="367" spans="1:14" ht="12.75">
      <c r="A367" s="15"/>
      <c r="B367" s="15"/>
      <c r="C367" s="15"/>
      <c r="D367" s="15"/>
      <c r="E367" s="15"/>
      <c r="F367" s="15" t="s">
        <v>848</v>
      </c>
      <c r="G367" s="15"/>
      <c r="H367" s="15"/>
      <c r="I367" s="15"/>
      <c r="J367" s="15"/>
      <c r="K367" s="15"/>
      <c r="L367" s="15"/>
      <c r="M367" s="16"/>
      <c r="N367" s="15"/>
    </row>
    <row r="368" spans="1:14" ht="12.75">
      <c r="A368" s="15"/>
      <c r="B368" s="15"/>
      <c r="C368" s="15"/>
      <c r="D368" s="15"/>
      <c r="E368" s="15" t="s">
        <v>858</v>
      </c>
      <c r="F368" s="15"/>
      <c r="G368" s="15"/>
      <c r="H368" s="15"/>
      <c r="I368" s="15"/>
      <c r="J368" s="15"/>
      <c r="K368" s="15"/>
      <c r="L368" s="15"/>
      <c r="M368" s="16"/>
      <c r="N368" s="15"/>
    </row>
    <row r="369" spans="1:14" ht="22.5">
      <c r="A369" s="15"/>
      <c r="B369" s="15"/>
      <c r="C369" s="15"/>
      <c r="D369" s="15"/>
      <c r="E369" s="15" t="s">
        <v>1173</v>
      </c>
      <c r="F369" s="15"/>
      <c r="G369" s="15"/>
      <c r="H369" s="15"/>
      <c r="I369" s="15"/>
      <c r="J369" s="15"/>
      <c r="K369" s="15"/>
      <c r="L369" s="15"/>
      <c r="M369" s="16" t="s">
        <v>1174</v>
      </c>
      <c r="N369" s="15"/>
    </row>
    <row r="370" spans="1:14" ht="12.75">
      <c r="A370" s="15"/>
      <c r="B370" s="15"/>
      <c r="C370" s="15"/>
      <c r="D370" s="15"/>
      <c r="E370" s="15"/>
      <c r="F370" s="15" t="s">
        <v>862</v>
      </c>
      <c r="G370" s="15"/>
      <c r="H370" s="15"/>
      <c r="I370" s="15"/>
      <c r="J370" s="15"/>
      <c r="K370" s="15"/>
      <c r="L370" s="15"/>
      <c r="M370" s="16" t="s">
        <v>1175</v>
      </c>
      <c r="N370" s="15"/>
    </row>
    <row r="371" spans="1:14" ht="12.75">
      <c r="A371" s="15"/>
      <c r="B371" s="15"/>
      <c r="C371" s="15"/>
      <c r="D371" s="15"/>
      <c r="E371" s="15" t="s">
        <v>848</v>
      </c>
      <c r="F371" s="15"/>
      <c r="G371" s="15"/>
      <c r="H371" s="15"/>
      <c r="I371" s="15"/>
      <c r="J371" s="15"/>
      <c r="K371" s="15"/>
      <c r="L371" s="15"/>
      <c r="M371" s="16"/>
      <c r="N371" s="15"/>
    </row>
    <row r="372" spans="1:14" ht="12.75">
      <c r="A372" s="15"/>
      <c r="B372" s="15"/>
      <c r="C372" s="15"/>
      <c r="D372" s="15"/>
      <c r="E372" s="15" t="s">
        <v>1176</v>
      </c>
      <c r="F372" s="15"/>
      <c r="G372" s="15"/>
      <c r="H372" s="15"/>
      <c r="I372" s="15"/>
      <c r="J372" s="15"/>
      <c r="K372" s="15"/>
      <c r="L372" s="15"/>
      <c r="M372" s="16"/>
      <c r="N372" s="15"/>
    </row>
    <row r="373" spans="1:14" ht="12.75">
      <c r="A373" s="15"/>
      <c r="B373" s="15"/>
      <c r="C373" s="15"/>
      <c r="D373" s="15"/>
      <c r="E373" s="15"/>
      <c r="F373" s="15" t="s">
        <v>862</v>
      </c>
      <c r="G373" s="15"/>
      <c r="H373" s="15"/>
      <c r="I373" s="15"/>
      <c r="J373" s="15"/>
      <c r="K373" s="15"/>
      <c r="L373" s="15"/>
      <c r="M373" s="16" t="s">
        <v>1175</v>
      </c>
      <c r="N373" s="15"/>
    </row>
    <row r="374" spans="1:14" ht="12.75">
      <c r="A374" s="15"/>
      <c r="B374" s="15"/>
      <c r="C374" s="15"/>
      <c r="D374" s="15"/>
      <c r="E374" s="15" t="s">
        <v>848</v>
      </c>
      <c r="F374" s="15"/>
      <c r="G374" s="15"/>
      <c r="H374" s="15"/>
      <c r="I374" s="15"/>
      <c r="J374" s="15"/>
      <c r="K374" s="15"/>
      <c r="L374" s="15"/>
      <c r="M374" s="16"/>
      <c r="N374" s="15"/>
    </row>
    <row r="375" spans="1:14" ht="12.75">
      <c r="A375" s="15"/>
      <c r="B375" s="15"/>
      <c r="C375" s="15"/>
      <c r="D375" s="15"/>
      <c r="E375" s="15" t="s">
        <v>1177</v>
      </c>
      <c r="F375" s="15"/>
      <c r="G375" s="15"/>
      <c r="H375" s="15"/>
      <c r="I375" s="15"/>
      <c r="J375" s="15"/>
      <c r="K375" s="15"/>
      <c r="L375" s="15"/>
      <c r="M375" s="16"/>
      <c r="N375" s="15"/>
    </row>
    <row r="376" spans="1:14" ht="12.75">
      <c r="A376" s="15"/>
      <c r="B376" s="15"/>
      <c r="C376" s="15"/>
      <c r="D376" s="15"/>
      <c r="E376" s="15"/>
      <c r="F376" s="15" t="s">
        <v>889</v>
      </c>
      <c r="G376" s="15"/>
      <c r="H376" s="15"/>
      <c r="I376" s="15"/>
      <c r="J376" s="15"/>
      <c r="K376" s="15"/>
      <c r="L376" s="15"/>
      <c r="M376" s="16"/>
      <c r="N376" s="15"/>
    </row>
    <row r="377" spans="1:14" ht="12.75">
      <c r="A377" s="15"/>
      <c r="B377" s="15"/>
      <c r="C377" s="15"/>
      <c r="D377" s="15"/>
      <c r="E377" s="15"/>
      <c r="F377" s="15"/>
      <c r="G377" s="15" t="s">
        <v>890</v>
      </c>
      <c r="H377" s="15"/>
      <c r="I377" s="15"/>
      <c r="J377" s="15"/>
      <c r="K377" s="15"/>
      <c r="L377" s="15"/>
      <c r="M377" s="16" t="s">
        <v>1178</v>
      </c>
      <c r="N377" s="18" t="s">
        <v>1179</v>
      </c>
    </row>
    <row r="378" spans="1:14" ht="12.75">
      <c r="A378" s="15"/>
      <c r="B378" s="15"/>
      <c r="C378" s="15"/>
      <c r="D378" s="15"/>
      <c r="E378" s="15"/>
      <c r="F378" s="15"/>
      <c r="G378" s="15" t="s">
        <v>921</v>
      </c>
      <c r="H378" s="15"/>
      <c r="I378" s="15"/>
      <c r="J378" s="15"/>
      <c r="K378" s="15"/>
      <c r="L378" s="15"/>
      <c r="M378" s="16" t="s">
        <v>1180</v>
      </c>
      <c r="N378" s="15"/>
    </row>
    <row r="379" spans="1:14" ht="12.75">
      <c r="A379" s="15"/>
      <c r="B379" s="15"/>
      <c r="C379" s="15"/>
      <c r="D379" s="15"/>
      <c r="E379" s="15"/>
      <c r="F379" s="15"/>
      <c r="G379" s="15" t="s">
        <v>864</v>
      </c>
      <c r="H379" s="15"/>
      <c r="I379" s="15"/>
      <c r="J379" s="15"/>
      <c r="K379" s="15"/>
      <c r="L379" s="15"/>
      <c r="M379" s="16" t="s">
        <v>1181</v>
      </c>
      <c r="N379" s="15"/>
    </row>
    <row r="380" spans="1:14" ht="12.75">
      <c r="A380" s="15"/>
      <c r="B380" s="15"/>
      <c r="C380" s="15"/>
      <c r="D380" s="15"/>
      <c r="E380" s="15"/>
      <c r="F380" s="15" t="s">
        <v>858</v>
      </c>
      <c r="G380" s="15"/>
      <c r="H380" s="15"/>
      <c r="I380" s="15"/>
      <c r="J380" s="15"/>
      <c r="K380" s="15"/>
      <c r="L380" s="15"/>
      <c r="M380" s="16"/>
      <c r="N380" s="15"/>
    </row>
    <row r="381" spans="1:14" ht="12.75">
      <c r="A381" s="15"/>
      <c r="B381" s="15"/>
      <c r="C381" s="15"/>
      <c r="D381" s="15"/>
      <c r="E381" s="15" t="s">
        <v>858</v>
      </c>
      <c r="F381" s="15"/>
      <c r="G381" s="15"/>
      <c r="H381" s="15"/>
      <c r="I381" s="15"/>
      <c r="J381" s="15"/>
      <c r="K381" s="15"/>
      <c r="L381" s="15"/>
      <c r="M381" s="16"/>
      <c r="N381" s="15"/>
    </row>
    <row r="382" spans="1:14" ht="12.75">
      <c r="A382" s="15"/>
      <c r="B382" s="15"/>
      <c r="C382" s="15"/>
      <c r="D382" s="15"/>
      <c r="E382" s="15" t="s">
        <v>1085</v>
      </c>
      <c r="F382" s="15"/>
      <c r="G382" s="15"/>
      <c r="H382" s="15"/>
      <c r="I382" s="15"/>
      <c r="J382" s="15"/>
      <c r="K382" s="15"/>
      <c r="L382" s="15"/>
      <c r="M382" s="16" t="s">
        <v>1182</v>
      </c>
      <c r="N382" s="15"/>
    </row>
    <row r="383" spans="1:14" ht="12.75">
      <c r="A383" s="15"/>
      <c r="B383" s="15"/>
      <c r="C383" s="15"/>
      <c r="D383" s="15"/>
      <c r="E383" s="15"/>
      <c r="F383" s="15" t="s">
        <v>823</v>
      </c>
      <c r="G383" s="15"/>
      <c r="H383" s="15"/>
      <c r="I383" s="15"/>
      <c r="J383" s="15"/>
      <c r="K383" s="15"/>
      <c r="L383" s="15"/>
      <c r="M383" s="16" t="s">
        <v>1087</v>
      </c>
      <c r="N383" s="15" t="s">
        <v>1119</v>
      </c>
    </row>
    <row r="384" spans="1:14" ht="22.5">
      <c r="A384" s="15"/>
      <c r="B384" s="15"/>
      <c r="C384" s="15"/>
      <c r="D384" s="15"/>
      <c r="E384" s="15"/>
      <c r="F384" s="15" t="s">
        <v>1077</v>
      </c>
      <c r="G384" s="15"/>
      <c r="H384" s="15"/>
      <c r="I384" s="15"/>
      <c r="J384" s="15"/>
      <c r="K384" s="15"/>
      <c r="L384" s="15"/>
      <c r="M384" s="16" t="s">
        <v>1120</v>
      </c>
      <c r="N384" s="15" t="s">
        <v>1121</v>
      </c>
    </row>
    <row r="385" spans="1:14" ht="22.5">
      <c r="A385" s="15"/>
      <c r="B385" s="15"/>
      <c r="C385" s="15"/>
      <c r="D385" s="15"/>
      <c r="E385" s="15"/>
      <c r="F385" s="15" t="s">
        <v>826</v>
      </c>
      <c r="G385" s="15"/>
      <c r="H385" s="15"/>
      <c r="I385" s="15"/>
      <c r="J385" s="15"/>
      <c r="K385" s="15"/>
      <c r="L385" s="15"/>
      <c r="M385" s="16" t="s">
        <v>1091</v>
      </c>
      <c r="N385" s="15"/>
    </row>
    <row r="386" spans="1:14" ht="12.75">
      <c r="A386" s="15"/>
      <c r="B386" s="15"/>
      <c r="C386" s="15"/>
      <c r="D386" s="15"/>
      <c r="E386" s="15" t="s">
        <v>858</v>
      </c>
      <c r="F386" s="15"/>
      <c r="G386" s="15"/>
      <c r="H386" s="15"/>
      <c r="I386" s="15"/>
      <c r="J386" s="15"/>
      <c r="K386" s="15"/>
      <c r="L386" s="15"/>
      <c r="M386" s="16"/>
      <c r="N386" s="15"/>
    </row>
    <row r="387" spans="1:14" ht="12.75">
      <c r="A387" s="15"/>
      <c r="B387" s="15"/>
      <c r="C387" s="15"/>
      <c r="D387" s="15" t="s">
        <v>848</v>
      </c>
      <c r="E387" s="15"/>
      <c r="F387" s="15"/>
      <c r="G387" s="15"/>
      <c r="H387" s="15"/>
      <c r="I387" s="15"/>
      <c r="J387" s="15"/>
      <c r="K387" s="15"/>
      <c r="L387" s="15"/>
      <c r="M387" s="16"/>
      <c r="N387" s="15"/>
    </row>
    <row r="388" spans="1:14" ht="12.75">
      <c r="A388" s="15"/>
      <c r="B388" s="15"/>
      <c r="C388" s="15" t="s">
        <v>848</v>
      </c>
      <c r="D388" s="15"/>
      <c r="E388" s="15"/>
      <c r="F388" s="15"/>
      <c r="G388" s="15"/>
      <c r="H388" s="15"/>
      <c r="I388" s="15"/>
      <c r="J388" s="15"/>
      <c r="K388" s="15"/>
      <c r="L388" s="15"/>
      <c r="M388" s="16"/>
      <c r="N388" s="15"/>
    </row>
    <row r="389" spans="1:14" ht="12.75">
      <c r="A389" s="15"/>
      <c r="B389" s="15"/>
      <c r="C389" s="15" t="s">
        <v>815</v>
      </c>
      <c r="D389" s="15"/>
      <c r="E389" s="15"/>
      <c r="F389" s="15"/>
      <c r="G389" s="15"/>
      <c r="H389" s="15"/>
      <c r="I389" s="15"/>
      <c r="J389" s="15"/>
      <c r="K389" s="15"/>
      <c r="L389" s="15"/>
      <c r="M389" s="16" t="s">
        <v>1183</v>
      </c>
      <c r="N389" s="15"/>
    </row>
    <row r="390" spans="1:14" ht="12.75">
      <c r="A390" s="15"/>
      <c r="B390" s="15"/>
      <c r="C390" s="15"/>
      <c r="D390" s="15" t="s">
        <v>833</v>
      </c>
      <c r="E390" s="15"/>
      <c r="F390" s="15"/>
      <c r="G390" s="15"/>
      <c r="H390" s="15"/>
      <c r="I390" s="15"/>
      <c r="J390" s="15"/>
      <c r="K390" s="15"/>
      <c r="L390" s="15"/>
      <c r="M390" s="16" t="s">
        <v>834</v>
      </c>
      <c r="N390" s="15"/>
    </row>
    <row r="391" spans="1:14" ht="22.5">
      <c r="A391" s="15"/>
      <c r="B391" s="15"/>
      <c r="C391" s="15"/>
      <c r="D391" s="15" t="s">
        <v>835</v>
      </c>
      <c r="E391" s="15"/>
      <c r="F391" s="15"/>
      <c r="G391" s="15"/>
      <c r="H391" s="15"/>
      <c r="I391" s="15"/>
      <c r="J391" s="15"/>
      <c r="K391" s="15"/>
      <c r="L391" s="15"/>
      <c r="M391" s="16" t="s">
        <v>1184</v>
      </c>
      <c r="N391" s="15"/>
    </row>
    <row r="392" spans="1:14" ht="12.75">
      <c r="A392" s="15"/>
      <c r="B392" s="15"/>
      <c r="C392" s="15"/>
      <c r="D392" s="15"/>
      <c r="E392" s="15" t="s">
        <v>816</v>
      </c>
      <c r="F392" s="15"/>
      <c r="G392" s="15"/>
      <c r="H392" s="15"/>
      <c r="I392" s="15"/>
      <c r="J392" s="15"/>
      <c r="K392" s="15"/>
      <c r="L392" s="15"/>
      <c r="M392" s="16" t="s">
        <v>817</v>
      </c>
      <c r="N392" s="15" t="s">
        <v>1185</v>
      </c>
    </row>
    <row r="393" spans="1:14" ht="33.75">
      <c r="A393" s="15"/>
      <c r="B393" s="15"/>
      <c r="C393" s="15"/>
      <c r="D393" s="15"/>
      <c r="E393" s="15" t="s">
        <v>896</v>
      </c>
      <c r="F393" s="15"/>
      <c r="G393" s="15"/>
      <c r="H393" s="15"/>
      <c r="I393" s="15"/>
      <c r="J393" s="15"/>
      <c r="K393" s="15"/>
      <c r="L393" s="15"/>
      <c r="M393" s="16" t="s">
        <v>1186</v>
      </c>
      <c r="N393" s="15"/>
    </row>
    <row r="394" spans="1:14" ht="12.75">
      <c r="A394" s="15"/>
      <c r="B394" s="15"/>
      <c r="C394" s="15"/>
      <c r="D394" s="15"/>
      <c r="E394" s="15"/>
      <c r="F394" s="15" t="s">
        <v>890</v>
      </c>
      <c r="G394" s="15"/>
      <c r="H394" s="15"/>
      <c r="I394" s="15"/>
      <c r="J394" s="15"/>
      <c r="K394" s="15"/>
      <c r="L394" s="15"/>
      <c r="M394" s="16" t="s">
        <v>1187</v>
      </c>
      <c r="N394" s="15" t="s">
        <v>1188</v>
      </c>
    </row>
    <row r="395" spans="1:14" ht="12.75">
      <c r="A395" s="15"/>
      <c r="B395" s="15"/>
      <c r="C395" s="15"/>
      <c r="D395" s="15"/>
      <c r="E395" s="15"/>
      <c r="F395" s="15" t="s">
        <v>900</v>
      </c>
      <c r="G395" s="15"/>
      <c r="H395" s="15"/>
      <c r="I395" s="15"/>
      <c r="J395" s="15"/>
      <c r="K395" s="15"/>
      <c r="L395" s="15"/>
      <c r="M395" s="16" t="s">
        <v>1189</v>
      </c>
      <c r="N395" s="15"/>
    </row>
    <row r="396" spans="1:14" ht="12.75">
      <c r="A396" s="15"/>
      <c r="B396" s="15"/>
      <c r="C396" s="15"/>
      <c r="D396" s="15"/>
      <c r="E396" s="15" t="s">
        <v>858</v>
      </c>
      <c r="F396" s="15"/>
      <c r="G396" s="15"/>
      <c r="H396" s="15"/>
      <c r="I396" s="15"/>
      <c r="J396" s="15"/>
      <c r="K396" s="15"/>
      <c r="L396" s="15"/>
      <c r="M396" s="16"/>
      <c r="N396" s="15"/>
    </row>
    <row r="397" spans="1:14" ht="12.75">
      <c r="A397" s="15"/>
      <c r="B397" s="15"/>
      <c r="C397" s="15"/>
      <c r="D397" s="15"/>
      <c r="E397" s="15" t="s">
        <v>1059</v>
      </c>
      <c r="F397" s="15"/>
      <c r="G397" s="15"/>
      <c r="H397" s="15"/>
      <c r="I397" s="15"/>
      <c r="J397" s="15"/>
      <c r="K397" s="15"/>
      <c r="L397" s="15"/>
      <c r="M397" s="16"/>
      <c r="N397" s="15"/>
    </row>
    <row r="398" spans="1:14" ht="12.75">
      <c r="A398" s="15"/>
      <c r="B398" s="15"/>
      <c r="C398" s="15"/>
      <c r="D398" s="15"/>
      <c r="E398" s="15"/>
      <c r="F398" s="15" t="s">
        <v>1063</v>
      </c>
      <c r="G398" s="15"/>
      <c r="H398" s="15"/>
      <c r="I398" s="15"/>
      <c r="J398" s="15"/>
      <c r="K398" s="15"/>
      <c r="L398" s="15"/>
      <c r="M398" s="16"/>
      <c r="N398" s="15"/>
    </row>
    <row r="399" spans="1:14" ht="12.75">
      <c r="A399" s="15"/>
      <c r="B399" s="15"/>
      <c r="C399" s="15"/>
      <c r="D399" s="15"/>
      <c r="E399" s="15"/>
      <c r="F399" s="15" t="s">
        <v>1066</v>
      </c>
      <c r="G399" s="15"/>
      <c r="H399" s="15"/>
      <c r="I399" s="15"/>
      <c r="J399" s="15"/>
      <c r="K399" s="15"/>
      <c r="L399" s="15"/>
      <c r="M399" s="16"/>
      <c r="N399" s="15"/>
    </row>
    <row r="400" spans="1:14" ht="12.75">
      <c r="A400" s="15"/>
      <c r="B400" s="15"/>
      <c r="C400" s="15"/>
      <c r="D400" s="15"/>
      <c r="E400" s="15"/>
      <c r="F400" s="15" t="s">
        <v>1068</v>
      </c>
      <c r="G400" s="15"/>
      <c r="H400" s="15"/>
      <c r="I400" s="15"/>
      <c r="J400" s="15"/>
      <c r="K400" s="15"/>
      <c r="L400" s="15"/>
      <c r="M400" s="16"/>
      <c r="N400" s="15"/>
    </row>
    <row r="401" spans="1:10" ht="12.75">
      <c r="A401" s="15"/>
      <c r="B401" s="15"/>
      <c r="C401" s="15"/>
      <c r="D401" s="15"/>
      <c r="E401" s="15" t="s">
        <v>858</v>
      </c>
      <c r="F401" s="15"/>
      <c r="G401" s="15"/>
      <c r="H401" s="15"/>
      <c r="I401" s="15"/>
      <c r="J401" s="15"/>
    </row>
    <row r="402" spans="1:10" ht="12.75">
      <c r="A402" s="15"/>
      <c r="B402" s="15"/>
      <c r="C402" s="15"/>
      <c r="D402" s="15" t="s">
        <v>848</v>
      </c>
      <c r="E402" s="15"/>
      <c r="F402" s="15"/>
      <c r="G402" s="15"/>
      <c r="H402" s="15"/>
      <c r="I402" s="15"/>
      <c r="J402" s="15"/>
    </row>
    <row r="403" spans="1:10" ht="12.75">
      <c r="A403" s="15"/>
      <c r="B403" s="15"/>
      <c r="C403" s="15" t="s">
        <v>848</v>
      </c>
      <c r="D403" s="15"/>
      <c r="E403" s="15"/>
      <c r="F403" s="15"/>
      <c r="G403" s="15"/>
      <c r="H403" s="15"/>
      <c r="I403" s="15"/>
      <c r="J403" s="15"/>
    </row>
    <row r="404" spans="1:10" ht="12.75">
      <c r="A404" s="15"/>
      <c r="B404" s="15" t="s">
        <v>858</v>
      </c>
      <c r="C404" s="15"/>
      <c r="D404" s="15"/>
      <c r="E404" s="15"/>
      <c r="F404" s="15"/>
      <c r="G404" s="15"/>
      <c r="H404" s="15"/>
      <c r="I404" s="15"/>
      <c r="J404" s="15"/>
    </row>
    <row r="405" spans="1:10" ht="12.75">
      <c r="A405" s="15" t="s">
        <v>848</v>
      </c>
      <c r="B405" s="15"/>
      <c r="C405" s="15"/>
      <c r="D405" s="15"/>
      <c r="E405" s="15"/>
      <c r="F405" s="15"/>
      <c r="G405" s="15"/>
      <c r="H405" s="15"/>
      <c r="I405" s="15"/>
      <c r="J405" s="15"/>
    </row>
  </sheetData>
  <hyperlinks>
    <hyperlink ref="N25" r:id="rId1" xr:uid="{00000000-0004-0000-0E00-000000000000}"/>
    <hyperlink ref="N33" r:id="rId2" xr:uid="{00000000-0004-0000-0E00-000001000000}"/>
    <hyperlink ref="M40" r:id="rId3" xr:uid="{00000000-0004-0000-0E00-000002000000}"/>
    <hyperlink ref="N57" r:id="rId4" xr:uid="{00000000-0004-0000-0E00-000003000000}"/>
    <hyperlink ref="N64" r:id="rId5" xr:uid="{00000000-0004-0000-0E00-000004000000}"/>
    <hyperlink ref="N66" r:id="rId6" xr:uid="{00000000-0004-0000-0E00-000005000000}"/>
    <hyperlink ref="N73" r:id="rId7" xr:uid="{00000000-0004-0000-0E00-000006000000}"/>
    <hyperlink ref="N76" r:id="rId8" xr:uid="{00000000-0004-0000-0E00-000007000000}"/>
    <hyperlink ref="N83" r:id="rId9" xr:uid="{00000000-0004-0000-0E00-000008000000}"/>
    <hyperlink ref="N90" r:id="rId10" xr:uid="{00000000-0004-0000-0E00-000009000000}"/>
    <hyperlink ref="N97" r:id="rId11" xr:uid="{00000000-0004-0000-0E00-00000A000000}"/>
    <hyperlink ref="N110" r:id="rId12" xr:uid="{00000000-0004-0000-0E00-00000B000000}"/>
    <hyperlink ref="N113" r:id="rId13" xr:uid="{00000000-0004-0000-0E00-00000C000000}"/>
    <hyperlink ref="N115" r:id="rId14" xr:uid="{00000000-0004-0000-0E00-00000D000000}"/>
    <hyperlink ref="N122" r:id="rId15" xr:uid="{00000000-0004-0000-0E00-00000E000000}"/>
    <hyperlink ref="N132" r:id="rId16" xr:uid="{00000000-0004-0000-0E00-00000F000000}"/>
    <hyperlink ref="N154" r:id="rId17" xr:uid="{00000000-0004-0000-0E00-000010000000}"/>
    <hyperlink ref="N161" r:id="rId18" xr:uid="{00000000-0004-0000-0E00-000011000000}"/>
    <hyperlink ref="N168" r:id="rId19" xr:uid="{00000000-0004-0000-0E00-000012000000}"/>
    <hyperlink ref="N213" r:id="rId20" xr:uid="{00000000-0004-0000-0E00-000013000000}"/>
    <hyperlink ref="N215" r:id="rId21" xr:uid="{00000000-0004-0000-0E00-000014000000}"/>
    <hyperlink ref="N227" r:id="rId22" xr:uid="{00000000-0004-0000-0E00-000015000000}"/>
    <hyperlink ref="N232" r:id="rId23" xr:uid="{00000000-0004-0000-0E00-000016000000}"/>
    <hyperlink ref="M233" r:id="rId24" xr:uid="{00000000-0004-0000-0E00-000017000000}"/>
    <hyperlink ref="N239" r:id="rId25" xr:uid="{00000000-0004-0000-0E00-000018000000}"/>
    <hyperlink ref="N253" r:id="rId26" xr:uid="{00000000-0004-0000-0E00-000019000000}"/>
    <hyperlink ref="N276" r:id="rId27" xr:uid="{00000000-0004-0000-0E00-00001A000000}"/>
    <hyperlink ref="N287" r:id="rId28" xr:uid="{00000000-0004-0000-0E00-00001B000000}"/>
    <hyperlink ref="N306" r:id="rId29" xr:uid="{00000000-0004-0000-0E00-00001C000000}"/>
    <hyperlink ref="N335" r:id="rId30" xr:uid="{00000000-0004-0000-0E00-00001D000000}"/>
    <hyperlink ref="N365" r:id="rId31" xr:uid="{00000000-0004-0000-0E00-00001E000000}"/>
    <hyperlink ref="N377" r:id="rId32" xr:uid="{00000000-0004-0000-0E00-00001F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M365"/>
  <sheetViews>
    <sheetView workbookViewId="0"/>
  </sheetViews>
  <sheetFormatPr defaultColWidth="12.5703125" defaultRowHeight="15" customHeight="1"/>
  <cols>
    <col min="1" max="1" width="9.28515625" customWidth="1"/>
    <col min="2" max="2" width="8.28515625" customWidth="1"/>
    <col min="3" max="3" width="9.28515625" customWidth="1"/>
    <col min="4" max="4" width="9.140625" customWidth="1"/>
    <col min="5" max="5" width="9.28515625" customWidth="1"/>
    <col min="6" max="11" width="9.7109375" customWidth="1"/>
    <col min="12" max="12" width="89.7109375" customWidth="1"/>
    <col min="13" max="13" width="98.28515625" customWidth="1"/>
  </cols>
  <sheetData>
    <row r="1" spans="1:13" ht="15" customHeight="1">
      <c r="A1" s="14" t="s">
        <v>1190</v>
      </c>
      <c r="B1" s="15"/>
      <c r="C1" s="15"/>
      <c r="D1" s="15"/>
      <c r="E1" s="15"/>
      <c r="F1" s="15"/>
      <c r="G1" s="15"/>
      <c r="H1" s="15"/>
      <c r="I1" s="15"/>
      <c r="J1" s="15"/>
      <c r="K1" s="15"/>
      <c r="L1" s="16"/>
      <c r="M1" s="15"/>
    </row>
    <row r="2" spans="1:13" ht="15" customHeight="1">
      <c r="A2" s="15" t="s">
        <v>815</v>
      </c>
      <c r="B2" s="15"/>
      <c r="C2" s="15"/>
      <c r="D2" s="15"/>
      <c r="E2" s="15"/>
      <c r="F2" s="15"/>
      <c r="G2" s="15"/>
      <c r="H2" s="15"/>
      <c r="I2" s="15"/>
      <c r="J2" s="15"/>
      <c r="K2" s="15"/>
      <c r="L2" s="16"/>
      <c r="M2" s="15"/>
    </row>
    <row r="3" spans="1:13" ht="15" customHeight="1">
      <c r="A3" s="15"/>
      <c r="B3" s="15" t="s">
        <v>816</v>
      </c>
      <c r="C3" s="15"/>
      <c r="D3" s="15"/>
      <c r="E3" s="15"/>
      <c r="F3" s="15"/>
      <c r="G3" s="15"/>
      <c r="H3" s="15"/>
      <c r="I3" s="15"/>
      <c r="J3" s="15"/>
      <c r="K3" s="15"/>
      <c r="L3" s="16" t="s">
        <v>817</v>
      </c>
      <c r="M3" s="15" t="s">
        <v>818</v>
      </c>
    </row>
    <row r="4" spans="1:13" ht="15" customHeight="1">
      <c r="A4" s="15"/>
      <c r="B4" s="15" t="s">
        <v>819</v>
      </c>
      <c r="C4" s="15"/>
      <c r="D4" s="15"/>
      <c r="E4" s="15"/>
      <c r="F4" s="15"/>
      <c r="G4" s="15"/>
      <c r="H4" s="15"/>
      <c r="I4" s="15"/>
      <c r="J4" s="15"/>
      <c r="K4" s="15"/>
      <c r="L4" s="16" t="s">
        <v>820</v>
      </c>
      <c r="M4" s="15" t="s">
        <v>821</v>
      </c>
    </row>
    <row r="5" spans="1:13" ht="15" customHeight="1">
      <c r="A5" s="15"/>
      <c r="B5" s="15" t="s">
        <v>822</v>
      </c>
      <c r="C5" s="15"/>
      <c r="D5" s="15"/>
      <c r="E5" s="15"/>
      <c r="F5" s="15"/>
      <c r="G5" s="15"/>
      <c r="H5" s="15"/>
      <c r="I5" s="15"/>
      <c r="J5" s="15"/>
      <c r="K5" s="15"/>
      <c r="L5" s="16"/>
      <c r="M5" s="15"/>
    </row>
    <row r="6" spans="1:13" ht="15" customHeight="1">
      <c r="A6" s="15"/>
      <c r="B6" s="15"/>
      <c r="C6" s="15" t="s">
        <v>823</v>
      </c>
      <c r="D6" s="15"/>
      <c r="E6" s="15"/>
      <c r="F6" s="15"/>
      <c r="G6" s="15"/>
      <c r="H6" s="15"/>
      <c r="I6" s="15"/>
      <c r="J6" s="15"/>
      <c r="K6" s="15"/>
      <c r="L6" s="16" t="s">
        <v>824</v>
      </c>
      <c r="M6" s="15" t="s">
        <v>825</v>
      </c>
    </row>
    <row r="7" spans="1:13" ht="15" customHeight="1">
      <c r="A7" s="15"/>
      <c r="B7" s="15"/>
      <c r="C7" s="15" t="s">
        <v>826</v>
      </c>
      <c r="D7" s="15"/>
      <c r="E7" s="15"/>
      <c r="F7" s="15"/>
      <c r="G7" s="15"/>
      <c r="H7" s="15"/>
      <c r="I7" s="15"/>
      <c r="J7" s="15"/>
      <c r="K7" s="15"/>
      <c r="L7" s="16" t="s">
        <v>827</v>
      </c>
      <c r="M7" s="15"/>
    </row>
    <row r="8" spans="1:13" ht="15" customHeight="1">
      <c r="A8" s="15"/>
      <c r="B8" s="15" t="s">
        <v>828</v>
      </c>
      <c r="C8" s="15"/>
      <c r="D8" s="15"/>
      <c r="E8" s="15"/>
      <c r="F8" s="15"/>
      <c r="G8" s="15"/>
      <c r="H8" s="15"/>
      <c r="I8" s="15"/>
      <c r="J8" s="15"/>
      <c r="K8" s="15"/>
      <c r="L8" s="16" t="s">
        <v>829</v>
      </c>
      <c r="M8" s="15" t="s">
        <v>830</v>
      </c>
    </row>
    <row r="9" spans="1:13" ht="15" customHeight="1">
      <c r="A9" s="15"/>
      <c r="B9" s="15" t="s">
        <v>831</v>
      </c>
      <c r="C9" s="15"/>
      <c r="D9" s="15"/>
      <c r="E9" s="15"/>
      <c r="F9" s="15"/>
      <c r="G9" s="15"/>
      <c r="H9" s="15"/>
      <c r="I9" s="15"/>
      <c r="J9" s="15"/>
      <c r="K9" s="15"/>
      <c r="L9" s="16" t="s">
        <v>832</v>
      </c>
      <c r="M9" s="15"/>
    </row>
    <row r="10" spans="1:13" ht="15" customHeight="1">
      <c r="A10" s="15"/>
      <c r="B10" s="15"/>
      <c r="C10" s="15" t="s">
        <v>815</v>
      </c>
      <c r="D10" s="15"/>
      <c r="E10" s="15"/>
      <c r="F10" s="15"/>
      <c r="G10" s="15"/>
      <c r="H10" s="15"/>
      <c r="I10" s="15"/>
      <c r="J10" s="15"/>
      <c r="K10" s="15"/>
      <c r="L10" s="16"/>
      <c r="M10" s="15"/>
    </row>
    <row r="11" spans="1:13" ht="15" customHeight="1">
      <c r="A11" s="15"/>
      <c r="B11" s="15"/>
      <c r="C11" s="17"/>
      <c r="D11" s="15" t="s">
        <v>833</v>
      </c>
      <c r="E11" s="15"/>
      <c r="F11" s="15"/>
      <c r="G11" s="15"/>
      <c r="H11" s="15"/>
      <c r="I11" s="15"/>
      <c r="J11" s="15"/>
      <c r="K11" s="15"/>
      <c r="L11" s="16" t="s">
        <v>834</v>
      </c>
      <c r="M11" s="15"/>
    </row>
    <row r="12" spans="1:13" ht="15" customHeight="1">
      <c r="A12" s="15"/>
      <c r="B12" s="15"/>
      <c r="C12" s="17"/>
      <c r="D12" s="15" t="s">
        <v>835</v>
      </c>
      <c r="E12" s="15"/>
      <c r="F12" s="15"/>
      <c r="G12" s="15"/>
      <c r="H12" s="15"/>
      <c r="I12" s="15"/>
      <c r="J12" s="15"/>
      <c r="K12" s="15"/>
      <c r="L12" s="16"/>
      <c r="M12" s="15"/>
    </row>
    <row r="13" spans="1:13" ht="15" customHeight="1">
      <c r="A13" s="15"/>
      <c r="B13" s="15"/>
      <c r="C13" s="17"/>
      <c r="D13" s="15"/>
      <c r="E13" s="15" t="s">
        <v>816</v>
      </c>
      <c r="F13" s="15"/>
      <c r="G13" s="15"/>
      <c r="H13" s="15"/>
      <c r="I13" s="15"/>
      <c r="J13" s="15"/>
      <c r="K13" s="15"/>
      <c r="L13" s="16" t="s">
        <v>817</v>
      </c>
      <c r="M13" s="15" t="s">
        <v>837</v>
      </c>
    </row>
    <row r="14" spans="1:13" ht="15" customHeight="1">
      <c r="A14" s="15"/>
      <c r="B14" s="15"/>
      <c r="C14" s="17"/>
      <c r="D14" s="15"/>
      <c r="E14" s="15" t="s">
        <v>1191</v>
      </c>
      <c r="F14" s="15"/>
      <c r="G14" s="15"/>
      <c r="H14" s="15"/>
      <c r="I14" s="15"/>
      <c r="J14" s="15"/>
      <c r="K14" s="15"/>
      <c r="L14" s="16" t="s">
        <v>1192</v>
      </c>
      <c r="M14" s="15"/>
    </row>
    <row r="15" spans="1:13" ht="15" customHeight="1">
      <c r="A15" s="15"/>
      <c r="B15" s="15"/>
      <c r="C15" s="17"/>
      <c r="D15" s="15"/>
      <c r="E15" s="15"/>
      <c r="F15" s="15" t="s">
        <v>823</v>
      </c>
      <c r="G15" s="15"/>
      <c r="H15" s="15"/>
      <c r="I15" s="15"/>
      <c r="J15" s="15"/>
      <c r="K15" s="15"/>
      <c r="L15" s="16" t="s">
        <v>1193</v>
      </c>
      <c r="M15" s="18" t="s">
        <v>1194</v>
      </c>
    </row>
    <row r="16" spans="1:13" ht="15" customHeight="1">
      <c r="A16" s="15"/>
      <c r="B16" s="15"/>
      <c r="C16" s="17"/>
      <c r="D16" s="15"/>
      <c r="E16" s="15"/>
      <c r="F16" s="15" t="s">
        <v>855</v>
      </c>
      <c r="G16" s="15"/>
      <c r="H16" s="15"/>
      <c r="I16" s="15"/>
      <c r="J16" s="15"/>
      <c r="K16" s="15"/>
      <c r="L16" s="16" t="s">
        <v>1195</v>
      </c>
      <c r="M16" s="15" t="s">
        <v>1196</v>
      </c>
    </row>
    <row r="17" spans="1:13" ht="15" customHeight="1">
      <c r="A17" s="15"/>
      <c r="B17" s="15"/>
      <c r="C17" s="17"/>
      <c r="D17" s="15"/>
      <c r="E17" s="15"/>
      <c r="F17" s="15" t="s">
        <v>914</v>
      </c>
      <c r="G17" s="15"/>
      <c r="H17" s="15"/>
      <c r="I17" s="15"/>
      <c r="J17" s="15"/>
      <c r="K17" s="15"/>
      <c r="L17" s="16" t="s">
        <v>1197</v>
      </c>
      <c r="M17" s="15" t="s">
        <v>1198</v>
      </c>
    </row>
    <row r="18" spans="1:13" ht="15" customHeight="1">
      <c r="A18" s="15"/>
      <c r="B18" s="15"/>
      <c r="C18" s="17"/>
      <c r="D18" s="15"/>
      <c r="E18" s="15" t="s">
        <v>848</v>
      </c>
      <c r="F18" s="15"/>
      <c r="G18" s="15"/>
      <c r="H18" s="15"/>
      <c r="I18" s="15"/>
      <c r="J18" s="15"/>
      <c r="K18" s="15"/>
      <c r="L18" s="16"/>
      <c r="M18" s="15"/>
    </row>
    <row r="19" spans="1:13" ht="15" customHeight="1">
      <c r="A19" s="15"/>
      <c r="B19" s="15"/>
      <c r="C19" s="17"/>
      <c r="D19" s="15"/>
      <c r="E19" s="15" t="s">
        <v>1199</v>
      </c>
      <c r="F19" s="15"/>
      <c r="G19" s="15"/>
      <c r="H19" s="15"/>
      <c r="I19" s="15"/>
      <c r="J19" s="15"/>
      <c r="K19" s="15"/>
      <c r="L19" s="16" t="s">
        <v>1200</v>
      </c>
      <c r="M19" s="15"/>
    </row>
    <row r="20" spans="1:13" ht="15" customHeight="1">
      <c r="A20" s="15"/>
      <c r="B20" s="15"/>
      <c r="C20" s="17"/>
      <c r="D20" s="15"/>
      <c r="E20" s="15"/>
      <c r="F20" s="15" t="s">
        <v>1201</v>
      </c>
      <c r="G20" s="15"/>
      <c r="H20" s="15"/>
      <c r="I20" s="15"/>
      <c r="J20" s="15"/>
      <c r="K20" s="15"/>
      <c r="L20" s="16" t="s">
        <v>1202</v>
      </c>
      <c r="M20" s="15"/>
    </row>
    <row r="21" spans="1:13" ht="15" customHeight="1">
      <c r="A21" s="15"/>
      <c r="B21" s="15"/>
      <c r="C21" s="17"/>
      <c r="D21" s="15"/>
      <c r="E21" s="15" t="s">
        <v>848</v>
      </c>
      <c r="F21" s="15"/>
      <c r="G21" s="15"/>
      <c r="H21" s="15"/>
      <c r="I21" s="15"/>
      <c r="J21" s="15"/>
      <c r="K21" s="15"/>
      <c r="L21" s="16"/>
      <c r="M21" s="15"/>
    </row>
    <row r="22" spans="1:13" ht="15" customHeight="1">
      <c r="A22" s="15"/>
      <c r="B22" s="15"/>
      <c r="C22" s="17"/>
      <c r="D22" s="15" t="s">
        <v>848</v>
      </c>
      <c r="E22" s="15"/>
      <c r="F22" s="15"/>
      <c r="G22" s="15"/>
      <c r="H22" s="15"/>
      <c r="I22" s="15"/>
      <c r="J22" s="15"/>
      <c r="K22" s="15"/>
      <c r="L22" s="16"/>
      <c r="M22" s="15"/>
    </row>
    <row r="23" spans="1:13" ht="15" customHeight="1">
      <c r="A23" s="15"/>
      <c r="B23" s="15"/>
      <c r="C23" s="22" t="s">
        <v>848</v>
      </c>
      <c r="D23" s="22"/>
      <c r="E23" s="15"/>
      <c r="F23" s="15"/>
      <c r="G23" s="15"/>
      <c r="H23" s="15"/>
      <c r="I23" s="15"/>
      <c r="J23" s="15"/>
      <c r="K23" s="15"/>
      <c r="L23" s="16"/>
      <c r="M23" s="15"/>
    </row>
    <row r="24" spans="1:13" ht="15" customHeight="1">
      <c r="A24" s="15"/>
      <c r="B24" s="15"/>
      <c r="C24" s="22" t="s">
        <v>815</v>
      </c>
      <c r="D24" s="22"/>
      <c r="E24" s="15"/>
      <c r="F24" s="15"/>
      <c r="G24" s="15"/>
      <c r="H24" s="15"/>
      <c r="I24" s="15"/>
      <c r="J24" s="15"/>
      <c r="K24" s="15"/>
      <c r="L24" s="16"/>
      <c r="M24" s="15"/>
    </row>
    <row r="25" spans="1:13" ht="15" customHeight="1">
      <c r="A25" s="15"/>
      <c r="B25" s="15"/>
      <c r="C25" s="22"/>
      <c r="D25" s="15" t="s">
        <v>833</v>
      </c>
      <c r="E25" s="15"/>
      <c r="F25" s="15"/>
      <c r="G25" s="15"/>
      <c r="H25" s="17"/>
      <c r="I25" s="15"/>
      <c r="J25" s="15"/>
      <c r="K25" s="15"/>
      <c r="L25" s="16" t="s">
        <v>834</v>
      </c>
      <c r="M25" s="15"/>
    </row>
    <row r="26" spans="1:13" ht="15" customHeight="1">
      <c r="A26" s="15"/>
      <c r="B26" s="15"/>
      <c r="C26" s="17"/>
      <c r="D26" s="15" t="s">
        <v>835</v>
      </c>
      <c r="E26" s="15"/>
      <c r="F26" s="15"/>
      <c r="G26" s="15"/>
      <c r="H26" s="17"/>
      <c r="I26" s="15"/>
      <c r="J26" s="15"/>
      <c r="K26" s="15"/>
      <c r="L26" s="16" t="s">
        <v>1203</v>
      </c>
      <c r="M26" s="15"/>
    </row>
    <row r="27" spans="1:13" ht="15" customHeight="1">
      <c r="A27" s="15"/>
      <c r="B27" s="15"/>
      <c r="C27" s="17"/>
      <c r="D27" s="15"/>
      <c r="E27" s="15" t="s">
        <v>1204</v>
      </c>
      <c r="F27" s="15"/>
      <c r="G27" s="15"/>
      <c r="H27" s="17"/>
      <c r="I27" s="15"/>
      <c r="J27" s="15"/>
      <c r="K27" s="15"/>
      <c r="L27" s="16" t="s">
        <v>817</v>
      </c>
      <c r="M27" s="15" t="s">
        <v>1205</v>
      </c>
    </row>
    <row r="28" spans="1:13" ht="15" customHeight="1">
      <c r="A28" s="15"/>
      <c r="B28" s="15"/>
      <c r="C28" s="17"/>
      <c r="D28" s="15"/>
      <c r="E28" s="15" t="s">
        <v>1206</v>
      </c>
      <c r="F28" s="15"/>
      <c r="G28" s="15"/>
      <c r="H28" s="17"/>
      <c r="I28" s="15"/>
      <c r="J28" s="15"/>
      <c r="K28" s="15"/>
      <c r="L28" s="16" t="s">
        <v>1207</v>
      </c>
      <c r="M28" s="15"/>
    </row>
    <row r="29" spans="1:13" ht="15" customHeight="1">
      <c r="A29" s="15"/>
      <c r="B29" s="15"/>
      <c r="C29" s="17"/>
      <c r="D29" s="15"/>
      <c r="E29" s="15"/>
      <c r="F29" s="15" t="s">
        <v>889</v>
      </c>
      <c r="G29" s="15"/>
      <c r="H29" s="17"/>
      <c r="I29" s="15"/>
      <c r="J29" s="15"/>
      <c r="K29" s="15"/>
      <c r="L29" s="16"/>
      <c r="M29" s="15"/>
    </row>
    <row r="30" spans="1:13" ht="15" customHeight="1">
      <c r="A30" s="15"/>
      <c r="B30" s="15"/>
      <c r="C30" s="17"/>
      <c r="D30" s="15"/>
      <c r="E30" s="15"/>
      <c r="F30" s="15"/>
      <c r="G30" s="15" t="s">
        <v>890</v>
      </c>
      <c r="H30" s="17"/>
      <c r="I30" s="15"/>
      <c r="J30" s="15"/>
      <c r="K30" s="15"/>
      <c r="L30" s="16" t="s">
        <v>1208</v>
      </c>
      <c r="M30" s="18" t="s">
        <v>1209</v>
      </c>
    </row>
    <row r="31" spans="1:13" ht="15" customHeight="1">
      <c r="A31" s="15"/>
      <c r="B31" s="15"/>
      <c r="C31" s="17"/>
      <c r="D31" s="15"/>
      <c r="E31" s="15"/>
      <c r="F31" s="15"/>
      <c r="G31" s="15" t="s">
        <v>893</v>
      </c>
      <c r="H31" s="17"/>
      <c r="I31" s="15"/>
      <c r="J31" s="15"/>
      <c r="K31" s="15"/>
      <c r="L31" s="16" t="s">
        <v>1210</v>
      </c>
      <c r="M31" s="15" t="s">
        <v>1211</v>
      </c>
    </row>
    <row r="32" spans="1:13" ht="15" customHeight="1">
      <c r="A32" s="15"/>
      <c r="B32" s="15"/>
      <c r="C32" s="17"/>
      <c r="D32" s="15"/>
      <c r="E32" s="15"/>
      <c r="F32" s="15"/>
      <c r="G32" s="15" t="s">
        <v>914</v>
      </c>
      <c r="H32" s="17"/>
      <c r="I32" s="15"/>
      <c r="J32" s="15"/>
      <c r="K32" s="15"/>
      <c r="L32" s="16" t="s">
        <v>1212</v>
      </c>
      <c r="M32" s="15" t="s">
        <v>1213</v>
      </c>
    </row>
    <row r="33" spans="1:13" ht="15" customHeight="1">
      <c r="A33" s="15"/>
      <c r="B33" s="15"/>
      <c r="C33" s="17"/>
      <c r="D33" s="15"/>
      <c r="E33" s="15"/>
      <c r="F33" s="15" t="s">
        <v>858</v>
      </c>
      <c r="G33" s="15"/>
      <c r="H33" s="17"/>
      <c r="I33" s="15"/>
      <c r="J33" s="15"/>
      <c r="K33" s="15"/>
      <c r="L33" s="16"/>
      <c r="M33" s="15"/>
    </row>
    <row r="34" spans="1:13" ht="15" customHeight="1">
      <c r="A34" s="15"/>
      <c r="B34" s="15"/>
      <c r="C34" s="17"/>
      <c r="D34" s="15"/>
      <c r="E34" s="15" t="s">
        <v>848</v>
      </c>
      <c r="F34" s="15"/>
      <c r="G34" s="15"/>
      <c r="H34" s="17"/>
      <c r="I34" s="15"/>
      <c r="J34" s="15"/>
      <c r="K34" s="15"/>
      <c r="L34" s="16"/>
      <c r="M34" s="15"/>
    </row>
    <row r="35" spans="1:13" ht="15" customHeight="1">
      <c r="A35" s="15"/>
      <c r="B35" s="15"/>
      <c r="C35" s="17"/>
      <c r="D35" s="15"/>
      <c r="E35" s="15" t="s">
        <v>838</v>
      </c>
      <c r="F35" s="15"/>
      <c r="G35" s="15"/>
      <c r="H35" s="17"/>
      <c r="I35" s="15"/>
      <c r="J35" s="15"/>
      <c r="K35" s="15"/>
      <c r="L35" s="16" t="s">
        <v>1214</v>
      </c>
      <c r="M35" s="15"/>
    </row>
    <row r="36" spans="1:13" ht="15" customHeight="1">
      <c r="A36" s="15"/>
      <c r="B36" s="15"/>
      <c r="C36" s="17"/>
      <c r="D36" s="15"/>
      <c r="E36" s="15" t="s">
        <v>839</v>
      </c>
      <c r="F36" s="15"/>
      <c r="G36" s="15"/>
      <c r="H36" s="17"/>
      <c r="I36" s="15"/>
      <c r="J36" s="15"/>
      <c r="K36" s="15"/>
      <c r="L36" s="16" t="s">
        <v>840</v>
      </c>
      <c r="M36" s="18" t="s">
        <v>1215</v>
      </c>
    </row>
    <row r="37" spans="1:13" ht="15" customHeight="1">
      <c r="A37" s="15"/>
      <c r="B37" s="15"/>
      <c r="C37" s="17"/>
      <c r="D37" s="15"/>
      <c r="E37" s="15"/>
      <c r="F37" s="15" t="s">
        <v>861</v>
      </c>
      <c r="G37" s="15"/>
      <c r="H37" s="17"/>
      <c r="I37" s="15"/>
      <c r="J37" s="15"/>
      <c r="K37" s="15"/>
      <c r="L37" s="16"/>
      <c r="M37" s="15"/>
    </row>
    <row r="38" spans="1:13" ht="15" customHeight="1">
      <c r="A38" s="15"/>
      <c r="B38" s="15"/>
      <c r="C38" s="17"/>
      <c r="D38" s="15"/>
      <c r="E38" s="15"/>
      <c r="F38" s="15"/>
      <c r="G38" s="15" t="s">
        <v>862</v>
      </c>
      <c r="H38" s="17"/>
      <c r="I38" s="15"/>
      <c r="J38" s="15"/>
      <c r="K38" s="15"/>
      <c r="L38" s="16" t="s">
        <v>863</v>
      </c>
      <c r="M38" s="15"/>
    </row>
    <row r="39" spans="1:13" ht="12.75">
      <c r="A39" s="15"/>
      <c r="B39" s="15"/>
      <c r="C39" s="17"/>
      <c r="D39" s="15"/>
      <c r="E39" s="15"/>
      <c r="F39" s="15"/>
      <c r="G39" s="15" t="s">
        <v>864</v>
      </c>
      <c r="H39" s="17"/>
      <c r="I39" s="15"/>
      <c r="J39" s="15"/>
      <c r="K39" s="15"/>
      <c r="L39" s="16" t="s">
        <v>865</v>
      </c>
      <c r="M39" s="15"/>
    </row>
    <row r="40" spans="1:13" ht="12.75">
      <c r="A40" s="15"/>
      <c r="B40" s="15"/>
      <c r="C40" s="17"/>
      <c r="D40" s="15"/>
      <c r="E40" s="15"/>
      <c r="F40" s="15" t="s">
        <v>848</v>
      </c>
      <c r="G40" s="15"/>
      <c r="H40" s="17"/>
      <c r="I40" s="15"/>
      <c r="J40" s="15"/>
      <c r="K40" s="15"/>
      <c r="L40" s="16"/>
      <c r="M40" s="15"/>
    </row>
    <row r="41" spans="1:13" ht="12.75">
      <c r="A41" s="15"/>
      <c r="B41" s="15"/>
      <c r="C41" s="15"/>
      <c r="D41" s="15"/>
      <c r="E41" s="15" t="s">
        <v>858</v>
      </c>
      <c r="F41" s="15"/>
      <c r="G41" s="15"/>
      <c r="H41" s="17"/>
      <c r="I41" s="15"/>
      <c r="J41" s="15"/>
      <c r="K41" s="15"/>
      <c r="L41" s="16"/>
      <c r="M41" s="15"/>
    </row>
    <row r="42" spans="1:13" ht="12.75">
      <c r="A42" s="15"/>
      <c r="B42" s="15"/>
      <c r="C42" s="15"/>
      <c r="D42" s="15"/>
      <c r="E42" s="15" t="s">
        <v>896</v>
      </c>
      <c r="F42" s="15"/>
      <c r="G42" s="15"/>
      <c r="H42" s="17"/>
      <c r="I42" s="15"/>
      <c r="J42" s="15"/>
      <c r="K42" s="15"/>
      <c r="L42" s="16" t="s">
        <v>897</v>
      </c>
      <c r="M42" s="15"/>
    </row>
    <row r="43" spans="1:13" ht="12.75">
      <c r="A43" s="15"/>
      <c r="B43" s="15"/>
      <c r="C43" s="15"/>
      <c r="D43" s="15"/>
      <c r="E43" s="15"/>
      <c r="F43" s="15" t="s">
        <v>890</v>
      </c>
      <c r="G43" s="15"/>
      <c r="H43" s="17"/>
      <c r="I43" s="15"/>
      <c r="J43" s="15"/>
      <c r="K43" s="15"/>
      <c r="L43" s="16" t="s">
        <v>898</v>
      </c>
      <c r="M43" s="18" t="s">
        <v>1216</v>
      </c>
    </row>
    <row r="44" spans="1:13" ht="12.75">
      <c r="A44" s="15"/>
      <c r="B44" s="15"/>
      <c r="C44" s="15"/>
      <c r="D44" s="15"/>
      <c r="E44" s="15"/>
      <c r="F44" s="15" t="s">
        <v>900</v>
      </c>
      <c r="G44" s="15"/>
      <c r="H44" s="17"/>
      <c r="I44" s="15"/>
      <c r="J44" s="15"/>
      <c r="K44" s="15"/>
      <c r="L44" s="16" t="s">
        <v>901</v>
      </c>
      <c r="M44" s="15"/>
    </row>
    <row r="45" spans="1:13" ht="12.75">
      <c r="A45" s="15"/>
      <c r="B45" s="15"/>
      <c r="C45" s="15"/>
      <c r="D45" s="15"/>
      <c r="E45" s="15" t="s">
        <v>858</v>
      </c>
      <c r="F45" s="15"/>
      <c r="G45" s="15"/>
      <c r="H45" s="17"/>
      <c r="I45" s="15"/>
      <c r="J45" s="15"/>
      <c r="K45" s="15"/>
      <c r="L45" s="16"/>
      <c r="M45" s="15"/>
    </row>
    <row r="46" spans="1:13" ht="22.5">
      <c r="A46" s="15"/>
      <c r="B46" s="15"/>
      <c r="C46" s="15"/>
      <c r="D46" s="15"/>
      <c r="E46" s="15" t="s">
        <v>902</v>
      </c>
      <c r="F46" s="15"/>
      <c r="G46" s="15"/>
      <c r="H46" s="15"/>
      <c r="I46" s="15"/>
      <c r="J46" s="15"/>
      <c r="K46" s="15"/>
      <c r="L46" s="16" t="s">
        <v>903</v>
      </c>
      <c r="M46" s="15" t="s">
        <v>904</v>
      </c>
    </row>
    <row r="47" spans="1:13" ht="22.5">
      <c r="A47" s="15"/>
      <c r="B47" s="15"/>
      <c r="C47" s="15"/>
      <c r="D47" s="15"/>
      <c r="E47" s="15" t="s">
        <v>905</v>
      </c>
      <c r="F47" s="15"/>
      <c r="G47" s="15"/>
      <c r="H47" s="15"/>
      <c r="I47" s="15"/>
      <c r="J47" s="15"/>
      <c r="K47" s="15"/>
      <c r="L47" s="16" t="s">
        <v>906</v>
      </c>
      <c r="M47" s="15" t="s">
        <v>907</v>
      </c>
    </row>
    <row r="48" spans="1:13" ht="45">
      <c r="A48" s="15"/>
      <c r="B48" s="15"/>
      <c r="C48" s="15"/>
      <c r="D48" s="15"/>
      <c r="E48" s="15" t="s">
        <v>908</v>
      </c>
      <c r="F48" s="15"/>
      <c r="G48" s="15"/>
      <c r="H48" s="15"/>
      <c r="I48" s="15"/>
      <c r="J48" s="15"/>
      <c r="K48" s="15"/>
      <c r="L48" s="16" t="s">
        <v>909</v>
      </c>
      <c r="M48" s="15"/>
    </row>
    <row r="49" spans="1:13" ht="12.75">
      <c r="A49" s="15"/>
      <c r="B49" s="15"/>
      <c r="C49" s="15"/>
      <c r="D49" s="15"/>
      <c r="E49" s="15"/>
      <c r="F49" s="15" t="s">
        <v>889</v>
      </c>
      <c r="G49" s="15"/>
      <c r="H49" s="15"/>
      <c r="I49" s="15"/>
      <c r="J49" s="15"/>
      <c r="K49" s="15"/>
      <c r="L49" s="16"/>
      <c r="M49" s="15"/>
    </row>
    <row r="50" spans="1:13" ht="12.75">
      <c r="A50" s="15"/>
      <c r="B50" s="15"/>
      <c r="C50" s="15"/>
      <c r="D50" s="15"/>
      <c r="E50" s="15"/>
      <c r="F50" s="15"/>
      <c r="G50" s="15" t="s">
        <v>890</v>
      </c>
      <c r="H50" s="15"/>
      <c r="I50" s="15"/>
      <c r="J50" s="15"/>
      <c r="K50" s="15"/>
      <c r="L50" s="16" t="s">
        <v>910</v>
      </c>
      <c r="M50" s="18" t="s">
        <v>1217</v>
      </c>
    </row>
    <row r="51" spans="1:13" ht="12.75">
      <c r="A51" s="15"/>
      <c r="B51" s="15"/>
      <c r="C51" s="15"/>
      <c r="D51" s="15"/>
      <c r="E51" s="15"/>
      <c r="F51" s="15"/>
      <c r="G51" s="15" t="s">
        <v>893</v>
      </c>
      <c r="H51" s="15"/>
      <c r="I51" s="15"/>
      <c r="J51" s="15"/>
      <c r="K51" s="15"/>
      <c r="L51" s="16" t="s">
        <v>912</v>
      </c>
      <c r="M51" s="15" t="s">
        <v>913</v>
      </c>
    </row>
    <row r="52" spans="1:13" ht="12.75">
      <c r="A52" s="15"/>
      <c r="B52" s="15"/>
      <c r="C52" s="15"/>
      <c r="D52" s="15"/>
      <c r="E52" s="15"/>
      <c r="F52" s="15"/>
      <c r="G52" s="15" t="s">
        <v>914</v>
      </c>
      <c r="H52" s="15"/>
      <c r="I52" s="15"/>
      <c r="J52" s="15"/>
      <c r="K52" s="15"/>
      <c r="L52" s="16" t="s">
        <v>915</v>
      </c>
      <c r="M52" s="15" t="s">
        <v>916</v>
      </c>
    </row>
    <row r="53" spans="1:13" ht="12.75">
      <c r="A53" s="15"/>
      <c r="B53" s="15"/>
      <c r="C53" s="15"/>
      <c r="D53" s="15"/>
      <c r="E53" s="15"/>
      <c r="F53" s="15" t="s">
        <v>858</v>
      </c>
      <c r="G53" s="15"/>
      <c r="H53" s="15"/>
      <c r="I53" s="15"/>
      <c r="J53" s="15"/>
      <c r="K53" s="15"/>
      <c r="L53" s="16"/>
      <c r="M53" s="15"/>
    </row>
    <row r="54" spans="1:13" ht="12.75">
      <c r="A54" s="15"/>
      <c r="B54" s="15"/>
      <c r="C54" s="15"/>
      <c r="D54" s="15"/>
      <c r="E54" s="15" t="s">
        <v>858</v>
      </c>
      <c r="F54" s="15"/>
      <c r="G54" s="15"/>
      <c r="H54" s="15"/>
      <c r="I54" s="15"/>
      <c r="J54" s="15"/>
      <c r="K54" s="15"/>
      <c r="L54" s="16"/>
      <c r="M54" s="15"/>
    </row>
    <row r="55" spans="1:13" ht="22.5">
      <c r="A55" s="15"/>
      <c r="B55" s="15"/>
      <c r="C55" s="15"/>
      <c r="D55" s="15"/>
      <c r="E55" s="15" t="s">
        <v>917</v>
      </c>
      <c r="F55" s="15"/>
      <c r="G55" s="15"/>
      <c r="H55" s="15"/>
      <c r="I55" s="15"/>
      <c r="J55" s="15"/>
      <c r="K55" s="15"/>
      <c r="L55" s="16" t="s">
        <v>1218</v>
      </c>
      <c r="M55" s="15"/>
    </row>
    <row r="56" spans="1:13" ht="12.75">
      <c r="A56" s="15"/>
      <c r="B56" s="15"/>
      <c r="C56" s="15"/>
      <c r="D56" s="15"/>
      <c r="E56" s="15"/>
      <c r="F56" s="15" t="s">
        <v>889</v>
      </c>
      <c r="G56" s="15"/>
      <c r="H56" s="15"/>
      <c r="I56" s="15"/>
      <c r="J56" s="15"/>
      <c r="K56" s="15"/>
      <c r="L56" s="16"/>
      <c r="M56" s="15"/>
    </row>
    <row r="57" spans="1:13" ht="12.75">
      <c r="A57" s="15"/>
      <c r="B57" s="15"/>
      <c r="C57" s="15"/>
      <c r="D57" s="15"/>
      <c r="E57" s="15"/>
      <c r="F57" s="15"/>
      <c r="G57" s="15" t="s">
        <v>890</v>
      </c>
      <c r="H57" s="15"/>
      <c r="I57" s="15"/>
      <c r="J57" s="15"/>
      <c r="K57" s="15"/>
      <c r="L57" s="16" t="s">
        <v>919</v>
      </c>
      <c r="M57" s="18" t="s">
        <v>1219</v>
      </c>
    </row>
    <row r="58" spans="1:13" ht="12.75">
      <c r="A58" s="15"/>
      <c r="B58" s="15"/>
      <c r="C58" s="15"/>
      <c r="D58" s="15"/>
      <c r="E58" s="15"/>
      <c r="F58" s="15"/>
      <c r="G58" s="15" t="s">
        <v>921</v>
      </c>
      <c r="H58" s="15"/>
      <c r="I58" s="15"/>
      <c r="J58" s="15"/>
      <c r="K58" s="15"/>
      <c r="L58" s="16" t="s">
        <v>922</v>
      </c>
      <c r="M58" s="15"/>
    </row>
    <row r="59" spans="1:13" ht="12.75">
      <c r="A59" s="15"/>
      <c r="B59" s="15"/>
      <c r="C59" s="15"/>
      <c r="D59" s="15"/>
      <c r="E59" s="15"/>
      <c r="F59" s="15"/>
      <c r="G59" s="15" t="s">
        <v>864</v>
      </c>
      <c r="H59" s="15"/>
      <c r="I59" s="15"/>
      <c r="J59" s="15"/>
      <c r="K59" s="15"/>
      <c r="L59" s="16" t="s">
        <v>923</v>
      </c>
      <c r="M59" s="15"/>
    </row>
    <row r="60" spans="1:13" ht="12.75">
      <c r="A60" s="15"/>
      <c r="B60" s="15"/>
      <c r="C60" s="15"/>
      <c r="D60" s="15"/>
      <c r="E60" s="15"/>
      <c r="F60" s="15" t="s">
        <v>858</v>
      </c>
      <c r="G60" s="15"/>
      <c r="H60" s="15"/>
      <c r="I60" s="15"/>
      <c r="J60" s="15"/>
      <c r="K60" s="15"/>
      <c r="L60" s="16"/>
      <c r="M60" s="15"/>
    </row>
    <row r="61" spans="1:13" ht="12.75">
      <c r="A61" s="15"/>
      <c r="B61" s="15"/>
      <c r="C61" s="15"/>
      <c r="D61" s="15"/>
      <c r="E61" s="15" t="s">
        <v>848</v>
      </c>
      <c r="F61" s="15"/>
      <c r="G61" s="15"/>
      <c r="H61" s="15"/>
      <c r="I61" s="15"/>
      <c r="J61" s="15"/>
      <c r="K61" s="15"/>
      <c r="L61" s="16"/>
      <c r="M61" s="15"/>
    </row>
    <row r="62" spans="1:13" ht="22.5">
      <c r="A62" s="15"/>
      <c r="B62" s="15"/>
      <c r="C62" s="15"/>
      <c r="D62" s="15"/>
      <c r="E62" s="15" t="s">
        <v>924</v>
      </c>
      <c r="F62" s="15"/>
      <c r="G62" s="15"/>
      <c r="H62" s="15"/>
      <c r="I62" s="15"/>
      <c r="J62" s="15"/>
      <c r="K62" s="15"/>
      <c r="L62" s="16" t="s">
        <v>925</v>
      </c>
      <c r="M62" s="15"/>
    </row>
    <row r="63" spans="1:13" ht="12.75">
      <c r="A63" s="15"/>
      <c r="B63" s="15"/>
      <c r="C63" s="15"/>
      <c r="D63" s="15"/>
      <c r="E63" s="15"/>
      <c r="F63" s="15" t="s">
        <v>862</v>
      </c>
      <c r="G63" s="15"/>
      <c r="H63" s="15"/>
      <c r="I63" s="15"/>
      <c r="J63" s="15"/>
      <c r="K63" s="15"/>
      <c r="L63" s="16" t="s">
        <v>926</v>
      </c>
      <c r="M63" s="15"/>
    </row>
    <row r="64" spans="1:13" ht="12.75">
      <c r="A64" s="15"/>
      <c r="B64" s="15"/>
      <c r="C64" s="15"/>
      <c r="D64" s="15"/>
      <c r="E64" s="15" t="s">
        <v>848</v>
      </c>
      <c r="F64" s="15"/>
      <c r="G64" s="15"/>
      <c r="H64" s="15"/>
      <c r="I64" s="15"/>
      <c r="J64" s="15"/>
      <c r="K64" s="15"/>
      <c r="L64" s="16"/>
      <c r="M64" s="15"/>
    </row>
    <row r="65" spans="1:13" ht="12.75">
      <c r="A65" s="15"/>
      <c r="B65" s="15"/>
      <c r="C65" s="15"/>
      <c r="D65" s="15"/>
      <c r="E65" s="15" t="s">
        <v>927</v>
      </c>
      <c r="F65" s="15"/>
      <c r="G65" s="15"/>
      <c r="H65" s="15"/>
      <c r="I65" s="15"/>
      <c r="J65" s="15"/>
      <c r="K65" s="15"/>
      <c r="L65" s="16" t="s">
        <v>928</v>
      </c>
      <c r="M65" s="15"/>
    </row>
    <row r="66" spans="1:13" ht="22.5">
      <c r="A66" s="15"/>
      <c r="B66" s="15"/>
      <c r="C66" s="15"/>
      <c r="D66" s="15"/>
      <c r="E66" s="15" t="s">
        <v>929</v>
      </c>
      <c r="F66" s="15"/>
      <c r="G66" s="15"/>
      <c r="H66" s="15"/>
      <c r="I66" s="15"/>
      <c r="J66" s="15"/>
      <c r="K66" s="15"/>
      <c r="L66" s="16" t="s">
        <v>930</v>
      </c>
      <c r="M66" s="15"/>
    </row>
    <row r="67" spans="1:13" ht="12.75">
      <c r="A67" s="15"/>
      <c r="B67" s="15"/>
      <c r="C67" s="15"/>
      <c r="D67" s="15"/>
      <c r="E67" s="15"/>
      <c r="F67" s="15" t="s">
        <v>862</v>
      </c>
      <c r="G67" s="15"/>
      <c r="H67" s="15"/>
      <c r="I67" s="15"/>
      <c r="J67" s="15"/>
      <c r="K67" s="15"/>
      <c r="L67" s="16" t="s">
        <v>863</v>
      </c>
      <c r="M67" s="15"/>
    </row>
    <row r="68" spans="1:13" ht="12.75">
      <c r="A68" s="15"/>
      <c r="B68" s="15"/>
      <c r="C68" s="15"/>
      <c r="D68" s="15"/>
      <c r="E68" s="15" t="s">
        <v>848</v>
      </c>
      <c r="F68" s="15"/>
      <c r="G68" s="15"/>
      <c r="H68" s="15"/>
      <c r="I68" s="15"/>
      <c r="J68" s="15"/>
      <c r="K68" s="15"/>
      <c r="L68" s="16"/>
      <c r="M68" s="15"/>
    </row>
    <row r="69" spans="1:13" ht="12.75">
      <c r="A69" s="15"/>
      <c r="B69" s="15"/>
      <c r="C69" s="15"/>
      <c r="D69" s="15"/>
      <c r="E69" s="15" t="s">
        <v>931</v>
      </c>
      <c r="F69" s="15"/>
      <c r="G69" s="15"/>
      <c r="H69" s="15"/>
      <c r="I69" s="15"/>
      <c r="J69" s="15"/>
      <c r="K69" s="15"/>
      <c r="L69" s="16" t="s">
        <v>932</v>
      </c>
      <c r="M69" s="15"/>
    </row>
    <row r="70" spans="1:13" ht="12.75">
      <c r="A70" s="15"/>
      <c r="B70" s="15"/>
      <c r="C70" s="15"/>
      <c r="D70" s="15"/>
      <c r="E70" s="15"/>
      <c r="F70" s="15" t="s">
        <v>823</v>
      </c>
      <c r="G70" s="15"/>
      <c r="H70" s="15"/>
      <c r="I70" s="15"/>
      <c r="J70" s="15"/>
      <c r="K70" s="15"/>
      <c r="L70" s="16" t="s">
        <v>933</v>
      </c>
      <c r="M70" s="18" t="s">
        <v>1220</v>
      </c>
    </row>
    <row r="71" spans="1:13" ht="12.75">
      <c r="A71" s="15"/>
      <c r="B71" s="15"/>
      <c r="C71" s="15"/>
      <c r="D71" s="15"/>
      <c r="E71" s="15"/>
      <c r="F71" s="15" t="s">
        <v>900</v>
      </c>
      <c r="G71" s="15"/>
      <c r="H71" s="15"/>
      <c r="I71" s="15"/>
      <c r="J71" s="15"/>
      <c r="K71" s="15"/>
      <c r="L71" s="16" t="s">
        <v>935</v>
      </c>
      <c r="M71" s="15"/>
    </row>
    <row r="72" spans="1:13" ht="12.75">
      <c r="A72" s="15"/>
      <c r="B72" s="15"/>
      <c r="C72" s="15"/>
      <c r="D72" s="15"/>
      <c r="E72" s="15"/>
      <c r="F72" s="15" t="s">
        <v>838</v>
      </c>
      <c r="G72" s="15"/>
      <c r="H72" s="15"/>
      <c r="I72" s="15"/>
      <c r="J72" s="15"/>
      <c r="K72" s="15"/>
      <c r="L72" s="16" t="s">
        <v>936</v>
      </c>
      <c r="M72" s="15"/>
    </row>
    <row r="73" spans="1:13" ht="12.75">
      <c r="A73" s="15"/>
      <c r="B73" s="15"/>
      <c r="C73" s="15"/>
      <c r="D73" s="15"/>
      <c r="E73" s="15"/>
      <c r="F73" s="15"/>
      <c r="G73" s="15" t="s">
        <v>839</v>
      </c>
      <c r="H73" s="15"/>
      <c r="I73" s="15"/>
      <c r="J73" s="15"/>
      <c r="K73" s="15"/>
      <c r="L73" s="16"/>
      <c r="M73" s="18" t="s">
        <v>1221</v>
      </c>
    </row>
    <row r="74" spans="1:13" ht="12.75">
      <c r="A74" s="15"/>
      <c r="B74" s="15"/>
      <c r="C74" s="15"/>
      <c r="D74" s="15"/>
      <c r="E74" s="15"/>
      <c r="F74" s="15"/>
      <c r="G74" s="15" t="s">
        <v>938</v>
      </c>
      <c r="H74" s="15"/>
      <c r="I74" s="15"/>
      <c r="J74" s="15"/>
      <c r="K74" s="15"/>
      <c r="L74" s="16" t="s">
        <v>939</v>
      </c>
      <c r="M74" s="15"/>
    </row>
    <row r="75" spans="1:13" ht="12.75">
      <c r="A75" s="15"/>
      <c r="B75" s="15"/>
      <c r="C75" s="15"/>
      <c r="D75" s="15"/>
      <c r="E75" s="15"/>
      <c r="F75" s="15"/>
      <c r="G75" s="15"/>
      <c r="H75" s="15" t="s">
        <v>823</v>
      </c>
      <c r="I75" s="15"/>
      <c r="J75" s="15"/>
      <c r="K75" s="15"/>
      <c r="L75" s="16" t="s">
        <v>940</v>
      </c>
      <c r="M75" s="18" t="s">
        <v>1222</v>
      </c>
    </row>
    <row r="76" spans="1:13" ht="12.75">
      <c r="A76" s="15"/>
      <c r="B76" s="15"/>
      <c r="C76" s="15"/>
      <c r="D76" s="15"/>
      <c r="E76" s="15"/>
      <c r="F76" s="15"/>
      <c r="G76" s="15"/>
      <c r="H76" s="15" t="s">
        <v>900</v>
      </c>
      <c r="I76" s="15"/>
      <c r="J76" s="15"/>
      <c r="K76" s="15"/>
      <c r="L76" s="16" t="s">
        <v>942</v>
      </c>
      <c r="M76" s="15"/>
    </row>
    <row r="77" spans="1:13" ht="12.75">
      <c r="A77" s="15"/>
      <c r="B77" s="15"/>
      <c r="C77" s="15"/>
      <c r="D77" s="15"/>
      <c r="E77" s="15"/>
      <c r="F77" s="15"/>
      <c r="G77" s="15" t="s">
        <v>848</v>
      </c>
      <c r="H77" s="15"/>
      <c r="I77" s="15"/>
      <c r="J77" s="15"/>
      <c r="K77" s="15"/>
      <c r="L77" s="16"/>
      <c r="M77" s="15"/>
    </row>
    <row r="78" spans="1:13" ht="12.75">
      <c r="A78" s="15"/>
      <c r="B78" s="15"/>
      <c r="C78" s="15"/>
      <c r="D78" s="15"/>
      <c r="E78" s="15"/>
      <c r="F78" s="15" t="s">
        <v>858</v>
      </c>
      <c r="G78" s="15"/>
      <c r="H78" s="15"/>
      <c r="I78" s="15"/>
      <c r="J78" s="15"/>
      <c r="K78" s="15"/>
      <c r="L78" s="16"/>
      <c r="M78" s="15"/>
    </row>
    <row r="79" spans="1:13" ht="12.75">
      <c r="A79" s="15"/>
      <c r="B79" s="15"/>
      <c r="C79" s="15"/>
      <c r="D79" s="15"/>
      <c r="E79" s="15" t="s">
        <v>848</v>
      </c>
      <c r="F79" s="15"/>
      <c r="G79" s="15"/>
      <c r="H79" s="15"/>
      <c r="I79" s="15"/>
      <c r="J79" s="15"/>
      <c r="K79" s="15"/>
      <c r="L79" s="16"/>
      <c r="M79" s="15"/>
    </row>
    <row r="80" spans="1:13" ht="22.5">
      <c r="A80" s="15"/>
      <c r="B80" s="15"/>
      <c r="C80" s="15"/>
      <c r="D80" s="15"/>
      <c r="E80" s="15" t="s">
        <v>943</v>
      </c>
      <c r="F80" s="15"/>
      <c r="G80" s="15"/>
      <c r="H80" s="15"/>
      <c r="I80" s="15"/>
      <c r="J80" s="15"/>
      <c r="K80" s="15"/>
      <c r="L80" s="16" t="s">
        <v>944</v>
      </c>
      <c r="M80" s="15"/>
    </row>
    <row r="81" spans="1:13" ht="12.75">
      <c r="A81" s="15"/>
      <c r="B81" s="15"/>
      <c r="C81" s="15"/>
      <c r="D81" s="15"/>
      <c r="E81" s="15"/>
      <c r="F81" s="15" t="s">
        <v>889</v>
      </c>
      <c r="G81" s="15"/>
      <c r="H81" s="15"/>
      <c r="I81" s="15"/>
      <c r="J81" s="15"/>
      <c r="K81" s="15"/>
      <c r="L81" s="16"/>
      <c r="M81" s="15"/>
    </row>
    <row r="82" spans="1:13" ht="12.75">
      <c r="A82" s="15"/>
      <c r="B82" s="15"/>
      <c r="C82" s="15"/>
      <c r="D82" s="15"/>
      <c r="E82" s="15"/>
      <c r="F82" s="15"/>
      <c r="G82" s="15" t="s">
        <v>890</v>
      </c>
      <c r="H82" s="15"/>
      <c r="I82" s="15"/>
      <c r="J82" s="15"/>
      <c r="K82" s="15"/>
      <c r="L82" s="16" t="s">
        <v>945</v>
      </c>
      <c r="M82" s="18" t="s">
        <v>1223</v>
      </c>
    </row>
    <row r="83" spans="1:13" ht="56.25">
      <c r="A83" s="15"/>
      <c r="B83" s="15"/>
      <c r="C83" s="15"/>
      <c r="D83" s="15"/>
      <c r="E83" s="15"/>
      <c r="F83" s="15"/>
      <c r="G83" s="15" t="s">
        <v>893</v>
      </c>
      <c r="H83" s="15"/>
      <c r="I83" s="15"/>
      <c r="J83" s="15"/>
      <c r="K83" s="15"/>
      <c r="L83" s="16" t="s">
        <v>947</v>
      </c>
      <c r="M83" s="15" t="s">
        <v>948</v>
      </c>
    </row>
    <row r="84" spans="1:13" ht="12.75">
      <c r="A84" s="15"/>
      <c r="B84" s="15"/>
      <c r="C84" s="15"/>
      <c r="D84" s="15"/>
      <c r="E84" s="15"/>
      <c r="F84" s="15"/>
      <c r="G84" s="15" t="s">
        <v>914</v>
      </c>
      <c r="H84" s="15"/>
      <c r="I84" s="15"/>
      <c r="J84" s="15"/>
      <c r="K84" s="15"/>
      <c r="L84" s="16" t="s">
        <v>949</v>
      </c>
      <c r="M84" s="15" t="s">
        <v>950</v>
      </c>
    </row>
    <row r="85" spans="1:13" ht="12.75">
      <c r="A85" s="15"/>
      <c r="B85" s="15"/>
      <c r="C85" s="15"/>
      <c r="D85" s="15"/>
      <c r="E85" s="15"/>
      <c r="F85" s="15" t="s">
        <v>858</v>
      </c>
      <c r="G85" s="15"/>
      <c r="H85" s="15"/>
      <c r="I85" s="15"/>
      <c r="J85" s="15"/>
      <c r="K85" s="15"/>
      <c r="L85" s="16"/>
      <c r="M85" s="15"/>
    </row>
    <row r="86" spans="1:13" ht="12.75">
      <c r="A86" s="15"/>
      <c r="B86" s="15"/>
      <c r="C86" s="15"/>
      <c r="D86" s="15"/>
      <c r="E86" s="15" t="s">
        <v>951</v>
      </c>
      <c r="F86" s="15"/>
      <c r="G86" s="15"/>
      <c r="H86" s="15"/>
      <c r="I86" s="15"/>
      <c r="J86" s="15"/>
      <c r="K86" s="15"/>
      <c r="L86" s="16"/>
      <c r="M86" s="15"/>
    </row>
    <row r="87" spans="1:13" ht="22.5">
      <c r="A87" s="15"/>
      <c r="B87" s="15"/>
      <c r="C87" s="15"/>
      <c r="D87" s="15"/>
      <c r="E87" s="15" t="s">
        <v>952</v>
      </c>
      <c r="F87" s="15"/>
      <c r="G87" s="15"/>
      <c r="H87" s="15"/>
      <c r="I87" s="15"/>
      <c r="J87" s="15"/>
      <c r="K87" s="15"/>
      <c r="L87" s="16" t="s">
        <v>953</v>
      </c>
      <c r="M87" s="15"/>
    </row>
    <row r="88" spans="1:13" ht="22.5">
      <c r="A88" s="15"/>
      <c r="B88" s="15"/>
      <c r="C88" s="15"/>
      <c r="D88" s="15"/>
      <c r="E88" s="15"/>
      <c r="F88" s="15" t="s">
        <v>954</v>
      </c>
      <c r="G88" s="15"/>
      <c r="H88" s="15"/>
      <c r="I88" s="15"/>
      <c r="J88" s="15"/>
      <c r="K88" s="15"/>
      <c r="L88" s="16" t="s">
        <v>955</v>
      </c>
      <c r="M88" s="15"/>
    </row>
    <row r="89" spans="1:13" ht="56.25">
      <c r="A89" s="15"/>
      <c r="B89" s="15"/>
      <c r="C89" s="15"/>
      <c r="D89" s="15"/>
      <c r="E89" s="15"/>
      <c r="F89" s="15" t="s">
        <v>956</v>
      </c>
      <c r="G89" s="15"/>
      <c r="H89" s="15"/>
      <c r="I89" s="15"/>
      <c r="J89" s="15"/>
      <c r="K89" s="15"/>
      <c r="L89" s="16" t="s">
        <v>957</v>
      </c>
      <c r="M89" s="15"/>
    </row>
    <row r="90" spans="1:13" ht="22.5">
      <c r="A90" s="15"/>
      <c r="B90" s="15"/>
      <c r="C90" s="15"/>
      <c r="D90" s="15"/>
      <c r="E90" s="15"/>
      <c r="F90" s="15" t="s">
        <v>958</v>
      </c>
      <c r="G90" s="15"/>
      <c r="H90" s="15"/>
      <c r="I90" s="15"/>
      <c r="J90" s="15"/>
      <c r="K90" s="15"/>
      <c r="L90" s="16" t="s">
        <v>959</v>
      </c>
      <c r="M90" s="15"/>
    </row>
    <row r="91" spans="1:13" ht="12.75">
      <c r="A91" s="15"/>
      <c r="B91" s="15"/>
      <c r="C91" s="15"/>
      <c r="D91" s="15"/>
      <c r="E91" s="15"/>
      <c r="F91" s="15"/>
      <c r="G91" s="15" t="s">
        <v>889</v>
      </c>
      <c r="H91" s="15"/>
      <c r="I91" s="15"/>
      <c r="J91" s="15"/>
      <c r="K91" s="15"/>
      <c r="L91" s="16"/>
      <c r="M91" s="15"/>
    </row>
    <row r="92" spans="1:13" ht="12.75">
      <c r="A92" s="15"/>
      <c r="B92" s="15"/>
      <c r="C92" s="15"/>
      <c r="D92" s="15"/>
      <c r="E92" s="15"/>
      <c r="F92" s="15"/>
      <c r="G92" s="15"/>
      <c r="H92" s="15" t="s">
        <v>823</v>
      </c>
      <c r="I92" s="15"/>
      <c r="J92" s="15"/>
      <c r="K92" s="15"/>
      <c r="L92" s="16" t="s">
        <v>960</v>
      </c>
      <c r="M92" s="18" t="s">
        <v>1224</v>
      </c>
    </row>
    <row r="93" spans="1:13" ht="12.75">
      <c r="A93" s="15"/>
      <c r="B93" s="15"/>
      <c r="C93" s="15"/>
      <c r="D93" s="15"/>
      <c r="E93" s="15"/>
      <c r="F93" s="15"/>
      <c r="G93" s="15"/>
      <c r="H93" s="15" t="s">
        <v>883</v>
      </c>
      <c r="I93" s="15"/>
      <c r="J93" s="15"/>
      <c r="K93" s="15"/>
      <c r="L93" s="16" t="s">
        <v>962</v>
      </c>
      <c r="M93" s="15"/>
    </row>
    <row r="94" spans="1:13" ht="12.75">
      <c r="A94" s="15"/>
      <c r="B94" s="15"/>
      <c r="C94" s="15"/>
      <c r="D94" s="15"/>
      <c r="E94" s="15"/>
      <c r="F94" s="15"/>
      <c r="G94" s="15"/>
      <c r="H94" s="15" t="s">
        <v>864</v>
      </c>
      <c r="I94" s="15"/>
      <c r="J94" s="15"/>
      <c r="K94" s="15"/>
      <c r="L94" s="16" t="s">
        <v>963</v>
      </c>
      <c r="M94" s="15"/>
    </row>
    <row r="95" spans="1:13" ht="12.75">
      <c r="A95" s="15"/>
      <c r="B95" s="15"/>
      <c r="C95" s="15"/>
      <c r="D95" s="15"/>
      <c r="E95" s="15"/>
      <c r="F95" s="15"/>
      <c r="G95" s="15" t="s">
        <v>858</v>
      </c>
      <c r="H95" s="15"/>
      <c r="I95" s="15"/>
      <c r="J95" s="15"/>
      <c r="K95" s="15"/>
      <c r="L95" s="16"/>
      <c r="M95" s="15"/>
    </row>
    <row r="96" spans="1:13" ht="12.75">
      <c r="A96" s="15"/>
      <c r="B96" s="15"/>
      <c r="C96" s="15"/>
      <c r="D96" s="15"/>
      <c r="E96" s="15"/>
      <c r="F96" s="15" t="s">
        <v>858</v>
      </c>
      <c r="G96" s="15"/>
      <c r="H96" s="15"/>
      <c r="I96" s="15"/>
      <c r="J96" s="15"/>
      <c r="K96" s="15"/>
      <c r="L96" s="16"/>
      <c r="M96" s="15"/>
    </row>
    <row r="97" spans="1:13" ht="12.75">
      <c r="A97" s="15"/>
      <c r="B97" s="15"/>
      <c r="C97" s="15"/>
      <c r="D97" s="15"/>
      <c r="E97" s="15"/>
      <c r="F97" s="15" t="s">
        <v>964</v>
      </c>
      <c r="G97" s="15"/>
      <c r="H97" s="15"/>
      <c r="I97" s="15"/>
      <c r="J97" s="15"/>
      <c r="K97" s="15"/>
      <c r="L97" s="16" t="s">
        <v>965</v>
      </c>
      <c r="M97" s="15"/>
    </row>
    <row r="98" spans="1:13" ht="12.75">
      <c r="A98" s="15"/>
      <c r="B98" s="15"/>
      <c r="C98" s="15"/>
      <c r="D98" s="15"/>
      <c r="E98" s="15"/>
      <c r="F98" s="15" t="s">
        <v>966</v>
      </c>
      <c r="G98" s="15"/>
      <c r="H98" s="15"/>
      <c r="I98" s="15"/>
      <c r="J98" s="15"/>
      <c r="K98" s="15"/>
      <c r="L98" s="16" t="s">
        <v>967</v>
      </c>
      <c r="M98" s="15"/>
    </row>
    <row r="99" spans="1:13" ht="12.75">
      <c r="A99" s="15"/>
      <c r="B99" s="15"/>
      <c r="C99" s="15"/>
      <c r="D99" s="15"/>
      <c r="E99" s="15"/>
      <c r="F99" s="15"/>
      <c r="G99" s="15" t="s">
        <v>968</v>
      </c>
      <c r="H99" s="15"/>
      <c r="I99" s="15"/>
      <c r="J99" s="15"/>
      <c r="K99" s="15"/>
      <c r="L99" s="16" t="s">
        <v>969</v>
      </c>
      <c r="M99" s="15"/>
    </row>
    <row r="100" spans="1:13" ht="12.75">
      <c r="A100" s="15"/>
      <c r="B100" s="15"/>
      <c r="C100" s="15"/>
      <c r="D100" s="15"/>
      <c r="E100" s="15"/>
      <c r="F100" s="15"/>
      <c r="G100" s="15"/>
      <c r="H100" s="15" t="s">
        <v>970</v>
      </c>
      <c r="I100" s="15"/>
      <c r="J100" s="15"/>
      <c r="K100" s="15"/>
      <c r="L100" s="16" t="s">
        <v>971</v>
      </c>
      <c r="M100" s="15"/>
    </row>
    <row r="101" spans="1:13" ht="12.75">
      <c r="A101" s="15"/>
      <c r="B101" s="15"/>
      <c r="C101" s="15"/>
      <c r="D101" s="15"/>
      <c r="E101" s="15"/>
      <c r="F101" s="15"/>
      <c r="G101" s="15"/>
      <c r="H101" s="15"/>
      <c r="I101" s="15" t="s">
        <v>972</v>
      </c>
      <c r="J101" s="15"/>
      <c r="K101" s="15"/>
      <c r="L101" s="16"/>
      <c r="M101" s="15"/>
    </row>
    <row r="102" spans="1:13" ht="12.75">
      <c r="A102" s="15"/>
      <c r="B102" s="15"/>
      <c r="C102" s="15"/>
      <c r="D102" s="15"/>
      <c r="E102" s="15"/>
      <c r="F102" s="15"/>
      <c r="G102" s="15"/>
      <c r="H102" s="15"/>
      <c r="I102" s="15" t="s">
        <v>973</v>
      </c>
      <c r="J102" s="15"/>
      <c r="K102" s="15"/>
      <c r="L102" s="16"/>
      <c r="M102" s="15"/>
    </row>
    <row r="103" spans="1:13" ht="12.75">
      <c r="A103" s="15"/>
      <c r="B103" s="15"/>
      <c r="C103" s="15"/>
      <c r="D103" s="15"/>
      <c r="E103" s="15"/>
      <c r="F103" s="15"/>
      <c r="G103" s="15"/>
      <c r="H103" s="15"/>
      <c r="I103" s="15" t="s">
        <v>974</v>
      </c>
      <c r="J103" s="15"/>
      <c r="K103" s="15"/>
      <c r="L103" s="16"/>
      <c r="M103" s="15"/>
    </row>
    <row r="104" spans="1:13" ht="12.75">
      <c r="A104" s="15"/>
      <c r="B104" s="15"/>
      <c r="C104" s="15"/>
      <c r="D104" s="15"/>
      <c r="E104" s="15"/>
      <c r="F104" s="15"/>
      <c r="G104" s="15"/>
      <c r="H104" s="15"/>
      <c r="I104" s="15" t="s">
        <v>883</v>
      </c>
      <c r="J104" s="15"/>
      <c r="K104" s="15"/>
      <c r="L104" s="16"/>
      <c r="M104" s="15"/>
    </row>
    <row r="105" spans="1:13" ht="12.75">
      <c r="A105" s="15"/>
      <c r="B105" s="15"/>
      <c r="C105" s="15"/>
      <c r="D105" s="15"/>
      <c r="E105" s="15"/>
      <c r="F105" s="15"/>
      <c r="G105" s="15"/>
      <c r="H105" s="15" t="s">
        <v>848</v>
      </c>
      <c r="I105" s="15"/>
      <c r="J105" s="15"/>
      <c r="K105" s="15"/>
      <c r="L105" s="16"/>
      <c r="M105" s="15"/>
    </row>
    <row r="106" spans="1:13" ht="22.5">
      <c r="A106" s="15"/>
      <c r="B106" s="15"/>
      <c r="C106" s="15"/>
      <c r="D106" s="15"/>
      <c r="E106" s="15"/>
      <c r="F106" s="15"/>
      <c r="G106" s="15"/>
      <c r="H106" s="15" t="s">
        <v>975</v>
      </c>
      <c r="I106" s="15"/>
      <c r="J106" s="15"/>
      <c r="K106" s="15"/>
      <c r="L106" s="16" t="s">
        <v>976</v>
      </c>
      <c r="M106" s="15"/>
    </row>
    <row r="107" spans="1:13" ht="12.75">
      <c r="A107" s="15"/>
      <c r="B107" s="15"/>
      <c r="C107" s="15"/>
      <c r="D107" s="15"/>
      <c r="E107" s="15"/>
      <c r="F107" s="15"/>
      <c r="G107" s="15"/>
      <c r="H107" s="15" t="s">
        <v>977</v>
      </c>
      <c r="I107" s="15"/>
      <c r="J107" s="15"/>
      <c r="K107" s="15"/>
      <c r="L107" s="16" t="s">
        <v>978</v>
      </c>
      <c r="M107" s="15"/>
    </row>
    <row r="108" spans="1:13" ht="12.75">
      <c r="A108" s="15"/>
      <c r="B108" s="15"/>
      <c r="C108" s="15"/>
      <c r="D108" s="15"/>
      <c r="E108" s="15"/>
      <c r="F108" s="15"/>
      <c r="G108" s="15"/>
      <c r="H108" s="15" t="s">
        <v>979</v>
      </c>
      <c r="I108" s="15"/>
      <c r="J108" s="15"/>
      <c r="K108" s="15"/>
      <c r="L108" s="16" t="s">
        <v>980</v>
      </c>
      <c r="M108" s="15"/>
    </row>
    <row r="109" spans="1:13" ht="12.75">
      <c r="A109" s="15"/>
      <c r="B109" s="15"/>
      <c r="C109" s="15"/>
      <c r="D109" s="15"/>
      <c r="E109" s="15"/>
      <c r="F109" s="15"/>
      <c r="G109" s="15" t="s">
        <v>848</v>
      </c>
      <c r="H109" s="15"/>
      <c r="I109" s="15"/>
      <c r="J109" s="15"/>
      <c r="K109" s="15"/>
      <c r="L109" s="16"/>
      <c r="M109" s="15"/>
    </row>
    <row r="110" spans="1:13" ht="12.75">
      <c r="A110" s="15"/>
      <c r="B110" s="15"/>
      <c r="C110" s="15"/>
      <c r="D110" s="15"/>
      <c r="E110" s="15"/>
      <c r="F110" s="15" t="s">
        <v>848</v>
      </c>
      <c r="G110" s="15"/>
      <c r="H110" s="15"/>
      <c r="I110" s="15"/>
      <c r="J110" s="15"/>
      <c r="K110" s="15"/>
      <c r="L110" s="16"/>
      <c r="M110" s="15"/>
    </row>
    <row r="111" spans="1:13" ht="33.75">
      <c r="A111" s="15"/>
      <c r="B111" s="15"/>
      <c r="C111" s="15"/>
      <c r="D111" s="15"/>
      <c r="E111" s="15"/>
      <c r="F111" s="15" t="s">
        <v>981</v>
      </c>
      <c r="G111" s="15"/>
      <c r="H111" s="15"/>
      <c r="I111" s="15"/>
      <c r="J111" s="15"/>
      <c r="K111" s="15"/>
      <c r="L111" s="16" t="s">
        <v>982</v>
      </c>
      <c r="M111" s="15" t="s">
        <v>983</v>
      </c>
    </row>
    <row r="112" spans="1:13" ht="12.75">
      <c r="A112" s="15"/>
      <c r="B112" s="15"/>
      <c r="C112" s="15"/>
      <c r="D112" s="15"/>
      <c r="E112" s="15"/>
      <c r="F112" s="15" t="s">
        <v>984</v>
      </c>
      <c r="G112" s="15"/>
      <c r="H112" s="15"/>
      <c r="I112" s="15"/>
      <c r="J112" s="15"/>
      <c r="K112" s="15"/>
      <c r="L112" s="16" t="s">
        <v>985</v>
      </c>
      <c r="M112" s="15"/>
    </row>
    <row r="113" spans="1:13" ht="12.75">
      <c r="A113" s="15"/>
      <c r="B113" s="15"/>
      <c r="C113" s="15"/>
      <c r="D113" s="15"/>
      <c r="E113" s="15"/>
      <c r="F113" s="15"/>
      <c r="G113" s="15" t="s">
        <v>889</v>
      </c>
      <c r="H113" s="15"/>
      <c r="I113" s="15"/>
      <c r="J113" s="15"/>
      <c r="K113" s="15"/>
      <c r="L113" s="16"/>
      <c r="M113" s="15"/>
    </row>
    <row r="114" spans="1:13" ht="12.75">
      <c r="A114" s="15"/>
      <c r="B114" s="15"/>
      <c r="C114" s="15"/>
      <c r="D114" s="15"/>
      <c r="E114" s="15"/>
      <c r="F114" s="15"/>
      <c r="G114" s="15"/>
      <c r="H114" s="15" t="s">
        <v>823</v>
      </c>
      <c r="I114" s="15"/>
      <c r="J114" s="15"/>
      <c r="K114" s="15"/>
      <c r="L114" s="16" t="s">
        <v>960</v>
      </c>
      <c r="M114" s="18" t="s">
        <v>1225</v>
      </c>
    </row>
    <row r="115" spans="1:13" ht="12.75">
      <c r="A115" s="15"/>
      <c r="B115" s="15"/>
      <c r="C115" s="15"/>
      <c r="D115" s="15"/>
      <c r="E115" s="15"/>
      <c r="F115" s="15"/>
      <c r="G115" s="15"/>
      <c r="H115" s="15" t="s">
        <v>883</v>
      </c>
      <c r="I115" s="15"/>
      <c r="J115" s="15"/>
      <c r="K115" s="15"/>
      <c r="L115" s="16" t="s">
        <v>987</v>
      </c>
      <c r="M115" s="15"/>
    </row>
    <row r="116" spans="1:13" ht="12.75">
      <c r="A116" s="15"/>
      <c r="B116" s="15"/>
      <c r="C116" s="15"/>
      <c r="D116" s="15"/>
      <c r="E116" s="15"/>
      <c r="F116" s="15"/>
      <c r="G116" s="15"/>
      <c r="H116" s="15" t="s">
        <v>864</v>
      </c>
      <c r="I116" s="15"/>
      <c r="J116" s="15"/>
      <c r="K116" s="15"/>
      <c r="L116" s="16"/>
      <c r="M116" s="15"/>
    </row>
    <row r="117" spans="1:13" ht="12.75">
      <c r="A117" s="15"/>
      <c r="B117" s="15"/>
      <c r="C117" s="15"/>
      <c r="D117" s="15"/>
      <c r="E117" s="15"/>
      <c r="F117" s="15"/>
      <c r="G117" s="15" t="s">
        <v>858</v>
      </c>
      <c r="H117" s="15"/>
      <c r="I117" s="15"/>
      <c r="J117" s="15"/>
      <c r="K117" s="15"/>
      <c r="L117" s="16"/>
      <c r="M117" s="15"/>
    </row>
    <row r="118" spans="1:13" ht="12.75">
      <c r="A118" s="15"/>
      <c r="B118" s="15"/>
      <c r="C118" s="15"/>
      <c r="D118" s="15"/>
      <c r="E118" s="15"/>
      <c r="F118" s="15" t="s">
        <v>848</v>
      </c>
      <c r="G118" s="15"/>
      <c r="H118" s="15"/>
      <c r="I118" s="15"/>
      <c r="J118" s="15"/>
      <c r="K118" s="15"/>
      <c r="L118" s="16"/>
      <c r="M118" s="15"/>
    </row>
    <row r="119" spans="1:13" ht="12.75">
      <c r="A119" s="15"/>
      <c r="B119" s="15"/>
      <c r="C119" s="15"/>
      <c r="D119" s="15"/>
      <c r="E119" s="15"/>
      <c r="F119" s="15" t="s">
        <v>988</v>
      </c>
      <c r="G119" s="15"/>
      <c r="H119" s="15"/>
      <c r="I119" s="15"/>
      <c r="J119" s="15"/>
      <c r="K119" s="15"/>
      <c r="L119" s="16"/>
      <c r="M119" s="15"/>
    </row>
    <row r="120" spans="1:13" ht="12.75">
      <c r="A120" s="15"/>
      <c r="B120" s="15"/>
      <c r="C120" s="15"/>
      <c r="D120" s="15"/>
      <c r="E120" s="15"/>
      <c r="F120" s="15"/>
      <c r="G120" s="15" t="s">
        <v>889</v>
      </c>
      <c r="H120" s="15"/>
      <c r="I120" s="15"/>
      <c r="J120" s="15"/>
      <c r="K120" s="15"/>
      <c r="L120" s="16"/>
      <c r="M120" s="15"/>
    </row>
    <row r="121" spans="1:13" ht="12.75">
      <c r="A121" s="15"/>
      <c r="B121" s="15"/>
      <c r="C121" s="15"/>
      <c r="D121" s="15"/>
      <c r="E121" s="15"/>
      <c r="F121" s="15"/>
      <c r="G121" s="15"/>
      <c r="H121" s="15" t="s">
        <v>823</v>
      </c>
      <c r="I121" s="15"/>
      <c r="J121" s="15"/>
      <c r="K121" s="15"/>
      <c r="L121" s="16" t="s">
        <v>960</v>
      </c>
      <c r="M121" s="18" t="s">
        <v>1226</v>
      </c>
    </row>
    <row r="122" spans="1:13" ht="12.75">
      <c r="A122" s="15"/>
      <c r="B122" s="15"/>
      <c r="C122" s="15"/>
      <c r="D122" s="15"/>
      <c r="E122" s="15"/>
      <c r="F122" s="15"/>
      <c r="G122" s="15"/>
      <c r="H122" s="15" t="s">
        <v>883</v>
      </c>
      <c r="I122" s="15"/>
      <c r="J122" s="15"/>
      <c r="K122" s="15"/>
      <c r="L122" s="16" t="s">
        <v>990</v>
      </c>
      <c r="M122" s="15"/>
    </row>
    <row r="123" spans="1:13" ht="12.75">
      <c r="A123" s="15"/>
      <c r="B123" s="15"/>
      <c r="C123" s="15"/>
      <c r="D123" s="15"/>
      <c r="E123" s="15"/>
      <c r="F123" s="15"/>
      <c r="G123" s="15"/>
      <c r="H123" s="15" t="s">
        <v>864</v>
      </c>
      <c r="I123" s="15"/>
      <c r="J123" s="15"/>
      <c r="K123" s="15"/>
      <c r="L123" s="16" t="s">
        <v>991</v>
      </c>
      <c r="M123" s="15"/>
    </row>
    <row r="124" spans="1:13" ht="12.75">
      <c r="A124" s="15"/>
      <c r="B124" s="15"/>
      <c r="C124" s="15"/>
      <c r="D124" s="15"/>
      <c r="E124" s="15"/>
      <c r="F124" s="15"/>
      <c r="G124" s="15" t="s">
        <v>858</v>
      </c>
      <c r="H124" s="15"/>
      <c r="I124" s="15"/>
      <c r="J124" s="15"/>
      <c r="K124" s="15"/>
      <c r="L124" s="16"/>
      <c r="M124" s="15"/>
    </row>
    <row r="125" spans="1:13" ht="12.75">
      <c r="A125" s="15"/>
      <c r="B125" s="15"/>
      <c r="C125" s="15"/>
      <c r="D125" s="15"/>
      <c r="E125" s="15"/>
      <c r="F125" s="15" t="s">
        <v>848</v>
      </c>
      <c r="G125" s="15"/>
      <c r="H125" s="15"/>
      <c r="I125" s="15"/>
      <c r="J125" s="15"/>
      <c r="K125" s="15"/>
      <c r="L125" s="16"/>
      <c r="M125" s="15"/>
    </row>
    <row r="126" spans="1:13" ht="12.75">
      <c r="A126" s="15"/>
      <c r="B126" s="15"/>
      <c r="C126" s="15"/>
      <c r="D126" s="15"/>
      <c r="E126" s="15"/>
      <c r="F126" s="15" t="s">
        <v>992</v>
      </c>
      <c r="G126" s="15"/>
      <c r="H126" s="15"/>
      <c r="I126" s="15"/>
      <c r="J126" s="15"/>
      <c r="K126" s="15"/>
      <c r="L126" s="16"/>
      <c r="M126" s="15"/>
    </row>
    <row r="127" spans="1:13" ht="12.75">
      <c r="A127" s="15"/>
      <c r="B127" s="15"/>
      <c r="C127" s="15"/>
      <c r="D127" s="15"/>
      <c r="E127" s="15"/>
      <c r="F127" s="15"/>
      <c r="G127" s="15" t="s">
        <v>889</v>
      </c>
      <c r="H127" s="15"/>
      <c r="I127" s="15"/>
      <c r="J127" s="15"/>
      <c r="K127" s="15"/>
      <c r="L127" s="16"/>
      <c r="M127" s="15"/>
    </row>
    <row r="128" spans="1:13" ht="12.75">
      <c r="A128" s="15"/>
      <c r="B128" s="15"/>
      <c r="C128" s="15"/>
      <c r="D128" s="15"/>
      <c r="E128" s="15"/>
      <c r="F128" s="15"/>
      <c r="G128" s="15"/>
      <c r="H128" s="15" t="s">
        <v>823</v>
      </c>
      <c r="I128" s="15"/>
      <c r="J128" s="15"/>
      <c r="K128" s="15"/>
      <c r="L128" s="16" t="s">
        <v>960</v>
      </c>
      <c r="M128" s="18" t="s">
        <v>1227</v>
      </c>
    </row>
    <row r="129" spans="1:13" ht="12.75">
      <c r="A129" s="15"/>
      <c r="B129" s="15"/>
      <c r="C129" s="15"/>
      <c r="D129" s="15"/>
      <c r="E129" s="15"/>
      <c r="F129" s="15"/>
      <c r="G129" s="15"/>
      <c r="H129" s="15" t="s">
        <v>883</v>
      </c>
      <c r="I129" s="15"/>
      <c r="J129" s="15"/>
      <c r="K129" s="15"/>
      <c r="L129" s="16" t="s">
        <v>994</v>
      </c>
      <c r="M129" s="15"/>
    </row>
    <row r="130" spans="1:13" ht="12.75">
      <c r="A130" s="15"/>
      <c r="B130" s="15"/>
      <c r="C130" s="15"/>
      <c r="D130" s="15"/>
      <c r="E130" s="15"/>
      <c r="F130" s="15"/>
      <c r="G130" s="15"/>
      <c r="H130" s="15" t="s">
        <v>864</v>
      </c>
      <c r="I130" s="15"/>
      <c r="J130" s="15"/>
      <c r="K130" s="15"/>
      <c r="L130" s="16"/>
      <c r="M130" s="15"/>
    </row>
    <row r="131" spans="1:13" ht="12.75">
      <c r="A131" s="15"/>
      <c r="B131" s="15"/>
      <c r="C131" s="15"/>
      <c r="D131" s="15"/>
      <c r="E131" s="15"/>
      <c r="F131" s="15"/>
      <c r="G131" s="15" t="s">
        <v>858</v>
      </c>
      <c r="H131" s="15"/>
      <c r="I131" s="15"/>
      <c r="J131" s="15"/>
      <c r="K131" s="15"/>
      <c r="L131" s="16"/>
      <c r="M131" s="15"/>
    </row>
    <row r="132" spans="1:13" ht="12.75">
      <c r="A132" s="15"/>
      <c r="B132" s="15"/>
      <c r="C132" s="15"/>
      <c r="D132" s="15"/>
      <c r="E132" s="15"/>
      <c r="F132" s="15" t="s">
        <v>848</v>
      </c>
      <c r="G132" s="15"/>
      <c r="H132" s="15"/>
      <c r="I132" s="15"/>
      <c r="J132" s="15"/>
      <c r="K132" s="15"/>
      <c r="L132" s="16"/>
      <c r="M132" s="15"/>
    </row>
    <row r="133" spans="1:13" ht="12.75">
      <c r="A133" s="15"/>
      <c r="B133" s="15"/>
      <c r="C133" s="15"/>
      <c r="D133" s="15"/>
      <c r="E133" s="15"/>
      <c r="F133" s="15" t="s">
        <v>995</v>
      </c>
      <c r="G133" s="15"/>
      <c r="H133" s="15"/>
      <c r="I133" s="15"/>
      <c r="J133" s="15"/>
      <c r="K133" s="15"/>
      <c r="L133" s="16"/>
      <c r="M133" s="15"/>
    </row>
    <row r="134" spans="1:13" ht="12.75">
      <c r="A134" s="15"/>
      <c r="B134" s="15"/>
      <c r="C134" s="15"/>
      <c r="D134" s="15"/>
      <c r="E134" s="15"/>
      <c r="F134" s="15"/>
      <c r="G134" s="15" t="s">
        <v>996</v>
      </c>
      <c r="H134" s="15"/>
      <c r="I134" s="15"/>
      <c r="J134" s="15"/>
      <c r="K134" s="15"/>
      <c r="L134" s="16"/>
      <c r="M134" s="15"/>
    </row>
    <row r="135" spans="1:13" ht="12.75">
      <c r="A135" s="15"/>
      <c r="B135" s="15"/>
      <c r="C135" s="15"/>
      <c r="D135" s="15"/>
      <c r="E135" s="15"/>
      <c r="F135" s="15"/>
      <c r="G135" s="15"/>
      <c r="H135" s="15" t="s">
        <v>972</v>
      </c>
      <c r="I135" s="15"/>
      <c r="J135" s="15"/>
      <c r="K135" s="15"/>
      <c r="L135" s="16"/>
      <c r="M135" s="15"/>
    </row>
    <row r="136" spans="1:13" ht="12.75">
      <c r="A136" s="15"/>
      <c r="B136" s="15"/>
      <c r="C136" s="15"/>
      <c r="D136" s="15"/>
      <c r="E136" s="15"/>
      <c r="F136" s="15"/>
      <c r="G136" s="15"/>
      <c r="H136" s="15" t="s">
        <v>973</v>
      </c>
      <c r="I136" s="15"/>
      <c r="J136" s="15"/>
      <c r="K136" s="15"/>
      <c r="L136" s="16"/>
      <c r="M136" s="15"/>
    </row>
    <row r="137" spans="1:13" ht="12.75">
      <c r="A137" s="15"/>
      <c r="B137" s="15"/>
      <c r="C137" s="15"/>
      <c r="D137" s="15"/>
      <c r="E137" s="15"/>
      <c r="F137" s="15"/>
      <c r="G137" s="15"/>
      <c r="H137" s="15" t="s">
        <v>974</v>
      </c>
      <c r="I137" s="15"/>
      <c r="J137" s="15"/>
      <c r="K137" s="15"/>
      <c r="L137" s="16"/>
      <c r="M137" s="15"/>
    </row>
    <row r="138" spans="1:13" ht="12.75">
      <c r="A138" s="15"/>
      <c r="B138" s="15"/>
      <c r="C138" s="15"/>
      <c r="D138" s="15"/>
      <c r="E138" s="15"/>
      <c r="F138" s="15"/>
      <c r="G138" s="15"/>
      <c r="H138" s="15" t="s">
        <v>883</v>
      </c>
      <c r="I138" s="15"/>
      <c r="J138" s="15"/>
      <c r="K138" s="15"/>
      <c r="L138" s="16"/>
      <c r="M138" s="15"/>
    </row>
    <row r="139" spans="1:13" ht="12.75">
      <c r="A139" s="15"/>
      <c r="B139" s="15"/>
      <c r="C139" s="15"/>
      <c r="D139" s="15"/>
      <c r="E139" s="15"/>
      <c r="F139" s="15"/>
      <c r="G139" s="15" t="s">
        <v>848</v>
      </c>
      <c r="H139" s="15"/>
      <c r="I139" s="15"/>
      <c r="J139" s="15"/>
      <c r="K139" s="15"/>
      <c r="L139" s="16"/>
      <c r="M139" s="15"/>
    </row>
    <row r="140" spans="1:13" ht="12.75">
      <c r="A140" s="15"/>
      <c r="B140" s="15"/>
      <c r="C140" s="15"/>
      <c r="D140" s="15"/>
      <c r="E140" s="15"/>
      <c r="F140" s="15" t="s">
        <v>858</v>
      </c>
      <c r="G140" s="15"/>
      <c r="H140" s="15"/>
      <c r="I140" s="15"/>
      <c r="J140" s="15"/>
      <c r="K140" s="15"/>
      <c r="L140" s="16"/>
      <c r="M140" s="15"/>
    </row>
    <row r="141" spans="1:13" ht="12.75">
      <c r="A141" s="15"/>
      <c r="B141" s="15"/>
      <c r="C141" s="15"/>
      <c r="D141" s="15"/>
      <c r="E141" s="15"/>
      <c r="F141" s="15" t="s">
        <v>997</v>
      </c>
      <c r="G141" s="15"/>
      <c r="H141" s="15"/>
      <c r="I141" s="15"/>
      <c r="J141" s="15"/>
      <c r="K141" s="15"/>
      <c r="L141" s="16" t="s">
        <v>998</v>
      </c>
      <c r="M141" s="15"/>
    </row>
    <row r="142" spans="1:13" ht="12.75">
      <c r="A142" s="15"/>
      <c r="B142" s="15"/>
      <c r="C142" s="15"/>
      <c r="D142" s="15"/>
      <c r="E142" s="15"/>
      <c r="F142" s="15"/>
      <c r="G142" s="15" t="s">
        <v>999</v>
      </c>
      <c r="H142" s="15"/>
      <c r="I142" s="15"/>
      <c r="J142" s="15"/>
      <c r="K142" s="15"/>
      <c r="L142" s="16"/>
      <c r="M142" s="15"/>
    </row>
    <row r="143" spans="1:13" ht="12.75">
      <c r="A143" s="15"/>
      <c r="B143" s="15"/>
      <c r="C143" s="15"/>
      <c r="D143" s="15"/>
      <c r="E143" s="15"/>
      <c r="F143" s="15"/>
      <c r="G143" s="15"/>
      <c r="H143" s="15" t="s">
        <v>972</v>
      </c>
      <c r="I143" s="15"/>
      <c r="J143" s="15"/>
      <c r="K143" s="15"/>
      <c r="L143" s="16"/>
      <c r="M143" s="15"/>
    </row>
    <row r="144" spans="1:13" ht="12.75">
      <c r="A144" s="15"/>
      <c r="B144" s="15"/>
      <c r="C144" s="15"/>
      <c r="D144" s="15"/>
      <c r="E144" s="15"/>
      <c r="F144" s="15"/>
      <c r="G144" s="15"/>
      <c r="H144" s="15" t="s">
        <v>973</v>
      </c>
      <c r="I144" s="15"/>
      <c r="J144" s="15"/>
      <c r="K144" s="15"/>
      <c r="L144" s="16"/>
      <c r="M144" s="15"/>
    </row>
    <row r="145" spans="1:12" ht="12.75">
      <c r="A145" s="15"/>
      <c r="B145" s="15"/>
      <c r="C145" s="15"/>
      <c r="D145" s="15"/>
      <c r="E145" s="15"/>
      <c r="F145" s="15"/>
      <c r="G145" s="15"/>
      <c r="H145" s="15" t="s">
        <v>974</v>
      </c>
      <c r="I145" s="15"/>
      <c r="J145" s="15"/>
      <c r="K145" s="15"/>
      <c r="L145" s="16"/>
    </row>
    <row r="146" spans="1:12" ht="12.75">
      <c r="A146" s="15"/>
      <c r="B146" s="15"/>
      <c r="C146" s="15"/>
      <c r="D146" s="15"/>
      <c r="E146" s="15"/>
      <c r="F146" s="15"/>
      <c r="G146" s="15"/>
      <c r="H146" s="15" t="s">
        <v>883</v>
      </c>
      <c r="I146" s="15"/>
      <c r="J146" s="15"/>
      <c r="K146" s="15"/>
      <c r="L146" s="16"/>
    </row>
    <row r="147" spans="1:12" ht="12.75">
      <c r="A147" s="15"/>
      <c r="B147" s="15"/>
      <c r="C147" s="15"/>
      <c r="D147" s="15"/>
      <c r="E147" s="15"/>
      <c r="F147" s="15"/>
      <c r="G147" s="15" t="s">
        <v>848</v>
      </c>
      <c r="H147" s="15"/>
      <c r="I147" s="15"/>
      <c r="J147" s="15"/>
      <c r="K147" s="15"/>
      <c r="L147" s="16"/>
    </row>
    <row r="148" spans="1:12" ht="12.75">
      <c r="A148" s="15"/>
      <c r="B148" s="15"/>
      <c r="C148" s="15"/>
      <c r="D148" s="15"/>
      <c r="E148" s="15"/>
      <c r="F148" s="17"/>
      <c r="G148" s="15" t="s">
        <v>1000</v>
      </c>
      <c r="H148" s="15"/>
      <c r="I148" s="15"/>
      <c r="J148" s="15"/>
      <c r="K148" s="15"/>
      <c r="L148" s="16"/>
    </row>
    <row r="149" spans="1:12" ht="12.75">
      <c r="A149" s="15"/>
      <c r="B149" s="15"/>
      <c r="C149" s="15"/>
      <c r="D149" s="15"/>
      <c r="E149" s="15"/>
      <c r="F149" s="15"/>
      <c r="G149" s="15"/>
      <c r="H149" s="15" t="s">
        <v>972</v>
      </c>
      <c r="I149" s="15"/>
      <c r="J149" s="15"/>
      <c r="K149" s="15"/>
      <c r="L149" s="16"/>
    </row>
    <row r="150" spans="1:12" ht="12.75">
      <c r="A150" s="15"/>
      <c r="B150" s="15"/>
      <c r="C150" s="15"/>
      <c r="D150" s="15"/>
      <c r="E150" s="15"/>
      <c r="F150" s="15"/>
      <c r="G150" s="15"/>
      <c r="H150" s="15" t="s">
        <v>973</v>
      </c>
      <c r="I150" s="15"/>
      <c r="J150" s="15"/>
      <c r="K150" s="15"/>
      <c r="L150" s="16"/>
    </row>
    <row r="151" spans="1:12" ht="12.75">
      <c r="A151" s="15"/>
      <c r="B151" s="15"/>
      <c r="C151" s="15"/>
      <c r="D151" s="15"/>
      <c r="E151" s="15"/>
      <c r="F151" s="15"/>
      <c r="G151" s="15"/>
      <c r="H151" s="15" t="s">
        <v>974</v>
      </c>
      <c r="I151" s="15"/>
      <c r="J151" s="15"/>
      <c r="K151" s="15"/>
      <c r="L151" s="16"/>
    </row>
    <row r="152" spans="1:12" ht="12.75">
      <c r="A152" s="15"/>
      <c r="B152" s="15"/>
      <c r="C152" s="15"/>
      <c r="D152" s="15"/>
      <c r="E152" s="15"/>
      <c r="F152" s="15"/>
      <c r="G152" s="15"/>
      <c r="H152" s="15" t="s">
        <v>883</v>
      </c>
      <c r="I152" s="15"/>
      <c r="J152" s="15"/>
      <c r="K152" s="15"/>
      <c r="L152" s="16"/>
    </row>
    <row r="153" spans="1:12" ht="12.75">
      <c r="A153" s="15"/>
      <c r="B153" s="15"/>
      <c r="C153" s="15"/>
      <c r="D153" s="15"/>
      <c r="E153" s="15"/>
      <c r="F153" s="15"/>
      <c r="G153" s="15" t="s">
        <v>848</v>
      </c>
      <c r="H153" s="15"/>
      <c r="I153" s="15"/>
      <c r="J153" s="15"/>
      <c r="K153" s="15"/>
      <c r="L153" s="16"/>
    </row>
    <row r="154" spans="1:12" ht="12.75">
      <c r="A154" s="15"/>
      <c r="B154" s="15"/>
      <c r="C154" s="15"/>
      <c r="D154" s="15"/>
      <c r="E154" s="15"/>
      <c r="F154" s="15" t="s">
        <v>848</v>
      </c>
      <c r="G154" s="15"/>
      <c r="H154" s="15"/>
      <c r="I154" s="15"/>
      <c r="J154" s="15"/>
      <c r="K154" s="15"/>
      <c r="L154" s="16"/>
    </row>
    <row r="155" spans="1:12" ht="12.75">
      <c r="A155" s="15"/>
      <c r="B155" s="15"/>
      <c r="C155" s="15"/>
      <c r="D155" s="15"/>
      <c r="E155" s="15"/>
      <c r="F155" s="15" t="s">
        <v>1001</v>
      </c>
      <c r="G155" s="15"/>
      <c r="H155" s="15"/>
      <c r="I155" s="15"/>
      <c r="J155" s="15"/>
      <c r="K155" s="15"/>
      <c r="L155" s="16" t="s">
        <v>1002</v>
      </c>
    </row>
    <row r="156" spans="1:12" ht="12.75">
      <c r="A156" s="15"/>
      <c r="B156" s="15"/>
      <c r="C156" s="15"/>
      <c r="D156" s="15"/>
      <c r="E156" s="15"/>
      <c r="F156" s="15"/>
      <c r="G156" s="15" t="s">
        <v>972</v>
      </c>
      <c r="H156" s="15"/>
      <c r="I156" s="15"/>
      <c r="J156" s="15"/>
      <c r="K156" s="15"/>
      <c r="L156" s="16"/>
    </row>
    <row r="157" spans="1:12" ht="12.75">
      <c r="A157" s="15"/>
      <c r="B157" s="15"/>
      <c r="C157" s="15"/>
      <c r="D157" s="15"/>
      <c r="E157" s="15"/>
      <c r="F157" s="15"/>
      <c r="G157" s="15" t="s">
        <v>973</v>
      </c>
      <c r="H157" s="15"/>
      <c r="I157" s="15"/>
      <c r="J157" s="15"/>
      <c r="K157" s="15"/>
      <c r="L157" s="16"/>
    </row>
    <row r="158" spans="1:12" ht="12.75">
      <c r="A158" s="15"/>
      <c r="B158" s="15"/>
      <c r="C158" s="15"/>
      <c r="D158" s="15"/>
      <c r="E158" s="15"/>
      <c r="F158" s="15"/>
      <c r="G158" s="15" t="s">
        <v>974</v>
      </c>
      <c r="H158" s="15"/>
      <c r="I158" s="15"/>
      <c r="J158" s="15"/>
      <c r="K158" s="15"/>
      <c r="L158" s="16"/>
    </row>
    <row r="159" spans="1:12" ht="12.75">
      <c r="A159" s="15"/>
      <c r="B159" s="15"/>
      <c r="C159" s="15"/>
      <c r="D159" s="15"/>
      <c r="E159" s="15"/>
      <c r="F159" s="15"/>
      <c r="G159" s="15" t="s">
        <v>883</v>
      </c>
      <c r="H159" s="15"/>
      <c r="I159" s="15"/>
      <c r="J159" s="15"/>
      <c r="K159" s="15"/>
      <c r="L159" s="16"/>
    </row>
    <row r="160" spans="1:12" ht="12.75">
      <c r="A160" s="15"/>
      <c r="B160" s="15"/>
      <c r="C160" s="15"/>
      <c r="D160" s="15"/>
      <c r="E160" s="15"/>
      <c r="F160" s="15" t="s">
        <v>848</v>
      </c>
      <c r="G160" s="15"/>
      <c r="H160" s="15"/>
      <c r="I160" s="15"/>
      <c r="J160" s="15"/>
      <c r="K160" s="15"/>
      <c r="L160" s="16"/>
    </row>
    <row r="161" spans="1:13" ht="12.75">
      <c r="A161" s="15"/>
      <c r="B161" s="15"/>
      <c r="C161" s="15"/>
      <c r="D161" s="15"/>
      <c r="E161" s="15"/>
      <c r="F161" s="15" t="s">
        <v>1003</v>
      </c>
      <c r="G161" s="15"/>
      <c r="H161" s="15"/>
      <c r="I161" s="15"/>
      <c r="J161" s="15"/>
      <c r="K161" s="15"/>
      <c r="L161" s="16" t="s">
        <v>1004</v>
      </c>
      <c r="M161" s="15"/>
    </row>
    <row r="162" spans="1:13" ht="12.75">
      <c r="A162" s="15"/>
      <c r="B162" s="15"/>
      <c r="C162" s="15"/>
      <c r="D162" s="15"/>
      <c r="E162" s="15"/>
      <c r="F162" s="15"/>
      <c r="G162" s="15" t="s">
        <v>972</v>
      </c>
      <c r="H162" s="15"/>
      <c r="I162" s="15"/>
      <c r="J162" s="15"/>
      <c r="K162" s="15"/>
      <c r="L162" s="16"/>
      <c r="M162" s="15"/>
    </row>
    <row r="163" spans="1:13" ht="12.75">
      <c r="A163" s="15"/>
      <c r="B163" s="15"/>
      <c r="C163" s="15"/>
      <c r="D163" s="15"/>
      <c r="E163" s="15"/>
      <c r="F163" s="15"/>
      <c r="G163" s="15" t="s">
        <v>973</v>
      </c>
      <c r="H163" s="15"/>
      <c r="I163" s="15"/>
      <c r="J163" s="15"/>
      <c r="K163" s="15"/>
      <c r="L163" s="16"/>
      <c r="M163" s="15"/>
    </row>
    <row r="164" spans="1:13" ht="12.75">
      <c r="A164" s="15"/>
      <c r="B164" s="15"/>
      <c r="C164" s="15"/>
      <c r="D164" s="15"/>
      <c r="E164" s="15"/>
      <c r="F164" s="15"/>
      <c r="G164" s="15" t="s">
        <v>974</v>
      </c>
      <c r="H164" s="15"/>
      <c r="I164" s="15"/>
      <c r="J164" s="15"/>
      <c r="K164" s="15"/>
      <c r="L164" s="16"/>
      <c r="M164" s="15"/>
    </row>
    <row r="165" spans="1:13" ht="12.75">
      <c r="A165" s="15"/>
      <c r="B165" s="15"/>
      <c r="C165" s="15"/>
      <c r="D165" s="15"/>
      <c r="E165" s="15"/>
      <c r="F165" s="15"/>
      <c r="G165" s="15" t="s">
        <v>883</v>
      </c>
      <c r="H165" s="15"/>
      <c r="I165" s="15"/>
      <c r="J165" s="15"/>
      <c r="K165" s="15"/>
      <c r="L165" s="16"/>
      <c r="M165" s="15"/>
    </row>
    <row r="166" spans="1:13" ht="12.75">
      <c r="A166" s="15"/>
      <c r="B166" s="15"/>
      <c r="C166" s="15"/>
      <c r="D166" s="15"/>
      <c r="E166" s="15"/>
      <c r="F166" s="15" t="s">
        <v>848</v>
      </c>
      <c r="G166" s="15"/>
      <c r="H166" s="15"/>
      <c r="I166" s="15"/>
      <c r="J166" s="15"/>
      <c r="K166" s="15"/>
      <c r="L166" s="16"/>
      <c r="M166" s="15"/>
    </row>
    <row r="167" spans="1:13" ht="12.75">
      <c r="A167" s="15"/>
      <c r="B167" s="15"/>
      <c r="C167" s="15"/>
      <c r="D167" s="15"/>
      <c r="E167" s="15" t="s">
        <v>858</v>
      </c>
      <c r="F167" s="15"/>
      <c r="G167" s="15"/>
      <c r="H167" s="15"/>
      <c r="I167" s="15"/>
      <c r="J167" s="15"/>
      <c r="K167" s="15"/>
      <c r="L167" s="16"/>
      <c r="M167" s="15"/>
    </row>
    <row r="168" spans="1:13" ht="22.5">
      <c r="A168" s="15"/>
      <c r="B168" s="15"/>
      <c r="C168" s="15"/>
      <c r="D168" s="15"/>
      <c r="E168" s="15" t="s">
        <v>1005</v>
      </c>
      <c r="F168" s="15"/>
      <c r="G168" s="15"/>
      <c r="H168" s="15"/>
      <c r="I168" s="15"/>
      <c r="J168" s="15"/>
      <c r="K168" s="15"/>
      <c r="L168" s="16" t="s">
        <v>1006</v>
      </c>
      <c r="M168" s="15"/>
    </row>
    <row r="169" spans="1:13" ht="12.75">
      <c r="A169" s="15"/>
      <c r="B169" s="15"/>
      <c r="C169" s="15"/>
      <c r="D169" s="15"/>
      <c r="E169" s="15"/>
      <c r="F169" s="15" t="s">
        <v>956</v>
      </c>
      <c r="G169" s="15"/>
      <c r="H169" s="15"/>
      <c r="I169" s="15"/>
      <c r="J169" s="15"/>
      <c r="K169" s="15"/>
      <c r="L169" s="16" t="s">
        <v>1007</v>
      </c>
      <c r="M169" s="15"/>
    </row>
    <row r="170" spans="1:13" ht="12.75">
      <c r="A170" s="15"/>
      <c r="B170" s="15"/>
      <c r="C170" s="15"/>
      <c r="D170" s="15"/>
      <c r="E170" s="15" t="s">
        <v>858</v>
      </c>
      <c r="F170" s="15"/>
      <c r="G170" s="15"/>
      <c r="H170" s="15"/>
      <c r="I170" s="15"/>
      <c r="J170" s="15"/>
      <c r="K170" s="15"/>
      <c r="L170" s="16"/>
      <c r="M170" s="15"/>
    </row>
    <row r="171" spans="1:13" ht="33.75">
      <c r="A171" s="15"/>
      <c r="B171" s="15"/>
      <c r="C171" s="15"/>
      <c r="D171" s="15"/>
      <c r="E171" s="15" t="s">
        <v>1008</v>
      </c>
      <c r="F171" s="15"/>
      <c r="G171" s="15"/>
      <c r="H171" s="15"/>
      <c r="I171" s="15"/>
      <c r="J171" s="15"/>
      <c r="K171" s="15"/>
      <c r="L171" s="16" t="s">
        <v>1009</v>
      </c>
      <c r="M171" s="15"/>
    </row>
    <row r="172" spans="1:13" ht="22.5">
      <c r="A172" s="15"/>
      <c r="B172" s="15"/>
      <c r="C172" s="15"/>
      <c r="D172" s="15"/>
      <c r="E172" s="15"/>
      <c r="F172" s="15" t="s">
        <v>838</v>
      </c>
      <c r="G172" s="15"/>
      <c r="H172" s="15"/>
      <c r="I172" s="15"/>
      <c r="J172" s="15"/>
      <c r="K172" s="15"/>
      <c r="L172" s="16" t="s">
        <v>1010</v>
      </c>
      <c r="M172" s="15"/>
    </row>
    <row r="173" spans="1:13" ht="12.75">
      <c r="A173" s="15"/>
      <c r="B173" s="15"/>
      <c r="C173" s="15"/>
      <c r="D173" s="15"/>
      <c r="E173" s="15"/>
      <c r="F173" s="15"/>
      <c r="G173" s="15" t="s">
        <v>839</v>
      </c>
      <c r="H173" s="15"/>
      <c r="I173" s="15"/>
      <c r="J173" s="15"/>
      <c r="K173" s="15"/>
      <c r="L173" s="16" t="s">
        <v>1011</v>
      </c>
      <c r="M173" s="18" t="s">
        <v>1228</v>
      </c>
    </row>
    <row r="174" spans="1:13" ht="12.75">
      <c r="A174" s="15"/>
      <c r="B174" s="15"/>
      <c r="C174" s="15"/>
      <c r="D174" s="15"/>
      <c r="E174" s="15"/>
      <c r="F174" s="15"/>
      <c r="G174" s="15" t="s">
        <v>852</v>
      </c>
      <c r="H174" s="15"/>
      <c r="I174" s="15"/>
      <c r="J174" s="15"/>
      <c r="K174" s="15"/>
      <c r="L174" s="16"/>
      <c r="M174" s="15"/>
    </row>
    <row r="175" spans="1:13" ht="12.75">
      <c r="A175" s="15"/>
      <c r="B175" s="15"/>
      <c r="C175" s="15"/>
      <c r="D175" s="15"/>
      <c r="E175" s="15"/>
      <c r="F175" s="15"/>
      <c r="G175" s="15"/>
      <c r="H175" s="15" t="s">
        <v>823</v>
      </c>
      <c r="I175" s="15"/>
      <c r="J175" s="15"/>
      <c r="K175" s="15"/>
      <c r="L175" s="16" t="s">
        <v>1013</v>
      </c>
      <c r="M175" s="18" t="s">
        <v>1229</v>
      </c>
    </row>
    <row r="176" spans="1:13" ht="56.25">
      <c r="A176" s="15"/>
      <c r="B176" s="15"/>
      <c r="C176" s="15"/>
      <c r="D176" s="15"/>
      <c r="E176" s="15"/>
      <c r="F176" s="15"/>
      <c r="G176" s="17"/>
      <c r="H176" s="15" t="s">
        <v>855</v>
      </c>
      <c r="I176" s="15"/>
      <c r="J176" s="15"/>
      <c r="K176" s="15"/>
      <c r="L176" s="16" t="s">
        <v>1015</v>
      </c>
      <c r="M176" s="15" t="s">
        <v>1016</v>
      </c>
    </row>
    <row r="177" spans="1:13" ht="12.75">
      <c r="A177" s="15"/>
      <c r="B177" s="15"/>
      <c r="C177" s="15"/>
      <c r="D177" s="15"/>
      <c r="E177" s="15"/>
      <c r="F177" s="15"/>
      <c r="G177" s="15" t="s">
        <v>848</v>
      </c>
      <c r="H177" s="15"/>
      <c r="I177" s="15"/>
      <c r="J177" s="15"/>
      <c r="K177" s="15"/>
      <c r="L177" s="16"/>
      <c r="M177" s="15"/>
    </row>
    <row r="178" spans="1:13" ht="12.75">
      <c r="A178" s="15"/>
      <c r="B178" s="15"/>
      <c r="C178" s="15"/>
      <c r="D178" s="15"/>
      <c r="E178" s="15"/>
      <c r="F178" s="15" t="s">
        <v>858</v>
      </c>
      <c r="G178" s="15"/>
      <c r="H178" s="15"/>
      <c r="I178" s="15"/>
      <c r="J178" s="15"/>
      <c r="K178" s="15"/>
      <c r="L178" s="16"/>
      <c r="M178" s="15"/>
    </row>
    <row r="179" spans="1:13" ht="45">
      <c r="A179" s="15"/>
      <c r="B179" s="15"/>
      <c r="C179" s="15"/>
      <c r="D179" s="15"/>
      <c r="E179" s="15"/>
      <c r="F179" s="15" t="s">
        <v>1017</v>
      </c>
      <c r="G179" s="15"/>
      <c r="H179" s="15"/>
      <c r="I179" s="15"/>
      <c r="J179" s="15"/>
      <c r="K179" s="15"/>
      <c r="L179" s="16" t="s">
        <v>1018</v>
      </c>
      <c r="M179" s="15"/>
    </row>
    <row r="180" spans="1:13" ht="12.75">
      <c r="A180" s="15"/>
      <c r="B180" s="15"/>
      <c r="C180" s="15"/>
      <c r="D180" s="15"/>
      <c r="E180" s="15"/>
      <c r="F180" s="15" t="s">
        <v>1019</v>
      </c>
      <c r="G180" s="15"/>
      <c r="H180" s="15"/>
      <c r="I180" s="15"/>
      <c r="J180" s="15"/>
      <c r="K180" s="15"/>
      <c r="L180" s="16" t="s">
        <v>1020</v>
      </c>
      <c r="M180" s="15"/>
    </row>
    <row r="181" spans="1:13" ht="12.75">
      <c r="A181" s="15"/>
      <c r="B181" s="15"/>
      <c r="C181" s="15"/>
      <c r="D181" s="15"/>
      <c r="E181" s="15"/>
      <c r="F181" s="15"/>
      <c r="G181" s="15" t="s">
        <v>1021</v>
      </c>
      <c r="H181" s="15"/>
      <c r="I181" s="15"/>
      <c r="J181" s="15"/>
      <c r="K181" s="15"/>
      <c r="L181" s="16" t="s">
        <v>1022</v>
      </c>
      <c r="M181" s="15"/>
    </row>
    <row r="182" spans="1:13" ht="12.75">
      <c r="A182" s="15"/>
      <c r="B182" s="15"/>
      <c r="C182" s="15"/>
      <c r="D182" s="15"/>
      <c r="E182" s="15"/>
      <c r="F182" s="15"/>
      <c r="G182" s="15" t="s">
        <v>1023</v>
      </c>
      <c r="H182" s="15"/>
      <c r="I182" s="15"/>
      <c r="J182" s="15"/>
      <c r="K182" s="15"/>
      <c r="L182" s="16" t="s">
        <v>1024</v>
      </c>
      <c r="M182" s="15"/>
    </row>
    <row r="183" spans="1:13" ht="12.75">
      <c r="A183" s="15"/>
      <c r="B183" s="15"/>
      <c r="C183" s="15"/>
      <c r="D183" s="15"/>
      <c r="E183" s="15"/>
      <c r="F183" s="15" t="s">
        <v>848</v>
      </c>
      <c r="G183" s="15"/>
      <c r="H183" s="15"/>
      <c r="I183" s="15"/>
      <c r="J183" s="15"/>
      <c r="K183" s="15"/>
      <c r="L183" s="16"/>
      <c r="M183" s="15"/>
    </row>
    <row r="184" spans="1:13" ht="22.5">
      <c r="A184" s="15"/>
      <c r="B184" s="15"/>
      <c r="C184" s="15"/>
      <c r="D184" s="15"/>
      <c r="E184" s="15"/>
      <c r="F184" s="15" t="s">
        <v>1025</v>
      </c>
      <c r="G184" s="15"/>
      <c r="H184" s="15"/>
      <c r="I184" s="15"/>
      <c r="J184" s="15"/>
      <c r="K184" s="15"/>
      <c r="L184" s="16" t="s">
        <v>1026</v>
      </c>
      <c r="M184" s="15"/>
    </row>
    <row r="185" spans="1:13" ht="12.75">
      <c r="A185" s="15"/>
      <c r="B185" s="15"/>
      <c r="C185" s="15"/>
      <c r="D185" s="15"/>
      <c r="E185" s="15"/>
      <c r="F185" s="15"/>
      <c r="G185" s="15" t="s">
        <v>972</v>
      </c>
      <c r="H185" s="15"/>
      <c r="I185" s="15"/>
      <c r="J185" s="15"/>
      <c r="K185" s="15"/>
      <c r="L185" s="16" t="s">
        <v>1027</v>
      </c>
      <c r="M185" s="15"/>
    </row>
    <row r="186" spans="1:13" ht="12.75">
      <c r="A186" s="15"/>
      <c r="B186" s="15"/>
      <c r="C186" s="15"/>
      <c r="D186" s="15"/>
      <c r="E186" s="15"/>
      <c r="F186" s="15"/>
      <c r="G186" s="15" t="s">
        <v>973</v>
      </c>
      <c r="H186" s="15"/>
      <c r="I186" s="15"/>
      <c r="J186" s="15"/>
      <c r="K186" s="15"/>
      <c r="L186" s="16" t="s">
        <v>1028</v>
      </c>
      <c r="M186" s="15" t="s">
        <v>1029</v>
      </c>
    </row>
    <row r="187" spans="1:13" ht="12.75">
      <c r="A187" s="15"/>
      <c r="B187" s="15"/>
      <c r="C187" s="15"/>
      <c r="D187" s="15"/>
      <c r="E187" s="15"/>
      <c r="F187" s="15"/>
      <c r="G187" s="15" t="s">
        <v>823</v>
      </c>
      <c r="H187" s="15"/>
      <c r="I187" s="15"/>
      <c r="J187" s="15"/>
      <c r="K187" s="15"/>
      <c r="L187" s="16" t="s">
        <v>1030</v>
      </c>
      <c r="M187" s="18" t="s">
        <v>1230</v>
      </c>
    </row>
    <row r="188" spans="1:13" ht="12.75">
      <c r="A188" s="15"/>
      <c r="B188" s="15"/>
      <c r="C188" s="15"/>
      <c r="D188" s="15"/>
      <c r="E188" s="15"/>
      <c r="F188" s="15"/>
      <c r="G188" s="15" t="s">
        <v>883</v>
      </c>
      <c r="H188" s="15"/>
      <c r="I188" s="15"/>
      <c r="J188" s="15"/>
      <c r="K188" s="15"/>
      <c r="L188" s="16" t="s">
        <v>1032</v>
      </c>
      <c r="M188" s="15" t="s">
        <v>1033</v>
      </c>
    </row>
    <row r="189" spans="1:13" ht="12.75">
      <c r="A189" s="15"/>
      <c r="B189" s="15"/>
      <c r="C189" s="15"/>
      <c r="D189" s="15"/>
      <c r="E189" s="15"/>
      <c r="F189" s="15" t="s">
        <v>848</v>
      </c>
      <c r="G189" s="15"/>
      <c r="H189" s="15"/>
      <c r="I189" s="15"/>
      <c r="J189" s="15"/>
      <c r="K189" s="15"/>
      <c r="L189" s="16"/>
      <c r="M189" s="15"/>
    </row>
    <row r="190" spans="1:13" ht="22.5">
      <c r="A190" s="15"/>
      <c r="B190" s="15"/>
      <c r="C190" s="15"/>
      <c r="D190" s="15"/>
      <c r="E190" s="15"/>
      <c r="F190" s="15" t="s">
        <v>1034</v>
      </c>
      <c r="G190" s="15"/>
      <c r="H190" s="15"/>
      <c r="I190" s="15"/>
      <c r="J190" s="15"/>
      <c r="K190" s="15"/>
      <c r="L190" s="16" t="s">
        <v>1035</v>
      </c>
      <c r="M190" s="15"/>
    </row>
    <row r="191" spans="1:13" ht="12.75">
      <c r="A191" s="15"/>
      <c r="B191" s="15"/>
      <c r="C191" s="15"/>
      <c r="D191" s="15"/>
      <c r="E191" s="15"/>
      <c r="F191" s="15"/>
      <c r="G191" s="15" t="s">
        <v>1036</v>
      </c>
      <c r="H191" s="17"/>
      <c r="I191" s="15"/>
      <c r="J191" s="15"/>
      <c r="K191" s="15"/>
      <c r="L191" s="16"/>
      <c r="M191" s="15"/>
    </row>
    <row r="192" spans="1:13" ht="12.75">
      <c r="A192" s="15"/>
      <c r="B192" s="15"/>
      <c r="C192" s="15"/>
      <c r="D192" s="15"/>
      <c r="E192" s="15"/>
      <c r="F192" s="15"/>
      <c r="G192" s="15"/>
      <c r="H192" s="15" t="s">
        <v>890</v>
      </c>
      <c r="I192" s="15"/>
      <c r="J192" s="15"/>
      <c r="K192" s="15"/>
      <c r="L192" s="16" t="s">
        <v>1037</v>
      </c>
      <c r="M192" s="18" t="s">
        <v>1231</v>
      </c>
    </row>
    <row r="193" spans="1:13" ht="12.75">
      <c r="A193" s="15"/>
      <c r="B193" s="15"/>
      <c r="C193" s="15"/>
      <c r="D193" s="15"/>
      <c r="E193" s="15"/>
      <c r="F193" s="15"/>
      <c r="G193" s="15"/>
      <c r="H193" s="15" t="s">
        <v>900</v>
      </c>
      <c r="I193" s="15"/>
      <c r="J193" s="15"/>
      <c r="K193" s="15"/>
      <c r="L193" s="20" t="s">
        <v>1232</v>
      </c>
      <c r="M193" s="15"/>
    </row>
    <row r="194" spans="1:13" ht="12.75">
      <c r="A194" s="15"/>
      <c r="B194" s="15"/>
      <c r="C194" s="15"/>
      <c r="D194" s="15"/>
      <c r="E194" s="15"/>
      <c r="F194" s="15"/>
      <c r="G194" s="15" t="s">
        <v>848</v>
      </c>
      <c r="H194" s="15"/>
      <c r="I194" s="15"/>
      <c r="J194" s="15"/>
      <c r="K194" s="15"/>
      <c r="L194" s="16" t="s">
        <v>1040</v>
      </c>
      <c r="M194" s="15"/>
    </row>
    <row r="195" spans="1:13" ht="12.75">
      <c r="A195" s="15"/>
      <c r="B195" s="15"/>
      <c r="C195" s="15"/>
      <c r="D195" s="15"/>
      <c r="E195" s="15"/>
      <c r="F195" s="15" t="s">
        <v>848</v>
      </c>
      <c r="G195" s="15"/>
      <c r="H195" s="15"/>
      <c r="I195" s="15"/>
      <c r="J195" s="15"/>
      <c r="K195" s="15"/>
      <c r="L195" s="16"/>
      <c r="M195" s="15"/>
    </row>
    <row r="196" spans="1:13" ht="12.75">
      <c r="A196" s="15"/>
      <c r="B196" s="15"/>
      <c r="C196" s="15"/>
      <c r="D196" s="15"/>
      <c r="E196" s="15"/>
      <c r="F196" s="15" t="s">
        <v>1041</v>
      </c>
      <c r="G196" s="15"/>
      <c r="H196" s="15"/>
      <c r="I196" s="15"/>
      <c r="J196" s="15"/>
      <c r="K196" s="15"/>
      <c r="L196" s="16" t="s">
        <v>1042</v>
      </c>
      <c r="M196" s="15"/>
    </row>
    <row r="197" spans="1:13" ht="12.75">
      <c r="A197" s="15"/>
      <c r="B197" s="15"/>
      <c r="C197" s="15"/>
      <c r="D197" s="15"/>
      <c r="E197" s="15"/>
      <c r="F197" s="15"/>
      <c r="G197" s="15" t="s">
        <v>972</v>
      </c>
      <c r="H197" s="15"/>
      <c r="I197" s="15"/>
      <c r="J197" s="15"/>
      <c r="K197" s="15"/>
      <c r="L197" s="16" t="s">
        <v>1043</v>
      </c>
      <c r="M197" s="15"/>
    </row>
    <row r="198" spans="1:13" ht="12.75">
      <c r="A198" s="15"/>
      <c r="B198" s="15"/>
      <c r="C198" s="15"/>
      <c r="D198" s="15"/>
      <c r="E198" s="15"/>
      <c r="F198" s="15"/>
      <c r="G198" s="15" t="s">
        <v>973</v>
      </c>
      <c r="H198" s="15"/>
      <c r="I198" s="15"/>
      <c r="J198" s="15"/>
      <c r="K198" s="15"/>
      <c r="L198" s="16" t="s">
        <v>1044</v>
      </c>
      <c r="M198" s="15"/>
    </row>
    <row r="199" spans="1:13" ht="12.75">
      <c r="A199" s="15"/>
      <c r="B199" s="15"/>
      <c r="C199" s="15"/>
      <c r="D199" s="15"/>
      <c r="E199" s="15"/>
      <c r="F199" s="15"/>
      <c r="G199" s="15" t="s">
        <v>823</v>
      </c>
      <c r="H199" s="15"/>
      <c r="I199" s="15"/>
      <c r="J199" s="15"/>
      <c r="K199" s="15"/>
      <c r="L199" s="16" t="s">
        <v>919</v>
      </c>
      <c r="M199" s="18" t="s">
        <v>1233</v>
      </c>
    </row>
    <row r="200" spans="1:13" ht="12.75">
      <c r="A200" s="15"/>
      <c r="B200" s="15"/>
      <c r="C200" s="15"/>
      <c r="D200" s="15"/>
      <c r="E200" s="15"/>
      <c r="F200" s="15"/>
      <c r="G200" s="15" t="s">
        <v>883</v>
      </c>
      <c r="H200" s="15"/>
      <c r="I200" s="15"/>
      <c r="J200" s="15"/>
      <c r="K200" s="15"/>
      <c r="L200" s="16" t="s">
        <v>1046</v>
      </c>
      <c r="M200" s="15"/>
    </row>
    <row r="201" spans="1:13" ht="12.75">
      <c r="A201" s="15"/>
      <c r="B201" s="15"/>
      <c r="C201" s="15"/>
      <c r="D201" s="15"/>
      <c r="E201" s="15"/>
      <c r="F201" s="15" t="s">
        <v>848</v>
      </c>
      <c r="G201" s="15"/>
      <c r="H201" s="15"/>
      <c r="I201" s="15"/>
      <c r="J201" s="15"/>
      <c r="K201" s="15"/>
      <c r="L201" s="16"/>
      <c r="M201" s="15"/>
    </row>
    <row r="202" spans="1:13" ht="12.75">
      <c r="A202" s="15"/>
      <c r="B202" s="15"/>
      <c r="C202" s="15"/>
      <c r="D202" s="15"/>
      <c r="E202" s="15" t="s">
        <v>848</v>
      </c>
      <c r="F202" s="15"/>
      <c r="G202" s="15"/>
      <c r="H202" s="15"/>
      <c r="I202" s="15"/>
      <c r="J202" s="15"/>
      <c r="K202" s="15"/>
      <c r="L202" s="16"/>
      <c r="M202" s="15"/>
    </row>
    <row r="203" spans="1:13" ht="22.5">
      <c r="A203" s="15"/>
      <c r="B203" s="15"/>
      <c r="C203" s="15"/>
      <c r="D203" s="15"/>
      <c r="E203" s="15" t="s">
        <v>1047</v>
      </c>
      <c r="F203" s="15"/>
      <c r="G203" s="15"/>
      <c r="H203" s="15"/>
      <c r="I203" s="15"/>
      <c r="J203" s="15"/>
      <c r="K203" s="15"/>
      <c r="L203" s="16" t="s">
        <v>1048</v>
      </c>
      <c r="M203" s="15"/>
    </row>
    <row r="204" spans="1:13" ht="12.75">
      <c r="A204" s="15"/>
      <c r="B204" s="15"/>
      <c r="C204" s="15"/>
      <c r="D204" s="15"/>
      <c r="E204" s="15"/>
      <c r="F204" s="15" t="s">
        <v>1049</v>
      </c>
      <c r="G204" s="15"/>
      <c r="H204" s="15"/>
      <c r="I204" s="15"/>
      <c r="J204" s="15"/>
      <c r="K204" s="15"/>
      <c r="L204" s="16"/>
      <c r="M204" s="15" t="s">
        <v>1050</v>
      </c>
    </row>
    <row r="205" spans="1:13" ht="12.75">
      <c r="A205" s="15"/>
      <c r="B205" s="15"/>
      <c r="C205" s="15"/>
      <c r="D205" s="15"/>
      <c r="E205" s="15" t="s">
        <v>848</v>
      </c>
      <c r="F205" s="15"/>
      <c r="G205" s="15"/>
      <c r="H205" s="15"/>
      <c r="I205" s="15"/>
      <c r="J205" s="15"/>
      <c r="K205" s="15"/>
      <c r="L205" s="16"/>
      <c r="M205" s="15"/>
    </row>
    <row r="206" spans="1:13" ht="12.75">
      <c r="A206" s="15"/>
      <c r="B206" s="15"/>
      <c r="C206" s="15"/>
      <c r="D206" s="15" t="s">
        <v>848</v>
      </c>
      <c r="E206" s="15"/>
      <c r="F206" s="15"/>
      <c r="G206" s="15"/>
      <c r="H206" s="15"/>
      <c r="I206" s="15"/>
      <c r="J206" s="15"/>
      <c r="K206" s="15"/>
      <c r="L206" s="16"/>
      <c r="M206" s="15"/>
    </row>
    <row r="207" spans="1:13" ht="12.75">
      <c r="A207" s="15"/>
      <c r="B207" s="15"/>
      <c r="C207" s="15" t="s">
        <v>848</v>
      </c>
      <c r="D207" s="15"/>
      <c r="E207" s="15"/>
      <c r="F207" s="15"/>
      <c r="G207" s="15"/>
      <c r="H207" s="15"/>
      <c r="I207" s="15"/>
      <c r="J207" s="15"/>
      <c r="K207" s="15"/>
      <c r="L207" s="16"/>
      <c r="M207" s="15"/>
    </row>
    <row r="208" spans="1:13" ht="12.75">
      <c r="A208" s="15" t="s">
        <v>1051</v>
      </c>
      <c r="B208" s="15"/>
      <c r="C208" s="15" t="s">
        <v>815</v>
      </c>
      <c r="D208" s="15"/>
      <c r="E208" s="15"/>
      <c r="F208" s="15"/>
      <c r="G208" s="15"/>
      <c r="H208" s="15"/>
      <c r="I208" s="15"/>
      <c r="J208" s="15"/>
      <c r="K208" s="15"/>
      <c r="L208" s="16" t="s">
        <v>622</v>
      </c>
      <c r="M208" s="15"/>
    </row>
    <row r="209" spans="1:13" ht="12.75">
      <c r="A209" s="15"/>
      <c r="B209" s="15"/>
      <c r="C209" s="15"/>
      <c r="D209" s="15" t="s">
        <v>833</v>
      </c>
      <c r="E209" s="15"/>
      <c r="F209" s="15"/>
      <c r="G209" s="15"/>
      <c r="H209" s="15"/>
      <c r="I209" s="15"/>
      <c r="J209" s="15"/>
      <c r="K209" s="15"/>
      <c r="L209" s="16" t="s">
        <v>834</v>
      </c>
      <c r="M209" s="15"/>
    </row>
    <row r="210" spans="1:13" ht="12.75">
      <c r="A210" s="15"/>
      <c r="B210" s="15"/>
      <c r="C210" s="15"/>
      <c r="D210" s="15" t="s">
        <v>835</v>
      </c>
      <c r="E210" s="15"/>
      <c r="F210" s="15"/>
      <c r="G210" s="15"/>
      <c r="H210" s="15"/>
      <c r="I210" s="15"/>
      <c r="J210" s="15"/>
      <c r="L210" s="16" t="s">
        <v>1052</v>
      </c>
      <c r="M210" s="15"/>
    </row>
    <row r="211" spans="1:13" ht="12.75">
      <c r="A211" s="15"/>
      <c r="B211" s="15"/>
      <c r="C211" s="15"/>
      <c r="D211" s="15"/>
      <c r="E211" s="15" t="s">
        <v>816</v>
      </c>
      <c r="F211" s="15"/>
      <c r="G211" s="15"/>
      <c r="H211" s="15"/>
      <c r="I211" s="15"/>
      <c r="J211" s="15"/>
      <c r="L211" s="16" t="s">
        <v>817</v>
      </c>
      <c r="M211" s="15" t="s">
        <v>1053</v>
      </c>
    </row>
    <row r="212" spans="1:13" ht="12.75">
      <c r="A212" s="15"/>
      <c r="B212" s="15"/>
      <c r="C212" s="15"/>
      <c r="D212" s="15"/>
      <c r="E212" s="15" t="s">
        <v>896</v>
      </c>
      <c r="F212" s="15"/>
      <c r="G212" s="15"/>
      <c r="H212" s="15"/>
      <c r="I212" s="15"/>
      <c r="J212" s="15"/>
      <c r="L212" s="16" t="s">
        <v>1054</v>
      </c>
      <c r="M212" s="15"/>
    </row>
    <row r="213" spans="1:13" ht="12.75">
      <c r="A213" s="15"/>
      <c r="B213" s="15"/>
      <c r="C213" s="15"/>
      <c r="D213" s="15"/>
      <c r="E213" s="15"/>
      <c r="F213" s="15" t="s">
        <v>890</v>
      </c>
      <c r="G213" s="15"/>
      <c r="H213" s="15"/>
      <c r="I213" s="15"/>
      <c r="J213" s="15"/>
      <c r="L213" s="16" t="s">
        <v>1055</v>
      </c>
      <c r="M213" s="18" t="s">
        <v>1234</v>
      </c>
    </row>
    <row r="214" spans="1:13" ht="22.5">
      <c r="A214" s="15"/>
      <c r="B214" s="15"/>
      <c r="C214" s="15"/>
      <c r="D214" s="15"/>
      <c r="E214" s="15"/>
      <c r="F214" s="15" t="s">
        <v>900</v>
      </c>
      <c r="G214" s="15"/>
      <c r="H214" s="15"/>
      <c r="I214" s="15"/>
      <c r="J214" s="15"/>
      <c r="L214" s="16" t="s">
        <v>1057</v>
      </c>
      <c r="M214" s="21" t="s">
        <v>1058</v>
      </c>
    </row>
    <row r="215" spans="1:13" ht="12.75">
      <c r="A215" s="15"/>
      <c r="B215" s="15"/>
      <c r="C215" s="15"/>
      <c r="D215" s="15"/>
      <c r="E215" s="15" t="s">
        <v>858</v>
      </c>
      <c r="F215" s="15"/>
      <c r="G215" s="15"/>
      <c r="H215" s="15"/>
      <c r="I215" s="15"/>
      <c r="J215" s="15"/>
      <c r="L215" s="16"/>
      <c r="M215" s="15"/>
    </row>
    <row r="216" spans="1:13" ht="12.75">
      <c r="A216" s="15"/>
      <c r="B216" s="15"/>
      <c r="C216" s="15"/>
      <c r="D216" s="15"/>
      <c r="E216" s="15" t="s">
        <v>1059</v>
      </c>
      <c r="F216" s="15"/>
      <c r="G216" s="15"/>
      <c r="H216" s="15"/>
      <c r="I216" s="15"/>
      <c r="J216" s="15"/>
      <c r="L216" s="16"/>
      <c r="M216" s="15"/>
    </row>
    <row r="217" spans="1:13" ht="202.5">
      <c r="A217" s="15"/>
      <c r="B217" s="15"/>
      <c r="C217" s="15"/>
      <c r="D217" s="15"/>
      <c r="E217" s="15"/>
      <c r="F217" s="15" t="s">
        <v>1060</v>
      </c>
      <c r="G217" s="15"/>
      <c r="H217" s="15"/>
      <c r="I217" s="15"/>
      <c r="J217" s="15"/>
      <c r="L217" s="16" t="s">
        <v>1061</v>
      </c>
      <c r="M217" s="15" t="s">
        <v>1062</v>
      </c>
    </row>
    <row r="218" spans="1:13" ht="12.75">
      <c r="A218" s="15"/>
      <c r="B218" s="15"/>
      <c r="C218" s="15"/>
      <c r="D218" s="15"/>
      <c r="E218" s="15"/>
      <c r="F218" s="15" t="s">
        <v>1063</v>
      </c>
      <c r="G218" s="15"/>
      <c r="H218" s="15"/>
      <c r="I218" s="15"/>
      <c r="J218" s="15"/>
      <c r="L218" s="16" t="s">
        <v>1064</v>
      </c>
      <c r="M218" s="15" t="s">
        <v>1065</v>
      </c>
    </row>
    <row r="219" spans="1:13" ht="45">
      <c r="A219" s="15"/>
      <c r="B219" s="15"/>
      <c r="C219" s="15"/>
      <c r="D219" s="15"/>
      <c r="E219" s="15"/>
      <c r="F219" s="15" t="s">
        <v>1066</v>
      </c>
      <c r="G219" s="15"/>
      <c r="H219" s="15"/>
      <c r="I219" s="15"/>
      <c r="J219" s="15"/>
      <c r="L219" s="16" t="s">
        <v>1067</v>
      </c>
      <c r="M219" s="15" t="s">
        <v>1065</v>
      </c>
    </row>
    <row r="220" spans="1:13" ht="12.75">
      <c r="A220" s="15"/>
      <c r="B220" s="15"/>
      <c r="C220" s="15"/>
      <c r="D220" s="15"/>
      <c r="E220" s="15"/>
      <c r="F220" s="15" t="s">
        <v>1068</v>
      </c>
      <c r="G220" s="15"/>
      <c r="H220" s="15"/>
      <c r="I220" s="15"/>
      <c r="J220" s="15"/>
      <c r="L220" s="16" t="s">
        <v>1069</v>
      </c>
      <c r="M220" s="15"/>
    </row>
    <row r="221" spans="1:13" ht="12.75">
      <c r="A221" s="15"/>
      <c r="B221" s="15"/>
      <c r="C221" s="15"/>
      <c r="D221" s="15"/>
      <c r="E221" s="15" t="s">
        <v>858</v>
      </c>
      <c r="F221" s="15"/>
      <c r="G221" s="15"/>
      <c r="H221" s="15"/>
      <c r="I221" s="15"/>
      <c r="J221" s="15"/>
      <c r="L221" s="16"/>
      <c r="M221" s="15"/>
    </row>
    <row r="222" spans="1:13" ht="67.5">
      <c r="A222" s="15"/>
      <c r="B222" s="15"/>
      <c r="C222" s="15"/>
      <c r="D222" s="15"/>
      <c r="E222" s="15" t="s">
        <v>1070</v>
      </c>
      <c r="F222" s="15"/>
      <c r="G222" s="15"/>
      <c r="H222" s="15"/>
      <c r="I222" s="15"/>
      <c r="J222" s="15"/>
      <c r="L222" s="16" t="s">
        <v>1071</v>
      </c>
      <c r="M222" s="15" t="s">
        <v>1072</v>
      </c>
    </row>
    <row r="223" spans="1:13" ht="78.75">
      <c r="A223" s="15"/>
      <c r="B223" s="15"/>
      <c r="C223" s="15"/>
      <c r="D223" s="15"/>
      <c r="E223" s="15" t="s">
        <v>1073</v>
      </c>
      <c r="F223" s="15"/>
      <c r="G223" s="15"/>
      <c r="H223" s="15"/>
      <c r="I223" s="15"/>
      <c r="J223" s="15"/>
      <c r="L223" s="16" t="s">
        <v>1074</v>
      </c>
      <c r="M223" s="15"/>
    </row>
    <row r="224" spans="1:13" ht="22.5">
      <c r="A224" s="15"/>
      <c r="B224" s="15"/>
      <c r="C224" s="15"/>
      <c r="D224" s="15"/>
      <c r="E224" s="15" t="s">
        <v>1075</v>
      </c>
      <c r="F224" s="15"/>
      <c r="G224" s="15"/>
      <c r="H224" s="15"/>
      <c r="I224" s="15"/>
      <c r="J224" s="15"/>
      <c r="L224" s="16" t="s">
        <v>1076</v>
      </c>
      <c r="M224" s="15"/>
    </row>
    <row r="225" spans="1:13" ht="326.25">
      <c r="A225" s="15"/>
      <c r="B225" s="15"/>
      <c r="C225" s="15"/>
      <c r="D225" s="15"/>
      <c r="E225" s="15"/>
      <c r="F225" s="15" t="s">
        <v>1077</v>
      </c>
      <c r="G225" s="15"/>
      <c r="H225" s="15"/>
      <c r="I225" s="15"/>
      <c r="J225" s="15"/>
      <c r="L225" s="16" t="s">
        <v>1078</v>
      </c>
      <c r="M225" s="15" t="s">
        <v>1079</v>
      </c>
    </row>
    <row r="226" spans="1:13" ht="146.25">
      <c r="A226" s="15"/>
      <c r="B226" s="15"/>
      <c r="C226" s="15"/>
      <c r="D226" s="15"/>
      <c r="E226" s="15"/>
      <c r="F226" s="15" t="s">
        <v>1080</v>
      </c>
      <c r="G226" s="15"/>
      <c r="H226" s="15"/>
      <c r="I226" s="15"/>
      <c r="J226" s="15"/>
      <c r="L226" s="16" t="s">
        <v>1081</v>
      </c>
      <c r="M226" s="15" t="s">
        <v>1082</v>
      </c>
    </row>
    <row r="227" spans="1:13" ht="12.75">
      <c r="A227" s="15"/>
      <c r="B227" s="15"/>
      <c r="C227" s="15"/>
      <c r="D227" s="15"/>
      <c r="E227" s="15"/>
      <c r="F227" s="15" t="s">
        <v>1083</v>
      </c>
      <c r="G227" s="15"/>
      <c r="H227" s="15"/>
      <c r="I227" s="15"/>
      <c r="J227" s="15"/>
      <c r="L227" s="16" t="s">
        <v>1084</v>
      </c>
      <c r="M227" s="15"/>
    </row>
    <row r="228" spans="1:13" ht="12.75">
      <c r="A228" s="15"/>
      <c r="B228" s="15"/>
      <c r="C228" s="15"/>
      <c r="D228" s="15"/>
      <c r="E228" s="15" t="s">
        <v>858</v>
      </c>
      <c r="F228" s="15"/>
      <c r="G228" s="15"/>
      <c r="H228" s="15"/>
      <c r="I228" s="15"/>
      <c r="J228" s="15"/>
      <c r="L228" s="16"/>
      <c r="M228" s="15"/>
    </row>
    <row r="229" spans="1:13" ht="12.75">
      <c r="A229" s="15"/>
      <c r="B229" s="15"/>
      <c r="C229" s="15"/>
      <c r="D229" s="15"/>
      <c r="E229" s="15" t="s">
        <v>1085</v>
      </c>
      <c r="F229" s="15"/>
      <c r="G229" s="15"/>
      <c r="H229" s="15"/>
      <c r="I229" s="15"/>
      <c r="J229" s="15"/>
      <c r="L229" s="16" t="s">
        <v>1086</v>
      </c>
      <c r="M229" s="15"/>
    </row>
    <row r="230" spans="1:13" ht="12.75">
      <c r="A230" s="15"/>
      <c r="B230" s="15"/>
      <c r="C230" s="15"/>
      <c r="D230" s="15"/>
      <c r="E230" s="15"/>
      <c r="F230" s="15" t="s">
        <v>823</v>
      </c>
      <c r="G230" s="15"/>
      <c r="H230" s="15"/>
      <c r="I230" s="15"/>
      <c r="J230" s="15"/>
      <c r="L230" s="16" t="s">
        <v>1087</v>
      </c>
      <c r="M230" s="15" t="s">
        <v>1088</v>
      </c>
    </row>
    <row r="231" spans="1:13" ht="12.75">
      <c r="A231" s="15"/>
      <c r="B231" s="15"/>
      <c r="C231" s="15"/>
      <c r="D231" s="15"/>
      <c r="E231" s="15"/>
      <c r="F231" s="15" t="s">
        <v>1077</v>
      </c>
      <c r="G231" s="15"/>
      <c r="H231" s="15"/>
      <c r="I231" s="15"/>
      <c r="J231" s="15"/>
      <c r="L231" s="16" t="s">
        <v>1089</v>
      </c>
      <c r="M231" s="15" t="s">
        <v>1090</v>
      </c>
    </row>
    <row r="232" spans="1:13" ht="12.75">
      <c r="A232" s="15"/>
      <c r="B232" s="15"/>
      <c r="C232" s="15"/>
      <c r="D232" s="15"/>
      <c r="E232" s="15"/>
      <c r="F232" s="15" t="s">
        <v>826</v>
      </c>
      <c r="G232" s="15"/>
      <c r="H232" s="15"/>
      <c r="I232" s="15"/>
      <c r="J232" s="15"/>
      <c r="L232" s="16" t="s">
        <v>1091</v>
      </c>
      <c r="M232" s="15"/>
    </row>
    <row r="233" spans="1:13" ht="12.75">
      <c r="A233" s="15"/>
      <c r="B233" s="15"/>
      <c r="C233" s="15"/>
      <c r="D233" s="15"/>
      <c r="E233" s="15" t="s">
        <v>858</v>
      </c>
      <c r="F233" s="15"/>
      <c r="G233" s="15"/>
      <c r="H233" s="15"/>
      <c r="I233" s="15"/>
      <c r="J233" s="15"/>
      <c r="L233" s="16"/>
      <c r="M233" s="15"/>
    </row>
    <row r="234" spans="1:13" ht="12.75">
      <c r="A234" s="15"/>
      <c r="B234" s="15"/>
      <c r="C234" s="15"/>
      <c r="D234" s="15"/>
      <c r="E234" s="15" t="s">
        <v>1092</v>
      </c>
      <c r="F234" s="15"/>
      <c r="G234" s="15"/>
      <c r="H234" s="15"/>
      <c r="I234" s="15"/>
      <c r="J234" s="15"/>
      <c r="L234" s="16" t="s">
        <v>1093</v>
      </c>
      <c r="M234" s="15"/>
    </row>
    <row r="235" spans="1:13" ht="12.75">
      <c r="A235" s="15"/>
      <c r="B235" s="15"/>
      <c r="C235" s="15"/>
      <c r="D235" s="15"/>
      <c r="E235" s="15"/>
      <c r="F235" s="15" t="s">
        <v>1036</v>
      </c>
      <c r="G235" s="15"/>
      <c r="H235" s="15"/>
      <c r="I235" s="15"/>
      <c r="J235" s="15"/>
      <c r="L235" s="16"/>
      <c r="M235" s="15"/>
    </row>
    <row r="236" spans="1:13" ht="12.75">
      <c r="A236" s="15"/>
      <c r="B236" s="15"/>
      <c r="C236" s="15"/>
      <c r="D236" s="15"/>
      <c r="E236" s="15"/>
      <c r="F236" s="15"/>
      <c r="G236" s="15" t="s">
        <v>890</v>
      </c>
      <c r="H236" s="15"/>
      <c r="I236" s="15"/>
      <c r="J236" s="15"/>
      <c r="L236" s="16" t="s">
        <v>1037</v>
      </c>
      <c r="M236" s="18" t="s">
        <v>1235</v>
      </c>
    </row>
    <row r="237" spans="1:13" ht="12.75">
      <c r="A237" s="15"/>
      <c r="B237" s="15"/>
      <c r="C237" s="15"/>
      <c r="D237" s="15"/>
      <c r="E237" s="15"/>
      <c r="F237" s="15"/>
      <c r="G237" s="15" t="s">
        <v>900</v>
      </c>
      <c r="H237" s="15"/>
      <c r="I237" s="15"/>
      <c r="J237" s="15"/>
      <c r="L237" s="16" t="s">
        <v>1040</v>
      </c>
    </row>
    <row r="238" spans="1:13" ht="12.75">
      <c r="A238" s="15"/>
      <c r="B238" s="15"/>
      <c r="C238" s="15"/>
      <c r="D238" s="15"/>
      <c r="E238" s="15"/>
      <c r="F238" s="15" t="s">
        <v>848</v>
      </c>
      <c r="G238" s="15"/>
      <c r="H238" s="15"/>
      <c r="I238" s="15"/>
      <c r="J238" s="15"/>
      <c r="L238" s="16"/>
      <c r="M238" s="15"/>
    </row>
    <row r="239" spans="1:13" ht="12.75">
      <c r="A239" s="15"/>
      <c r="B239" s="15"/>
      <c r="C239" s="15"/>
      <c r="D239" s="15"/>
      <c r="E239" s="15" t="s">
        <v>858</v>
      </c>
      <c r="F239" s="15"/>
      <c r="G239" s="15"/>
      <c r="H239" s="15"/>
      <c r="I239" s="15"/>
      <c r="J239" s="15"/>
      <c r="L239" s="16"/>
      <c r="M239" s="15"/>
    </row>
    <row r="240" spans="1:13" ht="12.75">
      <c r="A240" s="15"/>
      <c r="B240" s="15"/>
      <c r="C240" s="15"/>
      <c r="D240" s="15" t="s">
        <v>848</v>
      </c>
      <c r="E240" s="15"/>
      <c r="F240" s="15"/>
      <c r="G240" s="15"/>
      <c r="H240" s="15"/>
      <c r="I240" s="15"/>
      <c r="J240" s="15"/>
      <c r="L240" s="16"/>
      <c r="M240" s="15"/>
    </row>
    <row r="241" spans="1:13" ht="12.75">
      <c r="A241" s="15"/>
      <c r="B241" s="15"/>
      <c r="C241" s="15" t="s">
        <v>848</v>
      </c>
      <c r="D241" s="15"/>
      <c r="E241" s="15"/>
      <c r="F241" s="15"/>
      <c r="G241" s="15"/>
      <c r="H241" s="15"/>
      <c r="I241" s="15"/>
      <c r="J241" s="15"/>
      <c r="K241" s="15"/>
      <c r="L241" s="16"/>
      <c r="M241" s="15"/>
    </row>
    <row r="242" spans="1:13" ht="12.75">
      <c r="A242" s="15"/>
      <c r="B242" s="15"/>
      <c r="C242" s="15" t="s">
        <v>815</v>
      </c>
      <c r="D242" s="15"/>
      <c r="E242" s="15"/>
      <c r="F242" s="15"/>
      <c r="G242" s="15"/>
      <c r="H242" s="15"/>
      <c r="I242" s="15"/>
      <c r="J242" s="15"/>
      <c r="K242" s="15"/>
      <c r="L242" s="16" t="s">
        <v>1095</v>
      </c>
      <c r="M242" s="15"/>
    </row>
    <row r="243" spans="1:13" ht="12.75">
      <c r="A243" s="15"/>
      <c r="B243" s="15"/>
      <c r="C243" s="15"/>
      <c r="D243" s="15" t="s">
        <v>833</v>
      </c>
      <c r="E243" s="15"/>
      <c r="F243" s="15"/>
      <c r="G243" s="15"/>
      <c r="H243" s="15"/>
      <c r="I243" s="15"/>
      <c r="J243" s="15"/>
      <c r="K243" s="15"/>
      <c r="L243" s="16" t="s">
        <v>834</v>
      </c>
      <c r="M243" s="15"/>
    </row>
    <row r="244" spans="1:13" ht="67.5">
      <c r="A244" s="15"/>
      <c r="B244" s="15"/>
      <c r="C244" s="15"/>
      <c r="D244" s="15" t="s">
        <v>835</v>
      </c>
      <c r="E244" s="15"/>
      <c r="F244" s="15"/>
      <c r="G244" s="15"/>
      <c r="H244" s="15"/>
      <c r="I244" s="15"/>
      <c r="J244" s="15"/>
      <c r="K244" s="15"/>
      <c r="L244" s="16" t="s">
        <v>1096</v>
      </c>
      <c r="M244" s="15"/>
    </row>
    <row r="245" spans="1:13" ht="12.75">
      <c r="A245" s="15"/>
      <c r="B245" s="15"/>
      <c r="C245" s="15"/>
      <c r="D245" s="15"/>
      <c r="E245" s="15" t="s">
        <v>1097</v>
      </c>
      <c r="F245" s="15"/>
      <c r="G245" s="15"/>
      <c r="H245" s="15"/>
      <c r="I245" s="15"/>
      <c r="J245" s="15"/>
      <c r="K245" s="15"/>
      <c r="L245" s="16" t="s">
        <v>817</v>
      </c>
      <c r="M245" s="15" t="s">
        <v>1098</v>
      </c>
    </row>
    <row r="246" spans="1:13" ht="12.75">
      <c r="A246" s="15"/>
      <c r="B246" s="15"/>
      <c r="C246" s="15"/>
      <c r="D246" s="15"/>
      <c r="E246" s="15" t="s">
        <v>1099</v>
      </c>
      <c r="F246" s="15"/>
      <c r="G246" s="15"/>
      <c r="H246" s="15"/>
      <c r="I246" s="15"/>
      <c r="J246" s="15"/>
      <c r="K246" s="15"/>
      <c r="L246" s="16" t="s">
        <v>1100</v>
      </c>
      <c r="M246" s="15"/>
    </row>
    <row r="247" spans="1:13" ht="12.75">
      <c r="A247" s="15"/>
      <c r="B247" s="15"/>
      <c r="C247" s="15"/>
      <c r="D247" s="15"/>
      <c r="E247" s="15"/>
      <c r="F247" s="15" t="s">
        <v>890</v>
      </c>
      <c r="G247" s="15"/>
      <c r="H247" s="15"/>
      <c r="I247" s="15"/>
      <c r="J247" s="15"/>
      <c r="K247" s="15"/>
      <c r="L247" s="16" t="s">
        <v>1037</v>
      </c>
      <c r="M247" s="18" t="s">
        <v>1236</v>
      </c>
    </row>
    <row r="248" spans="1:13" ht="12.75">
      <c r="A248" s="15"/>
      <c r="B248" s="15"/>
      <c r="C248" s="15"/>
      <c r="D248" s="15"/>
      <c r="E248" s="15"/>
      <c r="F248" s="15" t="s">
        <v>900</v>
      </c>
      <c r="G248" s="15"/>
      <c r="H248" s="15"/>
      <c r="I248" s="15"/>
      <c r="J248" s="15"/>
      <c r="K248" s="15"/>
      <c r="L248" s="16" t="s">
        <v>1040</v>
      </c>
      <c r="M248" s="15"/>
    </row>
    <row r="249" spans="1:13" ht="12.75">
      <c r="A249" s="15"/>
      <c r="B249" s="15"/>
      <c r="C249" s="15"/>
      <c r="D249" s="15"/>
      <c r="E249" s="15" t="s">
        <v>858</v>
      </c>
      <c r="F249" s="15"/>
      <c r="G249" s="15"/>
      <c r="H249" s="15"/>
      <c r="I249" s="15"/>
      <c r="J249" s="15"/>
      <c r="K249" s="15"/>
      <c r="L249" s="16"/>
      <c r="M249" s="15"/>
    </row>
    <row r="250" spans="1:13" ht="12.75">
      <c r="A250" s="15"/>
      <c r="B250" s="15"/>
      <c r="C250" s="15"/>
      <c r="D250" s="15"/>
      <c r="E250" s="15" t="s">
        <v>1102</v>
      </c>
      <c r="F250" s="15"/>
      <c r="G250" s="15"/>
      <c r="H250" s="15"/>
      <c r="I250" s="15"/>
      <c r="J250" s="15"/>
      <c r="K250" s="15"/>
      <c r="L250" s="16" t="s">
        <v>1103</v>
      </c>
      <c r="M250" s="15"/>
    </row>
    <row r="251" spans="1:13" ht="12.75">
      <c r="A251" s="15"/>
      <c r="B251" s="15"/>
      <c r="C251" s="15"/>
      <c r="D251" s="15"/>
      <c r="E251" s="15" t="s">
        <v>1104</v>
      </c>
      <c r="F251" s="15"/>
      <c r="G251" s="15"/>
      <c r="H251" s="15"/>
      <c r="I251" s="15"/>
      <c r="J251" s="15"/>
      <c r="K251" s="15"/>
      <c r="L251" s="16" t="s">
        <v>1105</v>
      </c>
      <c r="M251" s="15"/>
    </row>
    <row r="252" spans="1:13" ht="12.75">
      <c r="A252" s="15"/>
      <c r="B252" s="15"/>
      <c r="C252" s="15"/>
      <c r="D252" s="15"/>
      <c r="E252" s="15"/>
      <c r="F252" s="15" t="s">
        <v>1077</v>
      </c>
      <c r="G252" s="15"/>
      <c r="H252" s="15"/>
      <c r="I252" s="15"/>
      <c r="J252" s="15"/>
      <c r="K252" s="15"/>
      <c r="L252" s="16" t="s">
        <v>1106</v>
      </c>
      <c r="M252" s="15" t="s">
        <v>1107</v>
      </c>
    </row>
    <row r="253" spans="1:13" ht="12.75">
      <c r="A253" s="15"/>
      <c r="B253" s="15"/>
      <c r="C253" s="15"/>
      <c r="D253" s="15"/>
      <c r="E253" s="15"/>
      <c r="F253" s="15" t="s">
        <v>1108</v>
      </c>
      <c r="G253" s="15"/>
      <c r="H253" s="15"/>
      <c r="I253" s="15"/>
      <c r="J253" s="15"/>
      <c r="K253" s="15"/>
      <c r="L253" s="16" t="s">
        <v>1109</v>
      </c>
      <c r="M253" s="15" t="s">
        <v>1110</v>
      </c>
    </row>
    <row r="254" spans="1:13" ht="123.75">
      <c r="A254" s="15"/>
      <c r="B254" s="15"/>
      <c r="C254" s="15"/>
      <c r="D254" s="15"/>
      <c r="E254" s="15"/>
      <c r="F254" s="15" t="s">
        <v>1080</v>
      </c>
      <c r="G254" s="15"/>
      <c r="H254" s="15"/>
      <c r="I254" s="15"/>
      <c r="J254" s="15"/>
      <c r="K254" s="15"/>
      <c r="L254" s="16" t="s">
        <v>1111</v>
      </c>
      <c r="M254" s="15"/>
    </row>
    <row r="255" spans="1:13" ht="12.75">
      <c r="A255" s="15"/>
      <c r="B255" s="15"/>
      <c r="C255" s="15"/>
      <c r="D255" s="15"/>
      <c r="E255" s="15"/>
      <c r="F255" s="15" t="s">
        <v>1112</v>
      </c>
      <c r="G255" s="15"/>
      <c r="H255" s="15"/>
      <c r="I255" s="15"/>
      <c r="J255" s="15"/>
      <c r="K255" s="15"/>
      <c r="L255" s="16" t="s">
        <v>1113</v>
      </c>
      <c r="M255" s="15"/>
    </row>
    <row r="256" spans="1:13" ht="12.75">
      <c r="A256" s="15"/>
      <c r="B256" s="15"/>
      <c r="C256" s="15"/>
      <c r="D256" s="15"/>
      <c r="E256" s="15"/>
      <c r="F256" s="15" t="s">
        <v>1114</v>
      </c>
      <c r="G256" s="15"/>
      <c r="H256" s="15"/>
      <c r="I256" s="15"/>
      <c r="J256" s="15"/>
      <c r="K256" s="15"/>
      <c r="L256" s="16" t="s">
        <v>1115</v>
      </c>
      <c r="M256" s="15"/>
    </row>
    <row r="257" spans="1:13" ht="12.75">
      <c r="A257" s="15"/>
      <c r="B257" s="15"/>
      <c r="C257" s="15"/>
      <c r="D257" s="15"/>
      <c r="E257" s="15"/>
      <c r="F257" s="15" t="s">
        <v>1083</v>
      </c>
      <c r="G257" s="15"/>
      <c r="H257" s="15"/>
      <c r="I257" s="15"/>
      <c r="J257" s="15"/>
      <c r="K257" s="15"/>
      <c r="L257" s="16" t="s">
        <v>1116</v>
      </c>
      <c r="M257" s="15"/>
    </row>
    <row r="258" spans="1:13" ht="12.75">
      <c r="A258" s="15"/>
      <c r="B258" s="15"/>
      <c r="C258" s="15"/>
      <c r="D258" s="15"/>
      <c r="E258" s="15" t="s">
        <v>858</v>
      </c>
      <c r="F258" s="15"/>
      <c r="G258" s="15"/>
      <c r="H258" s="15"/>
      <c r="I258" s="15"/>
      <c r="J258" s="15"/>
      <c r="K258" s="15"/>
      <c r="L258" s="16"/>
      <c r="M258" s="15"/>
    </row>
    <row r="259" spans="1:13" ht="12.75">
      <c r="A259" s="15"/>
      <c r="B259" s="15"/>
      <c r="C259" s="15"/>
      <c r="D259" s="15"/>
      <c r="E259" s="15" t="s">
        <v>1117</v>
      </c>
      <c r="F259" s="15"/>
      <c r="G259" s="15"/>
      <c r="H259" s="15"/>
      <c r="I259" s="15"/>
      <c r="J259" s="15"/>
      <c r="K259" s="15"/>
      <c r="L259" s="16" t="s">
        <v>1118</v>
      </c>
      <c r="M259" s="15"/>
    </row>
    <row r="260" spans="1:13" ht="12.75">
      <c r="A260" s="15"/>
      <c r="B260" s="15"/>
      <c r="C260" s="15"/>
      <c r="D260" s="15"/>
      <c r="E260" s="15"/>
      <c r="F260" s="15" t="s">
        <v>823</v>
      </c>
      <c r="G260" s="15"/>
      <c r="H260" s="15"/>
      <c r="I260" s="15"/>
      <c r="J260" s="15"/>
      <c r="K260" s="15"/>
      <c r="L260" s="16" t="s">
        <v>1087</v>
      </c>
      <c r="M260" s="15" t="s">
        <v>1119</v>
      </c>
    </row>
    <row r="261" spans="1:13" ht="12.75">
      <c r="A261" s="15"/>
      <c r="B261" s="15"/>
      <c r="C261" s="15"/>
      <c r="D261" s="15"/>
      <c r="E261" s="15"/>
      <c r="F261" s="15" t="s">
        <v>1077</v>
      </c>
      <c r="G261" s="15"/>
      <c r="H261" s="15"/>
      <c r="I261" s="15"/>
      <c r="J261" s="15"/>
      <c r="K261" s="15"/>
      <c r="L261" s="16" t="s">
        <v>1120</v>
      </c>
      <c r="M261" s="15" t="s">
        <v>1121</v>
      </c>
    </row>
    <row r="262" spans="1:13" ht="12.75">
      <c r="A262" s="15"/>
      <c r="B262" s="15"/>
      <c r="C262" s="15"/>
      <c r="D262" s="15"/>
      <c r="E262" s="15"/>
      <c r="F262" s="15" t="s">
        <v>826</v>
      </c>
      <c r="G262" s="15"/>
      <c r="H262" s="15"/>
      <c r="I262" s="15"/>
      <c r="J262" s="15"/>
      <c r="K262" s="15"/>
      <c r="L262" s="16" t="s">
        <v>1091</v>
      </c>
      <c r="M262" s="15"/>
    </row>
    <row r="263" spans="1:13" ht="12.75">
      <c r="A263" s="15"/>
      <c r="B263" s="15"/>
      <c r="C263" s="15"/>
      <c r="D263" s="15"/>
      <c r="E263" s="15" t="s">
        <v>858</v>
      </c>
      <c r="F263" s="15"/>
      <c r="G263" s="15"/>
      <c r="H263" s="15"/>
      <c r="I263" s="15"/>
      <c r="J263" s="15"/>
      <c r="K263" s="15"/>
      <c r="L263" s="16"/>
      <c r="M263" s="15"/>
    </row>
    <row r="264" spans="1:13" ht="22.5">
      <c r="A264" s="15"/>
      <c r="B264" s="15"/>
      <c r="C264" s="15"/>
      <c r="D264" s="15"/>
      <c r="E264" s="15" t="s">
        <v>1122</v>
      </c>
      <c r="F264" s="15"/>
      <c r="G264" s="15"/>
      <c r="H264" s="15"/>
      <c r="I264" s="15"/>
      <c r="J264" s="15"/>
      <c r="K264" s="15"/>
      <c r="L264" s="16" t="s">
        <v>1123</v>
      </c>
      <c r="M264" s="15"/>
    </row>
    <row r="265" spans="1:13" ht="12.75">
      <c r="A265" s="15"/>
      <c r="B265" s="15"/>
      <c r="C265" s="15"/>
      <c r="D265" s="15"/>
      <c r="E265" s="15"/>
      <c r="F265" s="15" t="s">
        <v>1036</v>
      </c>
      <c r="G265" s="15"/>
      <c r="H265" s="15"/>
      <c r="I265" s="15"/>
      <c r="J265" s="15"/>
      <c r="K265" s="15"/>
      <c r="L265" s="16"/>
      <c r="M265" s="15"/>
    </row>
    <row r="266" spans="1:13" ht="12.75">
      <c r="A266" s="15"/>
      <c r="B266" s="15"/>
      <c r="C266" s="15"/>
      <c r="D266" s="15"/>
      <c r="E266" s="15"/>
      <c r="F266" s="15"/>
      <c r="G266" s="15" t="s">
        <v>890</v>
      </c>
      <c r="H266" s="15"/>
      <c r="I266" s="15"/>
      <c r="J266" s="15"/>
      <c r="K266" s="15"/>
      <c r="L266" s="16" t="s">
        <v>1037</v>
      </c>
      <c r="M266" s="18" t="s">
        <v>1237</v>
      </c>
    </row>
    <row r="267" spans="1:13" ht="12.75">
      <c r="A267" s="15"/>
      <c r="B267" s="15"/>
      <c r="C267" s="15"/>
      <c r="D267" s="15"/>
      <c r="E267" s="15"/>
      <c r="F267" s="15"/>
      <c r="G267" s="15" t="s">
        <v>900</v>
      </c>
      <c r="H267" s="15"/>
      <c r="I267" s="15"/>
      <c r="J267" s="15"/>
      <c r="K267" s="15"/>
      <c r="L267" s="16" t="s">
        <v>1040</v>
      </c>
      <c r="M267" s="15"/>
    </row>
    <row r="268" spans="1:13" ht="12.75">
      <c r="A268" s="15"/>
      <c r="B268" s="15"/>
      <c r="C268" s="15"/>
      <c r="D268" s="15"/>
      <c r="E268" s="15"/>
      <c r="F268" s="15" t="s">
        <v>848</v>
      </c>
      <c r="G268" s="15"/>
      <c r="H268" s="15"/>
      <c r="I268" s="15"/>
      <c r="J268" s="15"/>
      <c r="K268" s="15"/>
      <c r="L268" s="16"/>
      <c r="M268" s="15"/>
    </row>
    <row r="269" spans="1:13" ht="22.5">
      <c r="A269" s="15"/>
      <c r="B269" s="15"/>
      <c r="C269" s="15"/>
      <c r="D269" s="15"/>
      <c r="E269" s="15"/>
      <c r="F269" s="15" t="s">
        <v>864</v>
      </c>
      <c r="G269" s="15"/>
      <c r="H269" s="15"/>
      <c r="I269" s="15"/>
      <c r="J269" s="15"/>
      <c r="K269" s="15"/>
      <c r="L269" s="16" t="s">
        <v>1125</v>
      </c>
      <c r="M269" s="15"/>
    </row>
    <row r="270" spans="1:13" ht="12.75">
      <c r="A270" s="15"/>
      <c r="B270" s="15"/>
      <c r="C270" s="15"/>
      <c r="D270" s="15"/>
      <c r="E270" s="15" t="s">
        <v>848</v>
      </c>
      <c r="F270" s="15"/>
      <c r="G270" s="15"/>
      <c r="H270" s="15"/>
      <c r="I270" s="15"/>
      <c r="J270" s="15"/>
      <c r="K270" s="15"/>
      <c r="L270" s="16"/>
      <c r="M270" s="15"/>
    </row>
    <row r="271" spans="1:13" ht="12.75">
      <c r="A271" s="15"/>
      <c r="B271" s="15"/>
      <c r="C271" s="15"/>
      <c r="D271" s="15" t="s">
        <v>848</v>
      </c>
      <c r="E271" s="15"/>
      <c r="F271" s="15"/>
      <c r="G271" s="15"/>
      <c r="H271" s="15"/>
      <c r="I271" s="15"/>
      <c r="J271" s="15"/>
      <c r="K271" s="15"/>
      <c r="L271" s="16"/>
      <c r="M271" s="15"/>
    </row>
    <row r="272" spans="1:13" ht="12.75">
      <c r="A272" s="15"/>
      <c r="B272" s="15"/>
      <c r="C272" s="15" t="s">
        <v>848</v>
      </c>
      <c r="D272" s="15"/>
      <c r="E272" s="15"/>
      <c r="F272" s="15"/>
      <c r="G272" s="15"/>
      <c r="H272" s="15"/>
      <c r="I272" s="15"/>
      <c r="J272" s="15"/>
      <c r="K272" s="15"/>
      <c r="L272" s="16"/>
      <c r="M272" s="15"/>
    </row>
    <row r="273" spans="1:13" ht="12.75">
      <c r="A273" s="15"/>
      <c r="B273" s="15"/>
      <c r="C273" s="15" t="s">
        <v>815</v>
      </c>
      <c r="D273" s="15"/>
      <c r="E273" s="15"/>
      <c r="F273" s="15"/>
      <c r="G273" s="15"/>
      <c r="H273" s="15"/>
      <c r="I273" s="15"/>
      <c r="J273" s="15"/>
      <c r="K273" s="15"/>
      <c r="L273" s="16" t="s">
        <v>1126</v>
      </c>
      <c r="M273" s="15"/>
    </row>
    <row r="274" spans="1:13" ht="12.75">
      <c r="A274" s="15"/>
      <c r="B274" s="15"/>
      <c r="C274" s="15"/>
      <c r="D274" s="15" t="s">
        <v>833</v>
      </c>
      <c r="E274" s="15"/>
      <c r="F274" s="15"/>
      <c r="G274" s="15"/>
      <c r="H274" s="15"/>
      <c r="I274" s="15"/>
      <c r="J274" s="15"/>
      <c r="K274" s="15"/>
      <c r="L274" s="16" t="s">
        <v>834</v>
      </c>
      <c r="M274" s="15"/>
    </row>
    <row r="275" spans="1:13" ht="33.75">
      <c r="A275" s="15"/>
      <c r="B275" s="15"/>
      <c r="C275" s="15"/>
      <c r="D275" s="15" t="s">
        <v>835</v>
      </c>
      <c r="E275" s="15"/>
      <c r="F275" s="15"/>
      <c r="G275" s="15"/>
      <c r="H275" s="15"/>
      <c r="I275" s="15"/>
      <c r="J275" s="15"/>
      <c r="K275" s="15"/>
      <c r="L275" s="16" t="s">
        <v>1127</v>
      </c>
      <c r="M275" s="15"/>
    </row>
    <row r="276" spans="1:13" ht="12.75">
      <c r="A276" s="15"/>
      <c r="B276" s="15"/>
      <c r="C276" s="15"/>
      <c r="D276" s="15"/>
      <c r="E276" s="15" t="s">
        <v>1097</v>
      </c>
      <c r="F276" s="15"/>
      <c r="G276" s="15"/>
      <c r="H276" s="15"/>
      <c r="I276" s="15"/>
      <c r="J276" s="15"/>
      <c r="K276" s="15"/>
      <c r="L276" s="16" t="s">
        <v>817</v>
      </c>
      <c r="M276" s="15" t="s">
        <v>1128</v>
      </c>
    </row>
    <row r="277" spans="1:13" ht="12.75">
      <c r="A277" s="15"/>
      <c r="B277" s="15"/>
      <c r="C277" s="15"/>
      <c r="D277" s="15"/>
      <c r="E277" s="15" t="s">
        <v>1129</v>
      </c>
      <c r="F277" s="15"/>
      <c r="G277" s="15"/>
      <c r="H277" s="15"/>
      <c r="I277" s="15"/>
      <c r="J277" s="15"/>
      <c r="K277" s="15"/>
      <c r="L277" s="16" t="s">
        <v>1130</v>
      </c>
      <c r="M277" s="15" t="s">
        <v>1131</v>
      </c>
    </row>
    <row r="278" spans="1:13" ht="12.75">
      <c r="A278" s="15"/>
      <c r="B278" s="15"/>
      <c r="C278" s="15"/>
      <c r="D278" s="15"/>
      <c r="E278" s="15" t="s">
        <v>1132</v>
      </c>
      <c r="F278" s="15"/>
      <c r="G278" s="15"/>
      <c r="H278" s="15"/>
      <c r="I278" s="15"/>
      <c r="J278" s="15"/>
      <c r="K278" s="15"/>
      <c r="L278" s="16" t="s">
        <v>1133</v>
      </c>
      <c r="M278" s="15"/>
    </row>
    <row r="279" spans="1:13" ht="12.75">
      <c r="A279" s="15"/>
      <c r="B279" s="15"/>
      <c r="C279" s="15"/>
      <c r="D279" s="15"/>
      <c r="E279" s="15"/>
      <c r="F279" s="15" t="s">
        <v>862</v>
      </c>
      <c r="G279" s="15"/>
      <c r="H279" s="15"/>
      <c r="I279" s="15"/>
      <c r="J279" s="15"/>
      <c r="K279" s="15"/>
      <c r="L279" s="16" t="s">
        <v>926</v>
      </c>
      <c r="M279" s="15"/>
    </row>
    <row r="280" spans="1:13" ht="12.75">
      <c r="A280" s="15"/>
      <c r="B280" s="15"/>
      <c r="C280" s="15"/>
      <c r="D280" s="15"/>
      <c r="E280" s="15" t="s">
        <v>848</v>
      </c>
      <c r="F280" s="15"/>
      <c r="G280" s="15"/>
      <c r="H280" s="15"/>
      <c r="I280" s="15"/>
      <c r="J280" s="15"/>
      <c r="K280" s="15"/>
      <c r="L280" s="16"/>
      <c r="M280" s="15"/>
    </row>
    <row r="281" spans="1:13" ht="12.75">
      <c r="A281" s="15"/>
      <c r="B281" s="15"/>
      <c r="C281" s="15"/>
      <c r="D281" s="15"/>
      <c r="E281" s="15" t="s">
        <v>1134</v>
      </c>
      <c r="F281" s="15"/>
      <c r="G281" s="15"/>
      <c r="H281" s="15"/>
      <c r="I281" s="15"/>
      <c r="J281" s="15"/>
      <c r="K281" s="15"/>
      <c r="L281" s="16" t="s">
        <v>1135</v>
      </c>
      <c r="M281" s="15"/>
    </row>
    <row r="282" spans="1:13" ht="12.75">
      <c r="A282" s="15"/>
      <c r="B282" s="15"/>
      <c r="C282" s="15"/>
      <c r="D282" s="15"/>
      <c r="E282" s="15"/>
      <c r="F282" s="15" t="s">
        <v>1136</v>
      </c>
      <c r="G282" s="15"/>
      <c r="H282" s="15"/>
      <c r="I282" s="15"/>
      <c r="J282" s="15"/>
      <c r="K282" s="15"/>
      <c r="L282" s="16" t="s">
        <v>1137</v>
      </c>
      <c r="M282" s="15"/>
    </row>
    <row r="283" spans="1:13" ht="12.75">
      <c r="A283" s="15"/>
      <c r="B283" s="15"/>
      <c r="C283" s="15"/>
      <c r="D283" s="15"/>
      <c r="E283" s="15"/>
      <c r="F283" s="15" t="s">
        <v>1138</v>
      </c>
      <c r="G283" s="15"/>
      <c r="H283" s="15"/>
      <c r="I283" s="15"/>
      <c r="J283" s="15"/>
      <c r="K283" s="15"/>
      <c r="L283" s="16" t="s">
        <v>1139</v>
      </c>
      <c r="M283" s="15"/>
    </row>
    <row r="284" spans="1:13" ht="12.75">
      <c r="A284" s="15"/>
      <c r="B284" s="15"/>
      <c r="C284" s="15"/>
      <c r="D284" s="15"/>
      <c r="E284" s="15"/>
      <c r="F284" s="15"/>
      <c r="G284" s="15" t="s">
        <v>862</v>
      </c>
      <c r="H284" s="15"/>
      <c r="I284" s="15"/>
      <c r="J284" s="15"/>
      <c r="K284" s="15"/>
      <c r="L284" s="16" t="s">
        <v>1140</v>
      </c>
      <c r="M284" s="15"/>
    </row>
    <row r="285" spans="1:13" ht="12.75">
      <c r="A285" s="15"/>
      <c r="B285" s="15"/>
      <c r="C285" s="15"/>
      <c r="D285" s="15"/>
      <c r="E285" s="15"/>
      <c r="F285" s="15" t="s">
        <v>848</v>
      </c>
      <c r="G285" s="15"/>
      <c r="H285" s="15"/>
      <c r="I285" s="15"/>
      <c r="J285" s="15"/>
      <c r="K285" s="15"/>
      <c r="L285" s="16"/>
      <c r="M285" s="15"/>
    </row>
    <row r="286" spans="1:13" ht="12.75">
      <c r="A286" s="15"/>
      <c r="B286" s="15"/>
      <c r="C286" s="15"/>
      <c r="D286" s="15"/>
      <c r="E286" s="15" t="s">
        <v>858</v>
      </c>
      <c r="F286" s="15"/>
      <c r="G286" s="15"/>
      <c r="H286" s="15"/>
      <c r="I286" s="15"/>
      <c r="J286" s="15"/>
      <c r="K286" s="15"/>
      <c r="L286" s="16"/>
      <c r="M286" s="15"/>
    </row>
    <row r="287" spans="1:13" ht="12.75">
      <c r="A287" s="15"/>
      <c r="B287" s="15"/>
      <c r="C287" s="15"/>
      <c r="D287" s="15"/>
      <c r="E287" s="15" t="s">
        <v>1141</v>
      </c>
      <c r="F287" s="15"/>
      <c r="G287" s="15"/>
      <c r="H287" s="15"/>
      <c r="I287" s="15"/>
      <c r="J287" s="15"/>
      <c r="K287" s="15"/>
      <c r="L287" s="16" t="s">
        <v>1142</v>
      </c>
      <c r="M287" s="15"/>
    </row>
    <row r="288" spans="1:13" ht="12.75">
      <c r="A288" s="15"/>
      <c r="B288" s="15"/>
      <c r="C288" s="15"/>
      <c r="D288" s="15"/>
      <c r="E288" s="15"/>
      <c r="F288" s="15" t="s">
        <v>1036</v>
      </c>
      <c r="G288" s="15"/>
      <c r="H288" s="15"/>
      <c r="I288" s="15"/>
      <c r="J288" s="15"/>
      <c r="K288" s="15"/>
      <c r="L288" s="16"/>
      <c r="M288" s="15"/>
    </row>
    <row r="289" spans="1:13" ht="12.75">
      <c r="A289" s="15"/>
      <c r="B289" s="15"/>
      <c r="C289" s="15"/>
      <c r="D289" s="15"/>
      <c r="E289" s="15"/>
      <c r="F289" s="15"/>
      <c r="G289" s="15" t="s">
        <v>890</v>
      </c>
      <c r="H289" s="15"/>
      <c r="I289" s="15"/>
      <c r="J289" s="15"/>
      <c r="K289" s="15"/>
      <c r="L289" s="16" t="s">
        <v>1037</v>
      </c>
      <c r="M289" s="15" t="s">
        <v>1037</v>
      </c>
    </row>
    <row r="290" spans="1:13" ht="12.75">
      <c r="A290" s="15"/>
      <c r="B290" s="15"/>
      <c r="C290" s="15"/>
      <c r="D290" s="15"/>
      <c r="E290" s="15"/>
      <c r="F290" s="15"/>
      <c r="G290" s="15" t="s">
        <v>900</v>
      </c>
      <c r="H290" s="15"/>
      <c r="I290" s="15"/>
      <c r="J290" s="15"/>
      <c r="K290" s="15"/>
      <c r="L290" s="16" t="s">
        <v>1040</v>
      </c>
      <c r="M290" s="15"/>
    </row>
    <row r="291" spans="1:13" ht="12.75">
      <c r="A291" s="15"/>
      <c r="B291" s="15"/>
      <c r="C291" s="15"/>
      <c r="D291" s="15"/>
      <c r="E291" s="15"/>
      <c r="F291" s="15" t="s">
        <v>848</v>
      </c>
      <c r="G291" s="15"/>
      <c r="H291" s="15"/>
      <c r="I291" s="15"/>
      <c r="J291" s="15"/>
      <c r="K291" s="15"/>
      <c r="L291" s="16"/>
      <c r="M291" s="15"/>
    </row>
    <row r="292" spans="1:13" ht="12.75">
      <c r="A292" s="15"/>
      <c r="B292" s="15"/>
      <c r="C292" s="15"/>
      <c r="D292" s="15"/>
      <c r="E292" s="15" t="s">
        <v>848</v>
      </c>
      <c r="F292" s="15"/>
      <c r="G292" s="15"/>
      <c r="H292" s="15"/>
      <c r="I292" s="15"/>
      <c r="J292" s="15"/>
      <c r="K292" s="15"/>
      <c r="L292" s="16"/>
      <c r="M292" s="15"/>
    </row>
    <row r="293" spans="1:13" ht="12.75">
      <c r="A293" s="15"/>
      <c r="B293" s="15"/>
      <c r="C293" s="15"/>
      <c r="D293" s="15"/>
      <c r="E293" s="15" t="s">
        <v>1143</v>
      </c>
      <c r="F293" s="15"/>
      <c r="G293" s="15"/>
      <c r="H293" s="15"/>
      <c r="I293" s="15"/>
      <c r="J293" s="15"/>
      <c r="K293" s="15"/>
      <c r="L293" s="16" t="s">
        <v>1144</v>
      </c>
      <c r="M293" s="15"/>
    </row>
    <row r="294" spans="1:13" ht="12.75">
      <c r="A294" s="15"/>
      <c r="B294" s="15"/>
      <c r="C294" s="15"/>
      <c r="D294" s="15"/>
      <c r="E294" s="15"/>
      <c r="F294" s="15" t="s">
        <v>1036</v>
      </c>
      <c r="G294" s="15"/>
      <c r="H294" s="15"/>
      <c r="I294" s="15"/>
      <c r="J294" s="15"/>
      <c r="K294" s="15"/>
      <c r="L294" s="16"/>
      <c r="M294" s="15"/>
    </row>
    <row r="295" spans="1:13" ht="12.75">
      <c r="A295" s="15"/>
      <c r="B295" s="15"/>
      <c r="C295" s="15"/>
      <c r="D295" s="15"/>
      <c r="E295" s="15"/>
      <c r="F295" s="15"/>
      <c r="G295" s="15" t="s">
        <v>890</v>
      </c>
      <c r="H295" s="15"/>
      <c r="I295" s="15"/>
      <c r="J295" s="15"/>
      <c r="K295" s="15"/>
      <c r="L295" s="16" t="s">
        <v>1055</v>
      </c>
      <c r="M295" s="18" t="s">
        <v>1238</v>
      </c>
    </row>
    <row r="296" spans="1:13" ht="22.5">
      <c r="A296" s="15"/>
      <c r="B296" s="15"/>
      <c r="C296" s="15"/>
      <c r="D296" s="15"/>
      <c r="E296" s="15"/>
      <c r="F296" s="15"/>
      <c r="G296" s="15" t="s">
        <v>900</v>
      </c>
      <c r="H296" s="15"/>
      <c r="I296" s="15"/>
      <c r="J296" s="15"/>
      <c r="K296" s="15"/>
      <c r="L296" s="16" t="s">
        <v>1057</v>
      </c>
      <c r="M296" s="15" t="s">
        <v>1058</v>
      </c>
    </row>
    <row r="297" spans="1:13" ht="12.75">
      <c r="A297" s="15"/>
      <c r="B297" s="15"/>
      <c r="C297" s="15"/>
      <c r="D297" s="15"/>
      <c r="E297" s="15"/>
      <c r="F297" s="15" t="s">
        <v>848</v>
      </c>
      <c r="G297" s="15"/>
      <c r="H297" s="15"/>
      <c r="I297" s="15"/>
      <c r="J297" s="15"/>
      <c r="K297" s="15"/>
      <c r="L297" s="16"/>
      <c r="M297" s="15"/>
    </row>
    <row r="298" spans="1:13" ht="12.75">
      <c r="A298" s="15"/>
      <c r="B298" s="15"/>
      <c r="C298" s="15"/>
      <c r="D298" s="15"/>
      <c r="E298" s="15" t="s">
        <v>858</v>
      </c>
      <c r="F298" s="15"/>
      <c r="G298" s="15"/>
      <c r="H298" s="15"/>
      <c r="I298" s="15"/>
      <c r="J298" s="15"/>
      <c r="K298" s="15"/>
      <c r="L298" s="16"/>
      <c r="M298" s="15"/>
    </row>
    <row r="299" spans="1:13" ht="12.75">
      <c r="A299" s="15"/>
      <c r="B299" s="15"/>
      <c r="C299" s="15"/>
      <c r="D299" s="15" t="s">
        <v>848</v>
      </c>
      <c r="E299" s="15"/>
      <c r="F299" s="15"/>
      <c r="G299" s="15"/>
      <c r="H299" s="15"/>
      <c r="I299" s="15"/>
      <c r="J299" s="15"/>
      <c r="K299" s="15"/>
      <c r="L299" s="16"/>
      <c r="M299" s="15"/>
    </row>
    <row r="300" spans="1:13" ht="12.75">
      <c r="A300" s="15"/>
      <c r="B300" s="15"/>
      <c r="C300" s="15" t="s">
        <v>848</v>
      </c>
      <c r="D300" s="15"/>
      <c r="E300" s="15"/>
      <c r="F300" s="15"/>
      <c r="G300" s="15"/>
      <c r="H300" s="15"/>
      <c r="I300" s="15"/>
      <c r="J300" s="15"/>
      <c r="K300" s="15"/>
      <c r="L300" s="16"/>
      <c r="M300" s="15"/>
    </row>
    <row r="301" spans="1:13" ht="12.75">
      <c r="A301" s="15"/>
      <c r="B301" s="15"/>
      <c r="C301" s="15" t="s">
        <v>815</v>
      </c>
      <c r="D301" s="15"/>
      <c r="E301" s="15"/>
      <c r="F301" s="15"/>
      <c r="G301" s="15"/>
      <c r="H301" s="15"/>
      <c r="I301" s="15"/>
      <c r="J301" s="15"/>
      <c r="K301" s="15"/>
      <c r="L301" s="16" t="s">
        <v>1146</v>
      </c>
      <c r="M301" s="15"/>
    </row>
    <row r="302" spans="1:13" ht="12.75">
      <c r="A302" s="15"/>
      <c r="B302" s="15"/>
      <c r="C302" s="15"/>
      <c r="D302" s="15" t="s">
        <v>833</v>
      </c>
      <c r="E302" s="15"/>
      <c r="F302" s="15"/>
      <c r="G302" s="15"/>
      <c r="H302" s="15"/>
      <c r="I302" s="15"/>
      <c r="J302" s="15"/>
      <c r="K302" s="15"/>
      <c r="L302" s="16" t="s">
        <v>834</v>
      </c>
      <c r="M302" s="15"/>
    </row>
    <row r="303" spans="1:13" ht="22.5">
      <c r="A303" s="15"/>
      <c r="B303" s="15"/>
      <c r="C303" s="15"/>
      <c r="D303" s="15" t="s">
        <v>835</v>
      </c>
      <c r="E303" s="15"/>
      <c r="F303" s="15"/>
      <c r="G303" s="15"/>
      <c r="H303" s="15"/>
      <c r="I303" s="15"/>
      <c r="J303" s="15"/>
      <c r="K303" s="15"/>
      <c r="L303" s="16" t="s">
        <v>1147</v>
      </c>
      <c r="M303" s="15"/>
    </row>
    <row r="304" spans="1:13" ht="12.75">
      <c r="A304" s="15"/>
      <c r="B304" s="15"/>
      <c r="C304" s="15"/>
      <c r="D304" s="15"/>
      <c r="E304" s="15" t="s">
        <v>1097</v>
      </c>
      <c r="F304" s="15"/>
      <c r="G304" s="15"/>
      <c r="H304" s="15"/>
      <c r="I304" s="15"/>
      <c r="J304" s="15"/>
      <c r="K304" s="15"/>
      <c r="L304" s="16" t="s">
        <v>817</v>
      </c>
      <c r="M304" s="15" t="s">
        <v>1148</v>
      </c>
    </row>
    <row r="305" spans="1:13" ht="12.75">
      <c r="A305" s="15"/>
      <c r="B305" s="15"/>
      <c r="C305" s="15"/>
      <c r="D305" s="15"/>
      <c r="E305" s="15" t="s">
        <v>1129</v>
      </c>
      <c r="F305" s="15"/>
      <c r="G305" s="15"/>
      <c r="H305" s="15"/>
      <c r="I305" s="15"/>
      <c r="J305" s="15"/>
      <c r="K305" s="15"/>
      <c r="L305" s="16" t="s">
        <v>1149</v>
      </c>
      <c r="M305" s="15" t="s">
        <v>1150</v>
      </c>
    </row>
    <row r="306" spans="1:13" ht="12.75">
      <c r="A306" s="15"/>
      <c r="B306" s="15"/>
      <c r="C306" s="15"/>
      <c r="D306" s="15"/>
      <c r="E306" s="15" t="s">
        <v>1151</v>
      </c>
      <c r="F306" s="15"/>
      <c r="G306" s="15"/>
      <c r="H306" s="15"/>
      <c r="I306" s="15"/>
      <c r="J306" s="15"/>
      <c r="K306" s="15"/>
      <c r="L306" s="16" t="s">
        <v>1152</v>
      </c>
      <c r="M306" s="15" t="s">
        <v>1153</v>
      </c>
    </row>
    <row r="307" spans="1:13" ht="12.75">
      <c r="A307" s="15"/>
      <c r="B307" s="15"/>
      <c r="C307" s="15"/>
      <c r="D307" s="15"/>
      <c r="E307" s="15" t="s">
        <v>1154</v>
      </c>
      <c r="F307" s="15"/>
      <c r="G307" s="15"/>
      <c r="H307" s="15"/>
      <c r="I307" s="15"/>
      <c r="J307" s="15"/>
      <c r="K307" s="15"/>
      <c r="L307" s="16" t="s">
        <v>1155</v>
      </c>
      <c r="M307" s="15"/>
    </row>
    <row r="308" spans="1:13" ht="22.5">
      <c r="A308" s="15"/>
      <c r="B308" s="15"/>
      <c r="C308" s="15"/>
      <c r="D308" s="15"/>
      <c r="E308" s="15"/>
      <c r="F308" s="15" t="s">
        <v>1156</v>
      </c>
      <c r="G308" s="15"/>
      <c r="H308" s="15"/>
      <c r="I308" s="15"/>
      <c r="J308" s="15"/>
      <c r="K308" s="15"/>
      <c r="L308" s="16" t="s">
        <v>1157</v>
      </c>
      <c r="M308" s="15" t="s">
        <v>1158</v>
      </c>
    </row>
    <row r="309" spans="1:13" ht="12.75">
      <c r="A309" s="15"/>
      <c r="B309" s="15"/>
      <c r="C309" s="15"/>
      <c r="D309" s="15"/>
      <c r="E309" s="15" t="s">
        <v>848</v>
      </c>
      <c r="F309" s="15"/>
      <c r="G309" s="15"/>
      <c r="H309" s="15"/>
      <c r="I309" s="15"/>
      <c r="J309" s="15"/>
      <c r="K309" s="15"/>
      <c r="L309" s="16"/>
      <c r="M309" s="15"/>
    </row>
    <row r="310" spans="1:13" ht="12.75">
      <c r="A310" s="15"/>
      <c r="B310" s="15"/>
      <c r="C310" s="15"/>
      <c r="D310" s="15"/>
      <c r="E310" s="15" t="s">
        <v>1132</v>
      </c>
      <c r="F310" s="15"/>
      <c r="G310" s="15"/>
      <c r="H310" s="15"/>
      <c r="I310" s="15"/>
      <c r="J310" s="15"/>
      <c r="K310" s="15"/>
      <c r="L310" s="16" t="s">
        <v>1133</v>
      </c>
      <c r="M310" s="15"/>
    </row>
    <row r="311" spans="1:13" ht="12.75">
      <c r="A311" s="15"/>
      <c r="B311" s="15"/>
      <c r="C311" s="15"/>
      <c r="D311" s="15"/>
      <c r="E311" s="15"/>
      <c r="F311" s="15" t="s">
        <v>862</v>
      </c>
      <c r="G311" s="15"/>
      <c r="H311" s="15"/>
      <c r="I311" s="15"/>
      <c r="J311" s="15"/>
      <c r="K311" s="15"/>
      <c r="L311" s="16" t="s">
        <v>926</v>
      </c>
      <c r="M311" s="15"/>
    </row>
    <row r="312" spans="1:13" ht="12.75">
      <c r="A312" s="15"/>
      <c r="B312" s="15"/>
      <c r="C312" s="15"/>
      <c r="D312" s="15"/>
      <c r="E312" s="15" t="s">
        <v>848</v>
      </c>
      <c r="F312" s="15"/>
      <c r="G312" s="15"/>
      <c r="H312" s="15"/>
      <c r="I312" s="15"/>
      <c r="J312" s="15"/>
      <c r="K312" s="15"/>
      <c r="L312" s="16"/>
      <c r="M312" s="15"/>
    </row>
    <row r="313" spans="1:13" ht="22.5">
      <c r="A313" s="15"/>
      <c r="B313" s="15"/>
      <c r="C313" s="15"/>
      <c r="D313" s="15"/>
      <c r="E313" s="15" t="s">
        <v>1159</v>
      </c>
      <c r="F313" s="15"/>
      <c r="G313" s="15"/>
      <c r="H313" s="15"/>
      <c r="I313" s="15"/>
      <c r="J313" s="15"/>
      <c r="K313" s="15"/>
      <c r="L313" s="16" t="s">
        <v>1160</v>
      </c>
      <c r="M313" s="15"/>
    </row>
    <row r="314" spans="1:13" ht="12.75">
      <c r="A314" s="15"/>
      <c r="B314" s="15"/>
      <c r="C314" s="15"/>
      <c r="D314" s="15"/>
      <c r="E314" s="15"/>
      <c r="F314" s="15" t="s">
        <v>1161</v>
      </c>
      <c r="G314" s="15"/>
      <c r="H314" s="15"/>
      <c r="I314" s="15"/>
      <c r="J314" s="15"/>
      <c r="K314" s="15"/>
      <c r="L314" s="16" t="s">
        <v>1162</v>
      </c>
      <c r="M314" s="15"/>
    </row>
    <row r="315" spans="1:13" ht="12.75">
      <c r="A315" s="15"/>
      <c r="B315" s="15"/>
      <c r="C315" s="15"/>
      <c r="D315" s="15"/>
      <c r="E315" s="15"/>
      <c r="F315" s="15" t="s">
        <v>848</v>
      </c>
      <c r="G315" s="15"/>
      <c r="H315" s="15"/>
      <c r="I315" s="15"/>
      <c r="J315" s="15"/>
      <c r="K315" s="15"/>
      <c r="L315" s="16"/>
      <c r="M315" s="15"/>
    </row>
    <row r="316" spans="1:13" ht="12.75">
      <c r="A316" s="15"/>
      <c r="B316" s="15"/>
      <c r="C316" s="15"/>
      <c r="D316" s="15"/>
      <c r="E316" s="15" t="s">
        <v>858</v>
      </c>
      <c r="F316" s="15"/>
      <c r="G316" s="15"/>
      <c r="H316" s="15"/>
      <c r="I316" s="15"/>
      <c r="J316" s="15"/>
      <c r="K316" s="15"/>
      <c r="L316" s="16"/>
      <c r="M316" s="15"/>
    </row>
    <row r="317" spans="1:13" ht="12.75">
      <c r="A317" s="15"/>
      <c r="B317" s="15"/>
      <c r="C317" s="15"/>
      <c r="D317" s="15" t="s">
        <v>848</v>
      </c>
      <c r="E317" s="15"/>
      <c r="F317" s="15"/>
      <c r="G317" s="15"/>
      <c r="H317" s="15"/>
      <c r="I317" s="15"/>
      <c r="J317" s="15"/>
      <c r="K317" s="15"/>
      <c r="L317" s="16"/>
      <c r="M317" s="15"/>
    </row>
    <row r="318" spans="1:13" ht="12.75">
      <c r="A318" s="15"/>
      <c r="B318" s="15"/>
      <c r="C318" s="15" t="s">
        <v>848</v>
      </c>
      <c r="D318" s="15"/>
      <c r="E318" s="15"/>
      <c r="F318" s="15"/>
      <c r="G318" s="15"/>
      <c r="H318" s="15"/>
      <c r="I318" s="15"/>
      <c r="J318" s="15"/>
      <c r="K318" s="15"/>
      <c r="L318" s="16"/>
      <c r="M318" s="15"/>
    </row>
    <row r="319" spans="1:13" ht="12.75">
      <c r="A319" s="15"/>
      <c r="B319" s="15"/>
      <c r="C319" s="15" t="s">
        <v>815</v>
      </c>
      <c r="D319" s="15"/>
      <c r="E319" s="15"/>
      <c r="F319" s="15"/>
      <c r="G319" s="15"/>
      <c r="H319" s="15"/>
      <c r="I319" s="15"/>
      <c r="J319" s="15"/>
      <c r="K319" s="15"/>
      <c r="L319" s="16" t="s">
        <v>1163</v>
      </c>
      <c r="M319" s="15"/>
    </row>
    <row r="320" spans="1:13" ht="12.75">
      <c r="A320" s="15"/>
      <c r="B320" s="15"/>
      <c r="C320" s="15"/>
      <c r="D320" s="15" t="s">
        <v>833</v>
      </c>
      <c r="E320" s="15"/>
      <c r="F320" s="15"/>
      <c r="G320" s="15"/>
      <c r="H320" s="15"/>
      <c r="I320" s="15"/>
      <c r="J320" s="15"/>
      <c r="K320" s="15"/>
      <c r="L320" s="16" t="s">
        <v>834</v>
      </c>
      <c r="M320" s="15"/>
    </row>
    <row r="321" spans="1:13" ht="45">
      <c r="A321" s="15"/>
      <c r="B321" s="15"/>
      <c r="C321" s="15"/>
      <c r="D321" s="15" t="s">
        <v>835</v>
      </c>
      <c r="E321" s="15"/>
      <c r="F321" s="15"/>
      <c r="G321" s="15"/>
      <c r="H321" s="15"/>
      <c r="I321" s="15"/>
      <c r="J321" s="15"/>
      <c r="K321" s="15"/>
      <c r="L321" s="16" t="s">
        <v>1164</v>
      </c>
      <c r="M321" s="15"/>
    </row>
    <row r="322" spans="1:13" ht="12.75">
      <c r="A322" s="15"/>
      <c r="B322" s="15"/>
      <c r="C322" s="15"/>
      <c r="D322" s="15"/>
      <c r="E322" s="15" t="s">
        <v>1097</v>
      </c>
      <c r="F322" s="15"/>
      <c r="G322" s="15"/>
      <c r="H322" s="15"/>
      <c r="I322" s="15"/>
      <c r="J322" s="15"/>
      <c r="K322" s="15"/>
      <c r="L322" s="16" t="s">
        <v>1165</v>
      </c>
      <c r="M322" s="15" t="s">
        <v>1166</v>
      </c>
    </row>
    <row r="323" spans="1:13" ht="12.75">
      <c r="A323" s="15"/>
      <c r="B323" s="15"/>
      <c r="C323" s="15"/>
      <c r="D323" s="15"/>
      <c r="E323" s="15" t="s">
        <v>896</v>
      </c>
      <c r="F323" s="15"/>
      <c r="G323" s="15"/>
      <c r="H323" s="15"/>
      <c r="I323" s="15"/>
      <c r="J323" s="15"/>
      <c r="K323" s="15"/>
      <c r="L323" s="16" t="s">
        <v>1167</v>
      </c>
      <c r="M323" s="15"/>
    </row>
    <row r="324" spans="1:13" ht="12.75">
      <c r="A324" s="15"/>
      <c r="B324" s="15"/>
      <c r="C324" s="15"/>
      <c r="D324" s="15"/>
      <c r="E324" s="15"/>
      <c r="F324" s="15" t="s">
        <v>1168</v>
      </c>
      <c r="G324" s="15"/>
      <c r="H324" s="15"/>
      <c r="I324" s="15"/>
      <c r="J324" s="15"/>
      <c r="K324" s="15"/>
      <c r="L324" s="16" t="s">
        <v>1169</v>
      </c>
      <c r="M324" s="15"/>
    </row>
    <row r="325" spans="1:13" ht="12.75">
      <c r="A325" s="15"/>
      <c r="B325" s="15"/>
      <c r="C325" s="15"/>
      <c r="D325" s="15"/>
      <c r="E325" s="15"/>
      <c r="F325" s="15"/>
      <c r="G325" s="15" t="s">
        <v>890</v>
      </c>
      <c r="H325" s="15"/>
      <c r="I325" s="15"/>
      <c r="J325" s="15"/>
      <c r="K325" s="15"/>
      <c r="L325" s="16" t="s">
        <v>1170</v>
      </c>
      <c r="M325" s="18" t="s">
        <v>1239</v>
      </c>
    </row>
    <row r="326" spans="1:13" ht="12.75">
      <c r="A326" s="15"/>
      <c r="B326" s="15"/>
      <c r="C326" s="15"/>
      <c r="D326" s="15"/>
      <c r="E326" s="15"/>
      <c r="F326" s="15"/>
      <c r="G326" s="15" t="s">
        <v>900</v>
      </c>
      <c r="H326" s="15"/>
      <c r="I326" s="15"/>
      <c r="J326" s="15"/>
      <c r="K326" s="15"/>
      <c r="L326" s="16" t="s">
        <v>1172</v>
      </c>
      <c r="M326" s="15"/>
    </row>
    <row r="327" spans="1:13" ht="12.75">
      <c r="A327" s="15"/>
      <c r="B327" s="15"/>
      <c r="C327" s="15"/>
      <c r="D327" s="15"/>
      <c r="E327" s="15"/>
      <c r="F327" s="15" t="s">
        <v>848</v>
      </c>
      <c r="G327" s="15"/>
      <c r="H327" s="15"/>
      <c r="I327" s="15"/>
      <c r="J327" s="15"/>
      <c r="K327" s="15"/>
      <c r="L327" s="16"/>
      <c r="M327" s="15"/>
    </row>
    <row r="328" spans="1:13" ht="12.75">
      <c r="A328" s="15"/>
      <c r="B328" s="15"/>
      <c r="C328" s="15"/>
      <c r="D328" s="15"/>
      <c r="E328" s="15" t="s">
        <v>858</v>
      </c>
      <c r="F328" s="15"/>
      <c r="G328" s="15"/>
      <c r="H328" s="15"/>
      <c r="I328" s="15"/>
      <c r="J328" s="15"/>
      <c r="K328" s="15"/>
      <c r="L328" s="16"/>
      <c r="M328" s="15"/>
    </row>
    <row r="329" spans="1:13" ht="12.75">
      <c r="A329" s="15"/>
      <c r="B329" s="15"/>
      <c r="C329" s="15"/>
      <c r="D329" s="15"/>
      <c r="E329" s="15" t="s">
        <v>1173</v>
      </c>
      <c r="F329" s="15"/>
      <c r="G329" s="15"/>
      <c r="H329" s="15"/>
      <c r="I329" s="15"/>
      <c r="J329" s="15"/>
      <c r="K329" s="15"/>
      <c r="L329" s="16" t="s">
        <v>1174</v>
      </c>
      <c r="M329" s="15"/>
    </row>
    <row r="330" spans="1:13" ht="12.75">
      <c r="A330" s="15"/>
      <c r="B330" s="15"/>
      <c r="C330" s="15"/>
      <c r="D330" s="15"/>
      <c r="E330" s="15"/>
      <c r="F330" s="15" t="s">
        <v>862</v>
      </c>
      <c r="G330" s="15"/>
      <c r="H330" s="15"/>
      <c r="I330" s="15"/>
      <c r="J330" s="15"/>
      <c r="K330" s="15"/>
      <c r="L330" s="16" t="s">
        <v>1175</v>
      </c>
      <c r="M330" s="15"/>
    </row>
    <row r="331" spans="1:13" ht="12.75">
      <c r="A331" s="15"/>
      <c r="B331" s="15"/>
      <c r="C331" s="15"/>
      <c r="D331" s="15"/>
      <c r="E331" s="15" t="s">
        <v>848</v>
      </c>
      <c r="F331" s="15"/>
      <c r="G331" s="15"/>
      <c r="H331" s="15"/>
      <c r="I331" s="15"/>
      <c r="J331" s="15"/>
      <c r="K331" s="15"/>
      <c r="L331" s="16"/>
      <c r="M331" s="15"/>
    </row>
    <row r="332" spans="1:13" ht="12.75">
      <c r="A332" s="15"/>
      <c r="B332" s="15"/>
      <c r="C332" s="15"/>
      <c r="D332" s="15"/>
      <c r="E332" s="15" t="s">
        <v>1176</v>
      </c>
      <c r="F332" s="15"/>
      <c r="G332" s="15"/>
      <c r="H332" s="15"/>
      <c r="I332" s="15"/>
      <c r="J332" s="15"/>
      <c r="K332" s="15"/>
      <c r="L332" s="16"/>
      <c r="M332" s="15"/>
    </row>
    <row r="333" spans="1:13" ht="12.75">
      <c r="A333" s="15"/>
      <c r="B333" s="15"/>
      <c r="C333" s="15"/>
      <c r="D333" s="15"/>
      <c r="E333" s="15"/>
      <c r="F333" s="15" t="s">
        <v>862</v>
      </c>
      <c r="G333" s="15"/>
      <c r="H333" s="15"/>
      <c r="I333" s="15"/>
      <c r="J333" s="15"/>
      <c r="K333" s="15"/>
      <c r="L333" s="16" t="s">
        <v>1175</v>
      </c>
      <c r="M333" s="15"/>
    </row>
    <row r="334" spans="1:13" ht="12.75">
      <c r="A334" s="15"/>
      <c r="B334" s="15"/>
      <c r="C334" s="15"/>
      <c r="D334" s="15"/>
      <c r="E334" s="15" t="s">
        <v>848</v>
      </c>
      <c r="F334" s="15"/>
      <c r="G334" s="15"/>
      <c r="H334" s="15"/>
      <c r="I334" s="15"/>
      <c r="J334" s="15"/>
      <c r="K334" s="15"/>
      <c r="L334" s="16"/>
      <c r="M334" s="15"/>
    </row>
    <row r="335" spans="1:13" ht="12.75">
      <c r="A335" s="15"/>
      <c r="B335" s="15"/>
      <c r="C335" s="15"/>
      <c r="D335" s="15"/>
      <c r="E335" s="15" t="s">
        <v>1177</v>
      </c>
      <c r="F335" s="15"/>
      <c r="G335" s="15"/>
      <c r="H335" s="15"/>
      <c r="I335" s="15"/>
      <c r="J335" s="15"/>
      <c r="K335" s="15"/>
      <c r="L335" s="16"/>
      <c r="M335" s="15"/>
    </row>
    <row r="336" spans="1:13" ht="12.75">
      <c r="A336" s="15"/>
      <c r="B336" s="15"/>
      <c r="C336" s="15"/>
      <c r="D336" s="15"/>
      <c r="E336" s="15"/>
      <c r="F336" s="15" t="s">
        <v>889</v>
      </c>
      <c r="G336" s="15"/>
      <c r="H336" s="15"/>
      <c r="I336" s="15"/>
      <c r="J336" s="15"/>
      <c r="K336" s="15"/>
      <c r="L336" s="16"/>
      <c r="M336" s="15"/>
    </row>
    <row r="337" spans="1:13" ht="12.75">
      <c r="A337" s="15"/>
      <c r="B337" s="15"/>
      <c r="C337" s="15"/>
      <c r="D337" s="15"/>
      <c r="E337" s="15"/>
      <c r="F337" s="15"/>
      <c r="G337" s="15" t="s">
        <v>890</v>
      </c>
      <c r="H337" s="15"/>
      <c r="I337" s="15"/>
      <c r="J337" s="15"/>
      <c r="K337" s="15"/>
      <c r="L337" s="16" t="s">
        <v>1178</v>
      </c>
      <c r="M337" s="18" t="s">
        <v>1240</v>
      </c>
    </row>
    <row r="338" spans="1:13" ht="12.75">
      <c r="A338" s="15"/>
      <c r="B338" s="15"/>
      <c r="C338" s="15"/>
      <c r="D338" s="15"/>
      <c r="E338" s="15"/>
      <c r="F338" s="15"/>
      <c r="G338" s="15" t="s">
        <v>921</v>
      </c>
      <c r="H338" s="15"/>
      <c r="I338" s="15"/>
      <c r="J338" s="15"/>
      <c r="K338" s="15"/>
      <c r="L338" s="16" t="s">
        <v>1180</v>
      </c>
      <c r="M338" s="15"/>
    </row>
    <row r="339" spans="1:13" ht="12.75">
      <c r="A339" s="15"/>
      <c r="B339" s="15"/>
      <c r="C339" s="15"/>
      <c r="D339" s="15"/>
      <c r="E339" s="15"/>
      <c r="F339" s="15"/>
      <c r="G339" s="15" t="s">
        <v>864</v>
      </c>
      <c r="H339" s="15"/>
      <c r="I339" s="15"/>
      <c r="J339" s="15"/>
      <c r="K339" s="15"/>
      <c r="L339" s="16" t="s">
        <v>1181</v>
      </c>
      <c r="M339" s="15"/>
    </row>
    <row r="340" spans="1:13" ht="12.75">
      <c r="A340" s="15"/>
      <c r="B340" s="15"/>
      <c r="C340" s="15"/>
      <c r="D340" s="15"/>
      <c r="E340" s="15"/>
      <c r="F340" s="15" t="s">
        <v>858</v>
      </c>
      <c r="G340" s="15"/>
      <c r="H340" s="15"/>
      <c r="I340" s="15"/>
      <c r="J340" s="15"/>
      <c r="K340" s="15"/>
      <c r="L340" s="16"/>
      <c r="M340" s="15"/>
    </row>
    <row r="341" spans="1:13" ht="12.75">
      <c r="A341" s="15"/>
      <c r="B341" s="15"/>
      <c r="C341" s="15"/>
      <c r="D341" s="15"/>
      <c r="E341" s="15" t="s">
        <v>858</v>
      </c>
      <c r="F341" s="15"/>
      <c r="G341" s="15"/>
      <c r="H341" s="15"/>
      <c r="I341" s="15"/>
      <c r="J341" s="15"/>
      <c r="K341" s="15"/>
      <c r="L341" s="16"/>
      <c r="M341" s="15"/>
    </row>
    <row r="342" spans="1:13" ht="12.75">
      <c r="A342" s="15"/>
      <c r="B342" s="15"/>
      <c r="C342" s="15"/>
      <c r="D342" s="15"/>
      <c r="E342" s="15" t="s">
        <v>1085</v>
      </c>
      <c r="F342" s="15"/>
      <c r="G342" s="15"/>
      <c r="H342" s="15"/>
      <c r="I342" s="15"/>
      <c r="J342" s="15"/>
      <c r="K342" s="15"/>
      <c r="L342" s="16" t="s">
        <v>1182</v>
      </c>
      <c r="M342" s="15"/>
    </row>
    <row r="343" spans="1:13" ht="12.75">
      <c r="A343" s="15"/>
      <c r="B343" s="15"/>
      <c r="C343" s="15"/>
      <c r="D343" s="15"/>
      <c r="E343" s="15"/>
      <c r="F343" s="15" t="s">
        <v>823</v>
      </c>
      <c r="G343" s="15"/>
      <c r="H343" s="15"/>
      <c r="I343" s="15"/>
      <c r="J343" s="15"/>
      <c r="K343" s="15"/>
      <c r="L343" s="16" t="s">
        <v>1087</v>
      </c>
      <c r="M343" s="15" t="s">
        <v>1119</v>
      </c>
    </row>
    <row r="344" spans="1:13" ht="12.75">
      <c r="A344" s="15"/>
      <c r="B344" s="15"/>
      <c r="C344" s="15"/>
      <c r="D344" s="15"/>
      <c r="E344" s="15"/>
      <c r="F344" s="15" t="s">
        <v>1077</v>
      </c>
      <c r="G344" s="15"/>
      <c r="H344" s="15"/>
      <c r="I344" s="15"/>
      <c r="J344" s="15"/>
      <c r="K344" s="15"/>
      <c r="L344" s="16" t="s">
        <v>1120</v>
      </c>
      <c r="M344" s="15" t="s">
        <v>1121</v>
      </c>
    </row>
    <row r="345" spans="1:13" ht="12.75">
      <c r="A345" s="15"/>
      <c r="B345" s="15"/>
      <c r="C345" s="15"/>
      <c r="D345" s="15"/>
      <c r="E345" s="15"/>
      <c r="F345" s="15" t="s">
        <v>826</v>
      </c>
      <c r="G345" s="15"/>
      <c r="H345" s="15"/>
      <c r="I345" s="15"/>
      <c r="J345" s="15"/>
      <c r="K345" s="15"/>
      <c r="L345" s="16" t="s">
        <v>1091</v>
      </c>
      <c r="M345" s="15"/>
    </row>
    <row r="346" spans="1:13" ht="12.75">
      <c r="A346" s="15"/>
      <c r="B346" s="15"/>
      <c r="C346" s="15"/>
      <c r="D346" s="15"/>
      <c r="E346" s="15" t="s">
        <v>858</v>
      </c>
      <c r="F346" s="15"/>
      <c r="G346" s="15"/>
      <c r="H346" s="15"/>
      <c r="I346" s="15"/>
      <c r="J346" s="15"/>
      <c r="K346" s="15"/>
      <c r="L346" s="16"/>
      <c r="M346" s="15"/>
    </row>
    <row r="347" spans="1:13" ht="12.75">
      <c r="A347" s="15"/>
      <c r="B347" s="15"/>
      <c r="C347" s="15"/>
      <c r="D347" s="15" t="s">
        <v>848</v>
      </c>
      <c r="E347" s="15"/>
      <c r="F347" s="15"/>
      <c r="G347" s="15"/>
      <c r="H347" s="15"/>
      <c r="I347" s="15"/>
      <c r="J347" s="15"/>
      <c r="K347" s="15"/>
      <c r="L347" s="16"/>
      <c r="M347" s="15"/>
    </row>
    <row r="348" spans="1:13" ht="12.75">
      <c r="A348" s="15"/>
      <c r="B348" s="15"/>
      <c r="C348" s="15" t="s">
        <v>848</v>
      </c>
      <c r="D348" s="15"/>
      <c r="E348" s="15"/>
      <c r="F348" s="15"/>
      <c r="G348" s="15"/>
      <c r="H348" s="15"/>
      <c r="I348" s="15"/>
      <c r="J348" s="15"/>
      <c r="K348" s="15"/>
      <c r="L348" s="16"/>
      <c r="M348" s="15"/>
    </row>
    <row r="349" spans="1:13" ht="12.75">
      <c r="A349" s="15"/>
      <c r="B349" s="15"/>
      <c r="C349" s="15" t="s">
        <v>815</v>
      </c>
      <c r="D349" s="15"/>
      <c r="E349" s="15"/>
      <c r="F349" s="15"/>
      <c r="G349" s="15"/>
      <c r="H349" s="15"/>
      <c r="I349" s="15"/>
      <c r="J349" s="15"/>
      <c r="K349" s="15"/>
      <c r="L349" s="16" t="s">
        <v>1183</v>
      </c>
      <c r="M349" s="15"/>
    </row>
    <row r="350" spans="1:13" ht="12.75">
      <c r="A350" s="15"/>
      <c r="B350" s="15"/>
      <c r="C350" s="15"/>
      <c r="D350" s="15" t="s">
        <v>833</v>
      </c>
      <c r="E350" s="15"/>
      <c r="F350" s="15"/>
      <c r="G350" s="15"/>
      <c r="H350" s="15"/>
      <c r="I350" s="15"/>
      <c r="J350" s="15"/>
      <c r="K350" s="15"/>
      <c r="L350" s="16" t="s">
        <v>834</v>
      </c>
      <c r="M350" s="15"/>
    </row>
    <row r="351" spans="1:13" ht="12.75">
      <c r="A351" s="15"/>
      <c r="B351" s="15"/>
      <c r="C351" s="15"/>
      <c r="D351" s="15" t="s">
        <v>835</v>
      </c>
      <c r="E351" s="15"/>
      <c r="F351" s="15"/>
      <c r="G351" s="15"/>
      <c r="H351" s="15"/>
      <c r="I351" s="15"/>
      <c r="J351" s="15"/>
      <c r="K351" s="15"/>
      <c r="L351" s="16" t="s">
        <v>1184</v>
      </c>
      <c r="M351" s="15"/>
    </row>
    <row r="352" spans="1:13" ht="12.75">
      <c r="A352" s="15"/>
      <c r="B352" s="15"/>
      <c r="C352" s="15"/>
      <c r="D352" s="15"/>
      <c r="E352" s="15" t="s">
        <v>816</v>
      </c>
      <c r="F352" s="15"/>
      <c r="G352" s="15"/>
      <c r="H352" s="15"/>
      <c r="I352" s="15"/>
      <c r="J352" s="15"/>
      <c r="K352" s="15"/>
      <c r="L352" s="16" t="s">
        <v>817</v>
      </c>
      <c r="M352" s="15" t="s">
        <v>1185</v>
      </c>
    </row>
    <row r="353" spans="1:13" ht="22.5">
      <c r="A353" s="15"/>
      <c r="B353" s="15"/>
      <c r="C353" s="15"/>
      <c r="D353" s="15"/>
      <c r="E353" s="15" t="s">
        <v>896</v>
      </c>
      <c r="F353" s="15"/>
      <c r="G353" s="15"/>
      <c r="H353" s="15"/>
      <c r="I353" s="15"/>
      <c r="J353" s="15"/>
      <c r="K353" s="15"/>
      <c r="L353" s="16" t="s">
        <v>1186</v>
      </c>
      <c r="M353" s="15"/>
    </row>
    <row r="354" spans="1:13" ht="12.75">
      <c r="A354" s="15"/>
      <c r="B354" s="15"/>
      <c r="C354" s="15"/>
      <c r="D354" s="15"/>
      <c r="E354" s="15"/>
      <c r="F354" s="15" t="s">
        <v>890</v>
      </c>
      <c r="G354" s="15"/>
      <c r="H354" s="15"/>
      <c r="I354" s="15"/>
      <c r="J354" s="15"/>
      <c r="K354" s="15"/>
      <c r="L354" s="16" t="s">
        <v>1187</v>
      </c>
      <c r="M354" s="15" t="s">
        <v>1188</v>
      </c>
    </row>
    <row r="355" spans="1:13" ht="12.75">
      <c r="A355" s="15"/>
      <c r="B355" s="15"/>
      <c r="C355" s="15"/>
      <c r="D355" s="15"/>
      <c r="E355" s="15"/>
      <c r="F355" s="15" t="s">
        <v>900</v>
      </c>
      <c r="G355" s="15"/>
      <c r="H355" s="15"/>
      <c r="I355" s="15"/>
      <c r="J355" s="15"/>
      <c r="K355" s="15"/>
      <c r="L355" s="16" t="s">
        <v>1189</v>
      </c>
      <c r="M355" s="15"/>
    </row>
    <row r="356" spans="1:13" ht="12.75">
      <c r="A356" s="15"/>
      <c r="B356" s="15"/>
      <c r="C356" s="15"/>
      <c r="D356" s="15"/>
      <c r="E356" s="15" t="s">
        <v>858</v>
      </c>
      <c r="F356" s="15"/>
      <c r="G356" s="15"/>
      <c r="H356" s="15"/>
      <c r="I356" s="15"/>
      <c r="J356" s="15"/>
      <c r="K356" s="15"/>
      <c r="L356" s="16"/>
      <c r="M356" s="15"/>
    </row>
    <row r="357" spans="1:13" ht="12.75">
      <c r="A357" s="15"/>
      <c r="B357" s="15"/>
      <c r="C357" s="15"/>
      <c r="D357" s="15"/>
      <c r="E357" s="15" t="s">
        <v>1059</v>
      </c>
      <c r="F357" s="15"/>
      <c r="G357" s="15"/>
      <c r="H357" s="15"/>
      <c r="I357" s="15"/>
      <c r="J357" s="15"/>
      <c r="K357" s="15"/>
      <c r="L357" s="16"/>
      <c r="M357" s="15"/>
    </row>
    <row r="358" spans="1:13" ht="12.75">
      <c r="A358" s="15"/>
      <c r="B358" s="15"/>
      <c r="C358" s="15"/>
      <c r="D358" s="15"/>
      <c r="E358" s="15"/>
      <c r="F358" s="15" t="s">
        <v>1063</v>
      </c>
      <c r="G358" s="15"/>
      <c r="H358" s="15"/>
      <c r="I358" s="15"/>
      <c r="J358" s="15"/>
      <c r="K358" s="15"/>
      <c r="L358" s="16"/>
      <c r="M358" s="15"/>
    </row>
    <row r="359" spans="1:13" ht="12.75">
      <c r="A359" s="15"/>
      <c r="B359" s="15"/>
      <c r="C359" s="15"/>
      <c r="D359" s="15"/>
      <c r="E359" s="15"/>
      <c r="F359" s="15" t="s">
        <v>1066</v>
      </c>
      <c r="G359" s="15"/>
      <c r="H359" s="15"/>
      <c r="I359" s="15"/>
      <c r="J359" s="15"/>
      <c r="K359" s="15"/>
      <c r="L359" s="16"/>
      <c r="M359" s="15"/>
    </row>
    <row r="360" spans="1:13" ht="12.75">
      <c r="A360" s="15"/>
      <c r="B360" s="15"/>
      <c r="C360" s="15"/>
      <c r="D360" s="15"/>
      <c r="E360" s="15"/>
      <c r="F360" s="15" t="s">
        <v>1068</v>
      </c>
      <c r="G360" s="15"/>
      <c r="H360" s="15"/>
      <c r="I360" s="15"/>
      <c r="J360" s="15"/>
      <c r="K360" s="15"/>
      <c r="L360" s="16"/>
      <c r="M360" s="15"/>
    </row>
    <row r="361" spans="1:13" ht="12.75">
      <c r="A361" s="15"/>
      <c r="B361" s="15"/>
      <c r="C361" s="15"/>
      <c r="D361" s="15"/>
      <c r="E361" s="15" t="s">
        <v>858</v>
      </c>
      <c r="F361" s="15"/>
      <c r="G361" s="15"/>
      <c r="H361" s="15"/>
      <c r="I361" s="15"/>
      <c r="J361" s="15"/>
      <c r="K361" s="15"/>
      <c r="L361" s="16"/>
      <c r="M361" s="15"/>
    </row>
    <row r="362" spans="1:13" ht="12.75">
      <c r="A362" s="15"/>
      <c r="B362" s="15"/>
      <c r="C362" s="15"/>
      <c r="D362" s="15" t="s">
        <v>848</v>
      </c>
      <c r="E362" s="15"/>
      <c r="F362" s="15"/>
      <c r="G362" s="15"/>
      <c r="H362" s="15"/>
      <c r="I362" s="15"/>
      <c r="J362" s="15"/>
      <c r="K362" s="15"/>
      <c r="L362" s="16"/>
      <c r="M362" s="15"/>
    </row>
    <row r="363" spans="1:13" ht="12.75">
      <c r="A363" s="15"/>
      <c r="B363" s="15"/>
      <c r="C363" s="15" t="s">
        <v>848</v>
      </c>
      <c r="D363" s="15"/>
      <c r="E363" s="15"/>
      <c r="F363" s="15"/>
      <c r="G363" s="15"/>
      <c r="H363" s="15"/>
      <c r="I363" s="15"/>
      <c r="J363" s="15"/>
      <c r="K363" s="15"/>
      <c r="L363" s="16"/>
      <c r="M363" s="15"/>
    </row>
    <row r="364" spans="1:13" ht="12.75">
      <c r="A364" s="15"/>
      <c r="B364" s="15" t="s">
        <v>858</v>
      </c>
      <c r="C364" s="15"/>
      <c r="D364" s="15"/>
      <c r="E364" s="15"/>
      <c r="F364" s="15"/>
      <c r="G364" s="15"/>
      <c r="H364" s="15"/>
      <c r="I364" s="15"/>
      <c r="J364" s="15"/>
      <c r="K364" s="15"/>
      <c r="L364" s="16"/>
      <c r="M364" s="15"/>
    </row>
    <row r="365" spans="1:13" ht="12.75">
      <c r="A365" s="15" t="s">
        <v>848</v>
      </c>
      <c r="B365" s="15"/>
      <c r="C365" s="15"/>
      <c r="D365" s="15"/>
      <c r="E365" s="15"/>
      <c r="F365" s="15"/>
      <c r="G365" s="15"/>
      <c r="H365" s="15"/>
      <c r="I365" s="15"/>
      <c r="J365" s="15"/>
      <c r="K365" s="15"/>
      <c r="L365" s="16"/>
      <c r="M365" s="15"/>
    </row>
  </sheetData>
  <hyperlinks>
    <hyperlink ref="M15" r:id="rId1" xr:uid="{00000000-0004-0000-0F00-000000000000}"/>
    <hyperlink ref="M30" r:id="rId2" xr:uid="{00000000-0004-0000-0F00-000001000000}"/>
    <hyperlink ref="M36" r:id="rId3" xr:uid="{00000000-0004-0000-0F00-000002000000}"/>
    <hyperlink ref="M43" r:id="rId4" xr:uid="{00000000-0004-0000-0F00-000003000000}"/>
    <hyperlink ref="M50" r:id="rId5" xr:uid="{00000000-0004-0000-0F00-000004000000}"/>
    <hyperlink ref="M57" r:id="rId6" xr:uid="{00000000-0004-0000-0F00-000005000000}"/>
    <hyperlink ref="M70" r:id="rId7" xr:uid="{00000000-0004-0000-0F00-000006000000}"/>
    <hyperlink ref="M73" r:id="rId8" xr:uid="{00000000-0004-0000-0F00-000007000000}"/>
    <hyperlink ref="M75" r:id="rId9" xr:uid="{00000000-0004-0000-0F00-000008000000}"/>
    <hyperlink ref="M82" r:id="rId10" xr:uid="{00000000-0004-0000-0F00-000009000000}"/>
    <hyperlink ref="M92" r:id="rId11" xr:uid="{00000000-0004-0000-0F00-00000A000000}"/>
    <hyperlink ref="M114" r:id="rId12" xr:uid="{00000000-0004-0000-0F00-00000B000000}"/>
    <hyperlink ref="M121" r:id="rId13" xr:uid="{00000000-0004-0000-0F00-00000C000000}"/>
    <hyperlink ref="M128" r:id="rId14" xr:uid="{00000000-0004-0000-0F00-00000D000000}"/>
    <hyperlink ref="M173" r:id="rId15" xr:uid="{00000000-0004-0000-0F00-00000E000000}"/>
    <hyperlink ref="M175" r:id="rId16" xr:uid="{00000000-0004-0000-0F00-00000F000000}"/>
    <hyperlink ref="M187" r:id="rId17" xr:uid="{00000000-0004-0000-0F00-000010000000}"/>
    <hyperlink ref="M192" r:id="rId18" xr:uid="{00000000-0004-0000-0F00-000011000000}"/>
    <hyperlink ref="L193" r:id="rId19" xr:uid="{00000000-0004-0000-0F00-000012000000}"/>
    <hyperlink ref="M199" r:id="rId20" xr:uid="{00000000-0004-0000-0F00-000013000000}"/>
    <hyperlink ref="M213" r:id="rId21" xr:uid="{00000000-0004-0000-0F00-000014000000}"/>
    <hyperlink ref="M236" r:id="rId22" xr:uid="{00000000-0004-0000-0F00-000015000000}"/>
    <hyperlink ref="M247" r:id="rId23" xr:uid="{00000000-0004-0000-0F00-000016000000}"/>
    <hyperlink ref="M266" r:id="rId24" xr:uid="{00000000-0004-0000-0F00-000017000000}"/>
    <hyperlink ref="M295" r:id="rId25" xr:uid="{00000000-0004-0000-0F00-000018000000}"/>
    <hyperlink ref="M325" r:id="rId26" xr:uid="{00000000-0004-0000-0F00-000019000000}"/>
    <hyperlink ref="M337" r:id="rId27" xr:uid="{00000000-0004-0000-0F00-00001A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3:R60"/>
  <sheetViews>
    <sheetView workbookViewId="0"/>
  </sheetViews>
  <sheetFormatPr defaultColWidth="12.5703125" defaultRowHeight="15" customHeight="1"/>
  <cols>
    <col min="1" max="1" width="7.42578125" customWidth="1"/>
    <col min="18" max="18" width="122.85546875" customWidth="1"/>
  </cols>
  <sheetData>
    <row r="3" spans="1:18" ht="15" customHeight="1">
      <c r="A3" s="23" t="s">
        <v>1241</v>
      </c>
      <c r="B3" s="23" t="s">
        <v>1242</v>
      </c>
      <c r="C3" s="23" t="s">
        <v>1243</v>
      </c>
      <c r="D3" s="23" t="s">
        <v>1244</v>
      </c>
      <c r="E3" s="23" t="s">
        <v>1245</v>
      </c>
      <c r="F3" s="23" t="s">
        <v>1246</v>
      </c>
      <c r="G3" s="23" t="s">
        <v>1247</v>
      </c>
      <c r="H3" s="23" t="s">
        <v>1248</v>
      </c>
      <c r="I3" s="23" t="s">
        <v>1249</v>
      </c>
      <c r="J3" s="23" t="s">
        <v>1250</v>
      </c>
      <c r="K3" s="23" t="s">
        <v>1251</v>
      </c>
      <c r="L3" s="23" t="s">
        <v>1252</v>
      </c>
      <c r="M3" s="23" t="s">
        <v>1253</v>
      </c>
      <c r="N3" s="23" t="s">
        <v>1254</v>
      </c>
      <c r="O3" s="23" t="s">
        <v>1255</v>
      </c>
      <c r="P3" s="23" t="s">
        <v>1256</v>
      </c>
      <c r="Q3" s="23" t="s">
        <v>1257</v>
      </c>
      <c r="R3" s="23" t="s">
        <v>1258</v>
      </c>
    </row>
    <row r="4" spans="1:18" ht="15" customHeight="1">
      <c r="A4" s="24">
        <v>1</v>
      </c>
      <c r="B4" s="24">
        <v>9730015198</v>
      </c>
      <c r="C4" s="25">
        <v>31608</v>
      </c>
      <c r="D4" s="26"/>
      <c r="E4" s="24" t="s">
        <v>1259</v>
      </c>
      <c r="F4" s="24" t="s">
        <v>1260</v>
      </c>
      <c r="G4" s="24" t="s">
        <v>1261</v>
      </c>
      <c r="H4" s="24" t="s">
        <v>1262</v>
      </c>
      <c r="I4" s="24" t="s">
        <v>1263</v>
      </c>
      <c r="J4" s="26"/>
      <c r="K4" s="24" t="s">
        <v>1264</v>
      </c>
      <c r="L4" s="24" t="s">
        <v>1265</v>
      </c>
      <c r="M4" s="24" t="s">
        <v>1266</v>
      </c>
      <c r="N4" s="24" t="s">
        <v>1267</v>
      </c>
      <c r="O4" s="24" t="s">
        <v>1268</v>
      </c>
      <c r="P4" s="26"/>
      <c r="Q4" s="24" t="s">
        <v>1269</v>
      </c>
      <c r="R4" s="24" t="s">
        <v>1270</v>
      </c>
    </row>
    <row r="5" spans="1:18" ht="15" customHeight="1">
      <c r="A5" s="24">
        <v>2</v>
      </c>
      <c r="B5" s="24">
        <v>9730015201</v>
      </c>
      <c r="C5" s="25">
        <v>38363</v>
      </c>
      <c r="D5" s="26"/>
      <c r="E5" s="24" t="s">
        <v>1271</v>
      </c>
      <c r="F5" s="24" t="s">
        <v>1272</v>
      </c>
      <c r="G5" s="26"/>
      <c r="H5" s="24" t="s">
        <v>1273</v>
      </c>
      <c r="I5" s="24" t="s">
        <v>1263</v>
      </c>
      <c r="J5" s="24" t="s">
        <v>1274</v>
      </c>
      <c r="K5" s="24" t="s">
        <v>1275</v>
      </c>
      <c r="L5" s="24" t="s">
        <v>1276</v>
      </c>
      <c r="M5" s="24" t="s">
        <v>1266</v>
      </c>
      <c r="N5" s="24" t="s">
        <v>1267</v>
      </c>
      <c r="O5" s="24" t="s">
        <v>1277</v>
      </c>
      <c r="P5" s="26"/>
      <c r="Q5" s="24" t="s">
        <v>1269</v>
      </c>
      <c r="R5" s="24" t="s">
        <v>1278</v>
      </c>
    </row>
    <row r="6" spans="1:18" ht="15" customHeight="1">
      <c r="A6" s="24">
        <v>3</v>
      </c>
      <c r="B6" s="24">
        <v>9730015228</v>
      </c>
      <c r="C6" s="25">
        <v>40393</v>
      </c>
      <c r="D6" s="26"/>
      <c r="E6" s="24" t="s">
        <v>1271</v>
      </c>
      <c r="F6" s="24" t="s">
        <v>1279</v>
      </c>
      <c r="G6" s="24" t="s">
        <v>1280</v>
      </c>
      <c r="H6" s="24" t="s">
        <v>1281</v>
      </c>
      <c r="I6" s="24" t="s">
        <v>1263</v>
      </c>
      <c r="J6" s="24" t="s">
        <v>1274</v>
      </c>
      <c r="K6" s="24" t="s">
        <v>1275</v>
      </c>
      <c r="L6" s="24" t="s">
        <v>1276</v>
      </c>
      <c r="M6" s="24" t="s">
        <v>1266</v>
      </c>
      <c r="N6" s="24" t="s">
        <v>1267</v>
      </c>
      <c r="O6" s="24" t="s">
        <v>1277</v>
      </c>
      <c r="P6" s="26"/>
      <c r="Q6" s="24" t="s">
        <v>1269</v>
      </c>
      <c r="R6" s="24" t="s">
        <v>1282</v>
      </c>
    </row>
    <row r="7" spans="1:18" ht="15" customHeight="1">
      <c r="A7" s="24">
        <v>4</v>
      </c>
      <c r="B7" s="24">
        <v>9730015236</v>
      </c>
      <c r="C7" s="25">
        <v>44773</v>
      </c>
      <c r="D7" s="26"/>
      <c r="E7" s="24" t="s">
        <v>1271</v>
      </c>
      <c r="F7" s="24" t="s">
        <v>1283</v>
      </c>
      <c r="G7" s="26"/>
      <c r="H7" s="24" t="s">
        <v>1284</v>
      </c>
      <c r="I7" s="24" t="s">
        <v>1285</v>
      </c>
      <c r="J7" s="24" t="s">
        <v>1274</v>
      </c>
      <c r="K7" s="24" t="s">
        <v>1275</v>
      </c>
      <c r="L7" s="24" t="s">
        <v>1276</v>
      </c>
      <c r="M7" s="24" t="s">
        <v>1266</v>
      </c>
      <c r="N7" s="24" t="s">
        <v>1267</v>
      </c>
      <c r="O7" s="24" t="s">
        <v>1277</v>
      </c>
      <c r="P7" s="26"/>
      <c r="Q7" s="24" t="s">
        <v>1269</v>
      </c>
      <c r="R7" s="24" t="s">
        <v>1286</v>
      </c>
    </row>
    <row r="8" spans="1:18" ht="15" customHeight="1">
      <c r="A8" s="24">
        <v>5</v>
      </c>
      <c r="B8" s="24">
        <v>9730015244</v>
      </c>
      <c r="C8" s="25">
        <v>45208</v>
      </c>
      <c r="D8" s="26"/>
      <c r="E8" s="24" t="s">
        <v>1271</v>
      </c>
      <c r="F8" s="24" t="s">
        <v>1287</v>
      </c>
      <c r="G8" s="24" t="s">
        <v>1288</v>
      </c>
      <c r="H8" s="24" t="s">
        <v>1284</v>
      </c>
      <c r="I8" s="24" t="s">
        <v>1285</v>
      </c>
      <c r="J8" s="24" t="s">
        <v>1274</v>
      </c>
      <c r="K8" s="24" t="s">
        <v>1275</v>
      </c>
      <c r="L8" s="24" t="s">
        <v>1276</v>
      </c>
      <c r="M8" s="24" t="s">
        <v>1266</v>
      </c>
      <c r="N8" s="24" t="s">
        <v>1267</v>
      </c>
      <c r="O8" s="24" t="s">
        <v>1277</v>
      </c>
      <c r="P8" s="26"/>
      <c r="Q8" s="24" t="s">
        <v>1269</v>
      </c>
      <c r="R8" s="24" t="s">
        <v>1289</v>
      </c>
    </row>
    <row r="9" spans="1:18" ht="15" customHeight="1">
      <c r="A9" s="24">
        <v>6</v>
      </c>
      <c r="B9" s="24">
        <v>9730015252</v>
      </c>
      <c r="C9" s="25">
        <v>36259</v>
      </c>
      <c r="D9" s="26"/>
      <c r="E9" s="24" t="s">
        <v>1290</v>
      </c>
      <c r="F9" s="24" t="s">
        <v>1291</v>
      </c>
      <c r="G9" s="24" t="s">
        <v>1292</v>
      </c>
      <c r="H9" s="24" t="s">
        <v>1284</v>
      </c>
      <c r="I9" s="24" t="s">
        <v>1285</v>
      </c>
      <c r="J9" s="26"/>
      <c r="K9" s="24" t="s">
        <v>1293</v>
      </c>
      <c r="L9" s="24" t="s">
        <v>1294</v>
      </c>
      <c r="M9" s="24" t="s">
        <v>1295</v>
      </c>
      <c r="N9" s="24" t="s">
        <v>1267</v>
      </c>
      <c r="O9" s="24" t="s">
        <v>1296</v>
      </c>
      <c r="P9" s="26"/>
      <c r="Q9" s="24" t="s">
        <v>1269</v>
      </c>
      <c r="R9" s="24" t="s">
        <v>1297</v>
      </c>
    </row>
    <row r="10" spans="1:18" ht="15" customHeight="1">
      <c r="A10" s="24">
        <v>7</v>
      </c>
      <c r="B10" s="24">
        <v>9730015260</v>
      </c>
      <c r="C10" s="25">
        <v>41546</v>
      </c>
      <c r="D10" s="26"/>
      <c r="E10" s="24" t="s">
        <v>1290</v>
      </c>
      <c r="F10" s="24" t="s">
        <v>1298</v>
      </c>
      <c r="G10" s="24" t="s">
        <v>1299</v>
      </c>
      <c r="H10" s="24" t="s">
        <v>1281</v>
      </c>
      <c r="I10" s="24" t="s">
        <v>1263</v>
      </c>
      <c r="J10" s="26"/>
      <c r="K10" s="24" t="s">
        <v>1293</v>
      </c>
      <c r="L10" s="24" t="s">
        <v>1294</v>
      </c>
      <c r="M10" s="24" t="s">
        <v>1295</v>
      </c>
      <c r="N10" s="24" t="s">
        <v>1267</v>
      </c>
      <c r="O10" s="24" t="s">
        <v>1296</v>
      </c>
      <c r="P10" s="26"/>
      <c r="Q10" s="24" t="s">
        <v>1269</v>
      </c>
      <c r="R10" s="24" t="s">
        <v>1300</v>
      </c>
    </row>
    <row r="11" spans="1:18" ht="15" customHeight="1">
      <c r="A11" s="24">
        <v>8</v>
      </c>
      <c r="B11" s="24">
        <v>9730015279</v>
      </c>
      <c r="C11" s="27">
        <v>38700</v>
      </c>
      <c r="D11" s="26"/>
      <c r="E11" s="24" t="s">
        <v>1301</v>
      </c>
      <c r="F11" s="24" t="s">
        <v>1302</v>
      </c>
      <c r="G11" s="24" t="s">
        <v>1303</v>
      </c>
      <c r="H11" s="24" t="s">
        <v>1284</v>
      </c>
      <c r="I11" s="24" t="s">
        <v>1263</v>
      </c>
      <c r="J11" s="26"/>
      <c r="K11" s="24" t="s">
        <v>1304</v>
      </c>
      <c r="L11" s="24" t="s">
        <v>1305</v>
      </c>
      <c r="M11" s="24" t="s">
        <v>1306</v>
      </c>
      <c r="N11" s="24" t="s">
        <v>1267</v>
      </c>
      <c r="O11" s="24" t="s">
        <v>1307</v>
      </c>
      <c r="P11" s="26"/>
      <c r="Q11" s="24" t="s">
        <v>1269</v>
      </c>
      <c r="R11" s="24" t="s">
        <v>1308</v>
      </c>
    </row>
    <row r="12" spans="1:18" ht="15" customHeight="1">
      <c r="A12" s="24">
        <v>9</v>
      </c>
      <c r="B12" s="24">
        <v>9730015287</v>
      </c>
      <c r="C12" s="25">
        <v>45201</v>
      </c>
      <c r="D12" s="26"/>
      <c r="E12" s="24" t="s">
        <v>1301</v>
      </c>
      <c r="F12" s="24" t="s">
        <v>1309</v>
      </c>
      <c r="G12" s="26"/>
      <c r="H12" s="24" t="s">
        <v>1284</v>
      </c>
      <c r="I12" s="24" t="s">
        <v>1285</v>
      </c>
      <c r="J12" s="26"/>
      <c r="K12" s="24" t="s">
        <v>1304</v>
      </c>
      <c r="L12" s="24" t="s">
        <v>1305</v>
      </c>
      <c r="M12" s="24" t="s">
        <v>1306</v>
      </c>
      <c r="N12" s="24" t="s">
        <v>1267</v>
      </c>
      <c r="O12" s="24" t="s">
        <v>1307</v>
      </c>
      <c r="P12" s="26"/>
      <c r="Q12" s="24" t="s">
        <v>1269</v>
      </c>
      <c r="R12" s="24" t="s">
        <v>1310</v>
      </c>
    </row>
    <row r="13" spans="1:18" ht="15" customHeight="1">
      <c r="A13" s="24">
        <v>10</v>
      </c>
      <c r="B13" s="24">
        <v>9730015295</v>
      </c>
      <c r="C13" s="27">
        <v>40495</v>
      </c>
      <c r="D13" s="26"/>
      <c r="E13" s="24" t="s">
        <v>1311</v>
      </c>
      <c r="F13" s="24" t="s">
        <v>1312</v>
      </c>
      <c r="G13" s="24" t="s">
        <v>1313</v>
      </c>
      <c r="H13" s="24" t="s">
        <v>1314</v>
      </c>
      <c r="I13" s="24" t="s">
        <v>1263</v>
      </c>
      <c r="J13" s="26"/>
      <c r="K13" s="24" t="s">
        <v>1315</v>
      </c>
      <c r="L13" s="24" t="s">
        <v>1316</v>
      </c>
      <c r="M13" s="24" t="s">
        <v>1266</v>
      </c>
      <c r="N13" s="24" t="s">
        <v>1267</v>
      </c>
      <c r="O13" s="24" t="s">
        <v>1317</v>
      </c>
      <c r="P13" s="26"/>
      <c r="Q13" s="24" t="s">
        <v>1269</v>
      </c>
      <c r="R13" s="24" t="s">
        <v>1318</v>
      </c>
    </row>
    <row r="14" spans="1:18" ht="15" customHeight="1">
      <c r="A14" s="24">
        <v>11</v>
      </c>
      <c r="B14" s="24">
        <v>9730015309</v>
      </c>
      <c r="C14" s="25">
        <v>40155</v>
      </c>
      <c r="D14" s="26"/>
      <c r="E14" s="24" t="s">
        <v>1319</v>
      </c>
      <c r="F14" s="24" t="s">
        <v>1320</v>
      </c>
      <c r="G14" s="26"/>
      <c r="H14" s="24" t="s">
        <v>1314</v>
      </c>
      <c r="I14" s="24" t="s">
        <v>1263</v>
      </c>
      <c r="J14" s="26"/>
      <c r="K14" s="24" t="s">
        <v>1321</v>
      </c>
      <c r="L14" s="24" t="s">
        <v>1322</v>
      </c>
      <c r="M14" s="24" t="s">
        <v>1306</v>
      </c>
      <c r="N14" s="24" t="s">
        <v>1267</v>
      </c>
      <c r="O14" s="24" t="s">
        <v>1323</v>
      </c>
      <c r="P14" s="26"/>
      <c r="Q14" s="24" t="s">
        <v>1269</v>
      </c>
      <c r="R14" s="24" t="s">
        <v>1324</v>
      </c>
    </row>
    <row r="15" spans="1:18" ht="15" customHeight="1">
      <c r="A15" s="24">
        <v>12</v>
      </c>
      <c r="B15" s="24">
        <v>9730015317</v>
      </c>
      <c r="C15" s="25">
        <v>32877</v>
      </c>
      <c r="D15" s="26"/>
      <c r="E15" s="24" t="s">
        <v>1325</v>
      </c>
      <c r="F15" s="24" t="s">
        <v>1326</v>
      </c>
      <c r="G15" s="26"/>
      <c r="H15" s="24" t="s">
        <v>1284</v>
      </c>
      <c r="I15" s="24" t="s">
        <v>1285</v>
      </c>
      <c r="J15" s="26"/>
      <c r="K15" s="24" t="s">
        <v>1327</v>
      </c>
      <c r="L15" s="24" t="s">
        <v>1328</v>
      </c>
      <c r="M15" s="24" t="s">
        <v>1266</v>
      </c>
      <c r="N15" s="24" t="s">
        <v>1267</v>
      </c>
      <c r="O15" s="24" t="s">
        <v>1329</v>
      </c>
      <c r="P15" s="26"/>
      <c r="Q15" s="24" t="s">
        <v>1269</v>
      </c>
      <c r="R15" s="24" t="s">
        <v>1330</v>
      </c>
    </row>
    <row r="16" spans="1:18" ht="15" customHeight="1">
      <c r="A16" s="24">
        <v>13</v>
      </c>
      <c r="B16" s="24">
        <v>9730015325</v>
      </c>
      <c r="C16" s="27">
        <v>41270</v>
      </c>
      <c r="D16" s="26"/>
      <c r="E16" s="24" t="s">
        <v>1325</v>
      </c>
      <c r="F16" s="24" t="s">
        <v>1331</v>
      </c>
      <c r="G16" s="24" t="s">
        <v>1332</v>
      </c>
      <c r="H16" s="24" t="s">
        <v>1281</v>
      </c>
      <c r="I16" s="24" t="s">
        <v>1263</v>
      </c>
      <c r="J16" s="26"/>
      <c r="K16" s="24" t="s">
        <v>1327</v>
      </c>
      <c r="L16" s="24" t="s">
        <v>1328</v>
      </c>
      <c r="M16" s="24" t="s">
        <v>1266</v>
      </c>
      <c r="N16" s="24" t="s">
        <v>1267</v>
      </c>
      <c r="O16" s="24" t="s">
        <v>1329</v>
      </c>
      <c r="P16" s="26"/>
      <c r="Q16" s="24" t="s">
        <v>1269</v>
      </c>
      <c r="R16" s="24" t="s">
        <v>1333</v>
      </c>
    </row>
    <row r="17" spans="1:18" ht="15" customHeight="1">
      <c r="A17" s="24">
        <v>14</v>
      </c>
      <c r="B17" s="24">
        <v>9730015333</v>
      </c>
      <c r="C17" s="25">
        <v>40316</v>
      </c>
      <c r="D17" s="26"/>
      <c r="E17" s="24" t="s">
        <v>1334</v>
      </c>
      <c r="F17" s="24" t="s">
        <v>1335</v>
      </c>
      <c r="G17" s="24" t="s">
        <v>1336</v>
      </c>
      <c r="H17" s="24" t="s">
        <v>1314</v>
      </c>
      <c r="I17" s="24" t="s">
        <v>1263</v>
      </c>
      <c r="J17" s="26"/>
      <c r="K17" s="24" t="s">
        <v>1337</v>
      </c>
      <c r="L17" s="26"/>
      <c r="M17" s="24" t="s">
        <v>1266</v>
      </c>
      <c r="N17" s="24" t="s">
        <v>1267</v>
      </c>
      <c r="O17" s="24" t="s">
        <v>1338</v>
      </c>
      <c r="P17" s="26"/>
      <c r="Q17" s="24" t="s">
        <v>1269</v>
      </c>
      <c r="R17" s="24" t="s">
        <v>1339</v>
      </c>
    </row>
    <row r="18" spans="1:18" ht="15" customHeight="1">
      <c r="A18" s="24">
        <v>15</v>
      </c>
      <c r="B18" s="24">
        <v>9730015341</v>
      </c>
      <c r="C18" s="25">
        <v>31070</v>
      </c>
      <c r="D18" s="26"/>
      <c r="E18" s="24" t="s">
        <v>1340</v>
      </c>
      <c r="F18" s="24" t="s">
        <v>1341</v>
      </c>
      <c r="G18" s="24" t="s">
        <v>1342</v>
      </c>
      <c r="H18" s="24" t="s">
        <v>1314</v>
      </c>
      <c r="I18" s="24" t="s">
        <v>1263</v>
      </c>
      <c r="J18" s="26"/>
      <c r="K18" s="24" t="s">
        <v>1343</v>
      </c>
      <c r="L18" s="24" t="s">
        <v>1344</v>
      </c>
      <c r="M18" s="24" t="s">
        <v>1266</v>
      </c>
      <c r="N18" s="24" t="s">
        <v>1267</v>
      </c>
      <c r="O18" s="24" t="s">
        <v>1345</v>
      </c>
      <c r="P18" s="26"/>
      <c r="Q18" s="24" t="s">
        <v>1269</v>
      </c>
      <c r="R18" s="24" t="s">
        <v>1346</v>
      </c>
    </row>
    <row r="19" spans="1:18" ht="15" customHeight="1">
      <c r="A19" s="24">
        <v>16</v>
      </c>
      <c r="B19" s="24">
        <v>9730015368</v>
      </c>
      <c r="C19" s="25">
        <v>38384</v>
      </c>
      <c r="D19" s="26"/>
      <c r="E19" s="24" t="s">
        <v>1347</v>
      </c>
      <c r="F19" s="24" t="s">
        <v>1348</v>
      </c>
      <c r="G19" s="24" t="s">
        <v>1349</v>
      </c>
      <c r="H19" s="24" t="s">
        <v>1273</v>
      </c>
      <c r="I19" s="24" t="s">
        <v>1263</v>
      </c>
      <c r="J19" s="26"/>
      <c r="K19" s="24" t="s">
        <v>1350</v>
      </c>
      <c r="L19" s="24" t="s">
        <v>1351</v>
      </c>
      <c r="M19" s="24" t="s">
        <v>1295</v>
      </c>
      <c r="N19" s="24" t="s">
        <v>1267</v>
      </c>
      <c r="O19" s="24" t="s">
        <v>1352</v>
      </c>
      <c r="P19" s="26"/>
      <c r="Q19" s="24" t="s">
        <v>1269</v>
      </c>
      <c r="R19" s="24" t="s">
        <v>1353</v>
      </c>
    </row>
    <row r="20" spans="1:18" ht="15" customHeight="1">
      <c r="A20" s="24">
        <v>17</v>
      </c>
      <c r="B20" s="24">
        <v>9730015376</v>
      </c>
      <c r="C20" s="25">
        <v>40273</v>
      </c>
      <c r="D20" s="26"/>
      <c r="E20" s="24" t="s">
        <v>1347</v>
      </c>
      <c r="F20" s="24" t="s">
        <v>1354</v>
      </c>
      <c r="G20" s="24" t="s">
        <v>1355</v>
      </c>
      <c r="H20" s="24" t="s">
        <v>1281</v>
      </c>
      <c r="I20" s="24" t="s">
        <v>1263</v>
      </c>
      <c r="J20" s="26"/>
      <c r="K20" s="24" t="s">
        <v>1350</v>
      </c>
      <c r="L20" s="24" t="s">
        <v>1351</v>
      </c>
      <c r="M20" s="24" t="s">
        <v>1295</v>
      </c>
      <c r="N20" s="24" t="s">
        <v>1267</v>
      </c>
      <c r="O20" s="24" t="s">
        <v>1352</v>
      </c>
      <c r="P20" s="26"/>
      <c r="Q20" s="24" t="s">
        <v>1269</v>
      </c>
      <c r="R20" s="24" t="s">
        <v>1356</v>
      </c>
    </row>
    <row r="21" spans="1:18" ht="15" customHeight="1">
      <c r="A21" s="24">
        <v>18</v>
      </c>
      <c r="B21" s="24">
        <v>9730015384</v>
      </c>
      <c r="C21" s="25">
        <v>43479</v>
      </c>
      <c r="D21" s="26"/>
      <c r="E21" s="24" t="s">
        <v>1347</v>
      </c>
      <c r="F21" s="24" t="s">
        <v>1357</v>
      </c>
      <c r="G21" s="24" t="s">
        <v>1358</v>
      </c>
      <c r="H21" s="24" t="s">
        <v>1284</v>
      </c>
      <c r="I21" s="24" t="s">
        <v>1285</v>
      </c>
      <c r="J21" s="26"/>
      <c r="K21" s="24" t="s">
        <v>1350</v>
      </c>
      <c r="L21" s="24" t="s">
        <v>1351</v>
      </c>
      <c r="M21" s="24" t="s">
        <v>1295</v>
      </c>
      <c r="N21" s="24" t="s">
        <v>1267</v>
      </c>
      <c r="O21" s="24" t="s">
        <v>1352</v>
      </c>
      <c r="P21" s="26"/>
      <c r="Q21" s="24" t="s">
        <v>1269</v>
      </c>
      <c r="R21" s="24" t="s">
        <v>1359</v>
      </c>
    </row>
    <row r="22" spans="1:18" ht="15" customHeight="1">
      <c r="A22" s="24">
        <v>19</v>
      </c>
      <c r="B22" s="24">
        <v>9730015392</v>
      </c>
      <c r="C22" s="25">
        <v>45206</v>
      </c>
      <c r="D22" s="26"/>
      <c r="E22" s="24" t="s">
        <v>1347</v>
      </c>
      <c r="F22" s="24" t="s">
        <v>1360</v>
      </c>
      <c r="G22" s="24" t="s">
        <v>1361</v>
      </c>
      <c r="H22" s="24" t="s">
        <v>1284</v>
      </c>
      <c r="I22" s="24" t="s">
        <v>1285</v>
      </c>
      <c r="J22" s="26"/>
      <c r="K22" s="24" t="s">
        <v>1350</v>
      </c>
      <c r="L22" s="24" t="s">
        <v>1351</v>
      </c>
      <c r="M22" s="24" t="s">
        <v>1295</v>
      </c>
      <c r="N22" s="24" t="s">
        <v>1267</v>
      </c>
      <c r="O22" s="24" t="s">
        <v>1352</v>
      </c>
      <c r="P22" s="26"/>
      <c r="Q22" s="24" t="s">
        <v>1269</v>
      </c>
      <c r="R22" s="24" t="s">
        <v>1362</v>
      </c>
    </row>
    <row r="23" spans="1:18" ht="15" customHeight="1">
      <c r="A23" s="24">
        <v>20</v>
      </c>
      <c r="B23" s="24">
        <v>9730015406</v>
      </c>
      <c r="C23" s="27">
        <v>37917</v>
      </c>
      <c r="D23" s="26"/>
      <c r="E23" s="24" t="s">
        <v>1363</v>
      </c>
      <c r="F23" s="24" t="s">
        <v>1364</v>
      </c>
      <c r="G23" s="26"/>
      <c r="H23" s="24" t="s">
        <v>1284</v>
      </c>
      <c r="I23" s="24" t="s">
        <v>1285</v>
      </c>
      <c r="J23" s="26"/>
      <c r="K23" s="24" t="s">
        <v>1365</v>
      </c>
      <c r="L23" s="26"/>
      <c r="M23" s="24" t="s">
        <v>1366</v>
      </c>
      <c r="N23" s="24" t="s">
        <v>1267</v>
      </c>
      <c r="O23" s="24" t="s">
        <v>1367</v>
      </c>
      <c r="P23" s="26"/>
      <c r="Q23" s="24" t="s">
        <v>1269</v>
      </c>
      <c r="R23" s="24" t="s">
        <v>1368</v>
      </c>
    </row>
    <row r="24" spans="1:18" ht="15" customHeight="1">
      <c r="A24" s="24">
        <v>21</v>
      </c>
      <c r="B24" s="24">
        <v>9730015414</v>
      </c>
      <c r="C24" s="25">
        <v>41297</v>
      </c>
      <c r="D24" s="26"/>
      <c r="E24" s="24" t="s">
        <v>1363</v>
      </c>
      <c r="F24" s="24" t="s">
        <v>1369</v>
      </c>
      <c r="G24" s="24" t="s">
        <v>1370</v>
      </c>
      <c r="H24" s="24" t="s">
        <v>1281</v>
      </c>
      <c r="I24" s="24" t="s">
        <v>1263</v>
      </c>
      <c r="J24" s="26"/>
      <c r="K24" s="24" t="s">
        <v>1365</v>
      </c>
      <c r="L24" s="26"/>
      <c r="M24" s="24" t="s">
        <v>1366</v>
      </c>
      <c r="N24" s="24" t="s">
        <v>1267</v>
      </c>
      <c r="O24" s="24" t="s">
        <v>1367</v>
      </c>
      <c r="P24" s="26"/>
      <c r="Q24" s="24" t="s">
        <v>1269</v>
      </c>
      <c r="R24" s="24" t="s">
        <v>1371</v>
      </c>
    </row>
    <row r="25" spans="1:18" ht="15" customHeight="1">
      <c r="A25" s="24">
        <v>22</v>
      </c>
      <c r="B25" s="24">
        <v>9730015422</v>
      </c>
      <c r="C25" s="25">
        <v>40010</v>
      </c>
      <c r="D25" s="26"/>
      <c r="E25" s="24" t="s">
        <v>1372</v>
      </c>
      <c r="F25" s="24" t="s">
        <v>1373</v>
      </c>
      <c r="G25" s="24" t="s">
        <v>1374</v>
      </c>
      <c r="H25" s="24" t="s">
        <v>1284</v>
      </c>
      <c r="I25" s="24" t="s">
        <v>1263</v>
      </c>
      <c r="J25" s="26"/>
      <c r="K25" s="24" t="s">
        <v>1375</v>
      </c>
      <c r="L25" s="24" t="s">
        <v>1376</v>
      </c>
      <c r="M25" s="24" t="s">
        <v>1377</v>
      </c>
      <c r="N25" s="26"/>
      <c r="O25" s="24" t="s">
        <v>1378</v>
      </c>
      <c r="P25" s="26"/>
      <c r="Q25" s="24" t="s">
        <v>1269</v>
      </c>
      <c r="R25" s="24" t="s">
        <v>1379</v>
      </c>
    </row>
    <row r="26" spans="1:18" ht="15" customHeight="1">
      <c r="A26" s="24">
        <v>23</v>
      </c>
      <c r="B26" s="24">
        <v>9730015430</v>
      </c>
      <c r="C26" s="25">
        <v>45203</v>
      </c>
      <c r="D26" s="26"/>
      <c r="E26" s="24" t="s">
        <v>1372</v>
      </c>
      <c r="F26" s="24" t="s">
        <v>1380</v>
      </c>
      <c r="G26" s="24" t="s">
        <v>1381</v>
      </c>
      <c r="H26" s="24" t="s">
        <v>1284</v>
      </c>
      <c r="I26" s="24" t="s">
        <v>1285</v>
      </c>
      <c r="J26" s="26"/>
      <c r="K26" s="24" t="s">
        <v>1375</v>
      </c>
      <c r="L26" s="24" t="s">
        <v>1376</v>
      </c>
      <c r="M26" s="24" t="s">
        <v>1377</v>
      </c>
      <c r="N26" s="26"/>
      <c r="O26" s="24" t="s">
        <v>1378</v>
      </c>
      <c r="P26" s="26"/>
      <c r="Q26" s="24" t="s">
        <v>1269</v>
      </c>
      <c r="R26" s="24" t="s">
        <v>1382</v>
      </c>
    </row>
    <row r="27" spans="1:18" ht="15" customHeight="1">
      <c r="A27" s="24">
        <v>24</v>
      </c>
      <c r="B27" s="24">
        <v>9730015449</v>
      </c>
      <c r="C27" s="25">
        <v>41156</v>
      </c>
      <c r="D27" s="26"/>
      <c r="E27" s="24" t="s">
        <v>1383</v>
      </c>
      <c r="F27" s="24" t="s">
        <v>1384</v>
      </c>
      <c r="G27" s="24" t="s">
        <v>1385</v>
      </c>
      <c r="H27" s="24" t="s">
        <v>1314</v>
      </c>
      <c r="I27" s="24" t="s">
        <v>1263</v>
      </c>
      <c r="J27" s="24" t="s">
        <v>1386</v>
      </c>
      <c r="K27" s="26"/>
      <c r="L27" s="24" t="s">
        <v>1344</v>
      </c>
      <c r="M27" s="24" t="s">
        <v>1266</v>
      </c>
      <c r="N27" s="24" t="s">
        <v>1267</v>
      </c>
      <c r="O27" s="24" t="s">
        <v>1387</v>
      </c>
      <c r="P27" s="26"/>
      <c r="Q27" s="24" t="s">
        <v>1269</v>
      </c>
      <c r="R27" s="24" t="s">
        <v>1388</v>
      </c>
    </row>
    <row r="28" spans="1:18" ht="15" customHeight="1">
      <c r="A28" s="24">
        <v>25</v>
      </c>
      <c r="B28" s="24">
        <v>9730015457</v>
      </c>
      <c r="C28" s="27">
        <v>40471</v>
      </c>
      <c r="D28" s="26"/>
      <c r="E28" s="24" t="s">
        <v>1389</v>
      </c>
      <c r="F28" s="24" t="s">
        <v>1390</v>
      </c>
      <c r="G28" s="26"/>
      <c r="H28" s="24" t="s">
        <v>1391</v>
      </c>
      <c r="I28" s="24" t="s">
        <v>1263</v>
      </c>
      <c r="J28" s="26"/>
      <c r="K28" s="24" t="s">
        <v>1392</v>
      </c>
      <c r="L28" s="24" t="s">
        <v>1393</v>
      </c>
      <c r="M28" s="24" t="s">
        <v>1266</v>
      </c>
      <c r="N28" s="24" t="s">
        <v>1267</v>
      </c>
      <c r="O28" s="24" t="s">
        <v>1394</v>
      </c>
      <c r="P28" s="26"/>
      <c r="Q28" s="24" t="s">
        <v>1269</v>
      </c>
      <c r="R28" s="24" t="s">
        <v>1395</v>
      </c>
    </row>
    <row r="29" spans="1:18" ht="15" customHeight="1">
      <c r="A29" s="24">
        <v>26</v>
      </c>
      <c r="B29" s="24">
        <v>9730015465</v>
      </c>
      <c r="C29" s="25">
        <v>35979</v>
      </c>
      <c r="D29" s="26"/>
      <c r="E29" s="24" t="s">
        <v>1396</v>
      </c>
      <c r="F29" s="24" t="s">
        <v>1397</v>
      </c>
      <c r="G29" s="24" t="s">
        <v>1398</v>
      </c>
      <c r="H29" s="24" t="s">
        <v>1284</v>
      </c>
      <c r="I29" s="24" t="s">
        <v>1285</v>
      </c>
      <c r="J29" s="24" t="s">
        <v>1399</v>
      </c>
      <c r="K29" s="24" t="s">
        <v>1400</v>
      </c>
      <c r="L29" s="24" t="s">
        <v>1401</v>
      </c>
      <c r="M29" s="24" t="s">
        <v>1266</v>
      </c>
      <c r="N29" s="26"/>
      <c r="O29" s="24" t="s">
        <v>1402</v>
      </c>
      <c r="P29" s="26"/>
      <c r="Q29" s="24" t="s">
        <v>1269</v>
      </c>
      <c r="R29" s="24" t="s">
        <v>1403</v>
      </c>
    </row>
    <row r="30" spans="1:18" ht="15" customHeight="1">
      <c r="A30" s="24">
        <v>27</v>
      </c>
      <c r="B30" s="24">
        <v>9730015473</v>
      </c>
      <c r="C30" s="25">
        <v>41330</v>
      </c>
      <c r="D30" s="26"/>
      <c r="E30" s="24" t="s">
        <v>1396</v>
      </c>
      <c r="F30" s="24" t="s">
        <v>1320</v>
      </c>
      <c r="G30" s="24" t="s">
        <v>1404</v>
      </c>
      <c r="H30" s="24" t="s">
        <v>1281</v>
      </c>
      <c r="I30" s="24" t="s">
        <v>1263</v>
      </c>
      <c r="J30" s="24" t="s">
        <v>1399</v>
      </c>
      <c r="K30" s="24" t="s">
        <v>1400</v>
      </c>
      <c r="L30" s="24" t="s">
        <v>1401</v>
      </c>
      <c r="M30" s="24" t="s">
        <v>1266</v>
      </c>
      <c r="N30" s="26"/>
      <c r="O30" s="24" t="s">
        <v>1402</v>
      </c>
      <c r="P30" s="26"/>
      <c r="Q30" s="24" t="s">
        <v>1269</v>
      </c>
      <c r="R30" s="24" t="s">
        <v>1405</v>
      </c>
    </row>
    <row r="31" spans="1:18" ht="15" customHeight="1">
      <c r="A31" s="24">
        <v>28</v>
      </c>
      <c r="B31" s="24">
        <v>9730015481</v>
      </c>
      <c r="C31" s="25">
        <v>40852</v>
      </c>
      <c r="D31" s="26"/>
      <c r="E31" s="24" t="s">
        <v>1406</v>
      </c>
      <c r="F31" s="24" t="s">
        <v>1272</v>
      </c>
      <c r="G31" s="26"/>
      <c r="H31" s="24" t="s">
        <v>1314</v>
      </c>
      <c r="I31" s="24" t="s">
        <v>1263</v>
      </c>
      <c r="J31" s="26"/>
      <c r="K31" s="24" t="s">
        <v>1407</v>
      </c>
      <c r="L31" s="26"/>
      <c r="M31" s="24" t="s">
        <v>1266</v>
      </c>
      <c r="N31" s="24" t="s">
        <v>1267</v>
      </c>
      <c r="O31" s="24" t="s">
        <v>1408</v>
      </c>
      <c r="P31" s="26"/>
      <c r="Q31" s="24" t="s">
        <v>1269</v>
      </c>
      <c r="R31" s="24" t="s">
        <v>1409</v>
      </c>
    </row>
    <row r="32" spans="1:18" ht="15" customHeight="1">
      <c r="A32" s="24">
        <v>29</v>
      </c>
      <c r="B32" s="24">
        <v>9730015503</v>
      </c>
      <c r="C32" s="25">
        <v>44001</v>
      </c>
      <c r="D32" s="26"/>
      <c r="E32" s="24" t="s">
        <v>1410</v>
      </c>
      <c r="F32" s="24" t="s">
        <v>1411</v>
      </c>
      <c r="G32" s="24" t="s">
        <v>1412</v>
      </c>
      <c r="H32" s="24" t="s">
        <v>1314</v>
      </c>
      <c r="I32" s="24" t="s">
        <v>1263</v>
      </c>
      <c r="J32" s="24" t="s">
        <v>1413</v>
      </c>
      <c r="K32" s="24" t="s">
        <v>1414</v>
      </c>
      <c r="L32" s="24" t="s">
        <v>1415</v>
      </c>
      <c r="M32" s="24" t="s">
        <v>1377</v>
      </c>
      <c r="N32" s="24" t="s">
        <v>1416</v>
      </c>
      <c r="O32" s="24" t="s">
        <v>1417</v>
      </c>
      <c r="P32" s="26"/>
      <c r="Q32" s="24" t="s">
        <v>1269</v>
      </c>
      <c r="R32" s="24" t="s">
        <v>1418</v>
      </c>
    </row>
    <row r="33" spans="1:18" ht="15" customHeight="1">
      <c r="A33" s="24">
        <v>30</v>
      </c>
      <c r="B33" s="24">
        <v>9730015511</v>
      </c>
      <c r="C33" s="25">
        <v>43803</v>
      </c>
      <c r="D33" s="26"/>
      <c r="E33" s="24" t="s">
        <v>1419</v>
      </c>
      <c r="F33" s="24" t="s">
        <v>1420</v>
      </c>
      <c r="G33" s="24" t="s">
        <v>1421</v>
      </c>
      <c r="H33" s="24" t="s">
        <v>1422</v>
      </c>
      <c r="I33" s="24" t="s">
        <v>1285</v>
      </c>
      <c r="J33" s="26"/>
      <c r="K33" s="24" t="s">
        <v>1423</v>
      </c>
      <c r="L33" s="24" t="s">
        <v>1265</v>
      </c>
      <c r="M33" s="24" t="s">
        <v>1266</v>
      </c>
      <c r="N33" s="24" t="s">
        <v>1267</v>
      </c>
      <c r="O33" s="24" t="s">
        <v>1424</v>
      </c>
      <c r="P33" s="26"/>
      <c r="Q33" s="24" t="s">
        <v>1269</v>
      </c>
      <c r="R33" s="24" t="s">
        <v>1425</v>
      </c>
    </row>
    <row r="34" spans="1:18" ht="15" customHeight="1">
      <c r="A34" s="24">
        <v>31</v>
      </c>
      <c r="B34" s="24">
        <v>9730015538</v>
      </c>
      <c r="C34" s="25">
        <v>44005</v>
      </c>
      <c r="D34" s="26"/>
      <c r="E34" s="24" t="s">
        <v>1426</v>
      </c>
      <c r="F34" s="24" t="s">
        <v>1427</v>
      </c>
      <c r="G34" s="24" t="s">
        <v>1381</v>
      </c>
      <c r="H34" s="24" t="s">
        <v>1422</v>
      </c>
      <c r="I34" s="24" t="s">
        <v>1285</v>
      </c>
      <c r="J34" s="26"/>
      <c r="K34" s="24" t="s">
        <v>1428</v>
      </c>
      <c r="L34" s="26"/>
      <c r="M34" s="24" t="s">
        <v>1366</v>
      </c>
      <c r="N34" s="24" t="s">
        <v>1267</v>
      </c>
      <c r="O34" s="24" t="s">
        <v>1429</v>
      </c>
      <c r="P34" s="26"/>
      <c r="Q34" s="24" t="s">
        <v>1269</v>
      </c>
      <c r="R34" s="24" t="s">
        <v>1430</v>
      </c>
    </row>
    <row r="35" spans="1:18" ht="15" customHeight="1">
      <c r="A35" s="24">
        <v>32</v>
      </c>
      <c r="B35" s="24">
        <v>9730015546</v>
      </c>
      <c r="C35" s="27">
        <v>44559</v>
      </c>
      <c r="D35" s="26"/>
      <c r="E35" s="24" t="s">
        <v>1431</v>
      </c>
      <c r="F35" s="24" t="s">
        <v>1432</v>
      </c>
      <c r="G35" s="24" t="s">
        <v>1433</v>
      </c>
      <c r="H35" s="24" t="s">
        <v>1314</v>
      </c>
      <c r="I35" s="24" t="s">
        <v>1263</v>
      </c>
      <c r="J35" s="26"/>
      <c r="K35" s="24" t="s">
        <v>1434</v>
      </c>
      <c r="L35" s="26"/>
      <c r="M35" s="24" t="s">
        <v>1266</v>
      </c>
      <c r="N35" s="26"/>
      <c r="O35" s="24" t="s">
        <v>1435</v>
      </c>
      <c r="P35" s="26"/>
      <c r="Q35" s="24" t="s">
        <v>1269</v>
      </c>
      <c r="R35" s="24" t="s">
        <v>1436</v>
      </c>
    </row>
    <row r="36" spans="1:18" ht="15" customHeight="1">
      <c r="A36" s="24">
        <v>33</v>
      </c>
      <c r="B36" s="24">
        <v>9730015554</v>
      </c>
      <c r="C36" s="25">
        <v>44101</v>
      </c>
      <c r="D36" s="26"/>
      <c r="E36" s="24" t="s">
        <v>1437</v>
      </c>
      <c r="F36" s="24" t="s">
        <v>1438</v>
      </c>
      <c r="G36" s="24" t="s">
        <v>1439</v>
      </c>
      <c r="H36" s="24" t="s">
        <v>1314</v>
      </c>
      <c r="I36" s="24" t="s">
        <v>1263</v>
      </c>
      <c r="J36" s="26"/>
      <c r="K36" s="24" t="s">
        <v>1440</v>
      </c>
      <c r="L36" s="26"/>
      <c r="M36" s="24" t="s">
        <v>1266</v>
      </c>
      <c r="N36" s="24" t="s">
        <v>1267</v>
      </c>
      <c r="O36" s="24" t="s">
        <v>1441</v>
      </c>
      <c r="P36" s="26"/>
      <c r="Q36" s="24" t="s">
        <v>1269</v>
      </c>
      <c r="R36" s="24" t="s">
        <v>1418</v>
      </c>
    </row>
    <row r="37" spans="1:18" ht="15" customHeight="1">
      <c r="A37" s="24">
        <v>33</v>
      </c>
      <c r="B37" s="24">
        <v>9730015562</v>
      </c>
      <c r="C37" s="25">
        <v>44349</v>
      </c>
      <c r="D37" s="26"/>
      <c r="E37" s="24" t="s">
        <v>1442</v>
      </c>
      <c r="F37" s="24" t="s">
        <v>1443</v>
      </c>
      <c r="G37" s="24" t="s">
        <v>1444</v>
      </c>
      <c r="H37" s="24" t="s">
        <v>1391</v>
      </c>
      <c r="I37" s="24" t="s">
        <v>1263</v>
      </c>
      <c r="J37" s="26"/>
      <c r="K37" s="24" t="s">
        <v>1445</v>
      </c>
      <c r="L37" s="26"/>
      <c r="M37" s="24" t="s">
        <v>1266</v>
      </c>
      <c r="N37" s="24" t="s">
        <v>1267</v>
      </c>
      <c r="O37" s="24" t="s">
        <v>1446</v>
      </c>
      <c r="P37" s="26"/>
      <c r="Q37" s="24" t="s">
        <v>1269</v>
      </c>
      <c r="R37" s="24" t="s">
        <v>1418</v>
      </c>
    </row>
    <row r="38" spans="1:18" ht="15" customHeight="1">
      <c r="A38" s="24">
        <v>33</v>
      </c>
      <c r="B38" s="24">
        <v>9730015570</v>
      </c>
      <c r="C38" s="25">
        <v>43689</v>
      </c>
      <c r="D38" s="26"/>
      <c r="E38" s="24" t="s">
        <v>1447</v>
      </c>
      <c r="F38" s="24" t="s">
        <v>1448</v>
      </c>
      <c r="G38" s="24" t="s">
        <v>1449</v>
      </c>
      <c r="H38" s="24" t="s">
        <v>1391</v>
      </c>
      <c r="I38" s="24" t="s">
        <v>1263</v>
      </c>
      <c r="J38" s="26"/>
      <c r="K38" s="24" t="s">
        <v>1450</v>
      </c>
      <c r="L38" s="24" t="s">
        <v>1322</v>
      </c>
      <c r="M38" s="24" t="s">
        <v>1306</v>
      </c>
      <c r="N38" s="24" t="s">
        <v>1267</v>
      </c>
      <c r="O38" s="24" t="s">
        <v>1451</v>
      </c>
      <c r="P38" s="26"/>
      <c r="Q38" s="24" t="s">
        <v>1269</v>
      </c>
      <c r="R38" s="24" t="s">
        <v>1418</v>
      </c>
    </row>
    <row r="39" spans="1:18" ht="15" customHeight="1">
      <c r="A39" s="24">
        <v>33</v>
      </c>
      <c r="B39" s="24">
        <v>9730015589</v>
      </c>
      <c r="C39" s="25">
        <v>44204</v>
      </c>
      <c r="D39" s="26"/>
      <c r="E39" s="24" t="s">
        <v>1452</v>
      </c>
      <c r="F39" s="24" t="s">
        <v>1453</v>
      </c>
      <c r="G39" s="24" t="s">
        <v>1454</v>
      </c>
      <c r="H39" s="24" t="s">
        <v>1391</v>
      </c>
      <c r="I39" s="24" t="s">
        <v>1263</v>
      </c>
      <c r="J39" s="24" t="s">
        <v>1455</v>
      </c>
      <c r="K39" s="26"/>
      <c r="L39" s="24" t="s">
        <v>1456</v>
      </c>
      <c r="M39" s="24" t="s">
        <v>1266</v>
      </c>
      <c r="N39" s="26"/>
      <c r="O39" s="24" t="s">
        <v>1457</v>
      </c>
      <c r="P39" s="26"/>
      <c r="Q39" s="24" t="s">
        <v>1269</v>
      </c>
      <c r="R39" s="24" t="s">
        <v>1418</v>
      </c>
    </row>
    <row r="40" spans="1:18" ht="15" customHeight="1">
      <c r="A40" s="24">
        <v>33</v>
      </c>
      <c r="B40" s="24">
        <v>9730015597</v>
      </c>
      <c r="C40" s="25">
        <v>44049</v>
      </c>
      <c r="D40" s="26"/>
      <c r="E40" s="24" t="s">
        <v>1458</v>
      </c>
      <c r="F40" s="24" t="s">
        <v>1459</v>
      </c>
      <c r="G40" s="26"/>
      <c r="H40" s="24" t="s">
        <v>1314</v>
      </c>
      <c r="I40" s="24" t="s">
        <v>1263</v>
      </c>
      <c r="J40" s="24" t="s">
        <v>1460</v>
      </c>
      <c r="K40" s="24" t="s">
        <v>1461</v>
      </c>
      <c r="L40" s="24" t="s">
        <v>1462</v>
      </c>
      <c r="M40" s="24" t="s">
        <v>1306</v>
      </c>
      <c r="N40" s="24" t="s">
        <v>1267</v>
      </c>
      <c r="O40" s="24" t="s">
        <v>1463</v>
      </c>
      <c r="P40" s="26"/>
      <c r="Q40" s="24" t="s">
        <v>1269</v>
      </c>
      <c r="R40" s="24" t="s">
        <v>1418</v>
      </c>
    </row>
    <row r="41" spans="1:18" ht="15" customHeight="1">
      <c r="A41" s="24">
        <v>33</v>
      </c>
      <c r="B41" s="24">
        <v>9730015600</v>
      </c>
      <c r="C41" s="25">
        <v>43670</v>
      </c>
      <c r="D41" s="26"/>
      <c r="E41" s="24" t="s">
        <v>1464</v>
      </c>
      <c r="F41" s="24" t="s">
        <v>1385</v>
      </c>
      <c r="G41" s="24" t="s">
        <v>1465</v>
      </c>
      <c r="H41" s="24" t="s">
        <v>1391</v>
      </c>
      <c r="I41" s="24" t="s">
        <v>1263</v>
      </c>
      <c r="J41" s="26"/>
      <c r="K41" s="24" t="s">
        <v>1466</v>
      </c>
      <c r="L41" s="26"/>
      <c r="M41" s="24" t="s">
        <v>1266</v>
      </c>
      <c r="N41" s="24" t="s">
        <v>1267</v>
      </c>
      <c r="O41" s="24" t="s">
        <v>1467</v>
      </c>
      <c r="P41" s="26"/>
      <c r="Q41" s="24" t="s">
        <v>1269</v>
      </c>
      <c r="R41" s="24" t="s">
        <v>1418</v>
      </c>
    </row>
    <row r="42" spans="1:18" ht="15" customHeight="1">
      <c r="A42" s="24">
        <v>33</v>
      </c>
      <c r="B42" s="24">
        <v>9730015619</v>
      </c>
      <c r="C42" s="25">
        <v>43494</v>
      </c>
      <c r="D42" s="26"/>
      <c r="E42" s="24" t="s">
        <v>1468</v>
      </c>
      <c r="F42" s="24" t="s">
        <v>1469</v>
      </c>
      <c r="G42" s="24" t="s">
        <v>1470</v>
      </c>
      <c r="H42" s="24" t="s">
        <v>1314</v>
      </c>
      <c r="I42" s="24" t="s">
        <v>1263</v>
      </c>
      <c r="J42" s="26"/>
      <c r="K42" s="24" t="s">
        <v>1471</v>
      </c>
      <c r="L42" s="26"/>
      <c r="M42" s="24" t="s">
        <v>1366</v>
      </c>
      <c r="N42" s="24" t="s">
        <v>1267</v>
      </c>
      <c r="O42" s="24" t="s">
        <v>1472</v>
      </c>
      <c r="P42" s="26"/>
      <c r="Q42" s="24" t="s">
        <v>1269</v>
      </c>
      <c r="R42" s="24" t="s">
        <v>1418</v>
      </c>
    </row>
    <row r="43" spans="1:18" ht="15" customHeight="1">
      <c r="A43" s="24">
        <v>33</v>
      </c>
      <c r="B43" s="24">
        <v>9730015627</v>
      </c>
      <c r="C43" s="27">
        <v>44553</v>
      </c>
      <c r="D43" s="26"/>
      <c r="E43" s="24" t="s">
        <v>1473</v>
      </c>
      <c r="F43" s="24" t="s">
        <v>1474</v>
      </c>
      <c r="G43" s="24" t="s">
        <v>1348</v>
      </c>
      <c r="H43" s="24" t="s">
        <v>1314</v>
      </c>
      <c r="I43" s="24" t="s">
        <v>1263</v>
      </c>
      <c r="J43" s="26"/>
      <c r="K43" s="24" t="s">
        <v>1475</v>
      </c>
      <c r="L43" s="24" t="s">
        <v>1476</v>
      </c>
      <c r="M43" s="24" t="s">
        <v>1477</v>
      </c>
      <c r="N43" s="24" t="s">
        <v>1267</v>
      </c>
      <c r="O43" s="24" t="s">
        <v>1478</v>
      </c>
      <c r="P43" s="26"/>
      <c r="Q43" s="24" t="s">
        <v>1269</v>
      </c>
      <c r="R43" s="24" t="s">
        <v>1418</v>
      </c>
    </row>
    <row r="44" spans="1:18" ht="15" customHeight="1">
      <c r="A44" s="24">
        <v>33</v>
      </c>
      <c r="B44" s="24">
        <v>9730015635</v>
      </c>
      <c r="C44" s="25">
        <v>43593</v>
      </c>
      <c r="D44" s="26"/>
      <c r="E44" s="24" t="s">
        <v>1479</v>
      </c>
      <c r="F44" s="24" t="s">
        <v>1480</v>
      </c>
      <c r="G44" s="24" t="s">
        <v>1385</v>
      </c>
      <c r="H44" s="24" t="s">
        <v>1391</v>
      </c>
      <c r="I44" s="24" t="s">
        <v>1263</v>
      </c>
      <c r="J44" s="26"/>
      <c r="K44" s="24" t="s">
        <v>1481</v>
      </c>
      <c r="L44" s="26"/>
      <c r="M44" s="24" t="s">
        <v>1266</v>
      </c>
      <c r="N44" s="24" t="s">
        <v>1267</v>
      </c>
      <c r="O44" s="24" t="s">
        <v>1482</v>
      </c>
      <c r="P44" s="26"/>
      <c r="Q44" s="24" t="s">
        <v>1269</v>
      </c>
      <c r="R44" s="24" t="s">
        <v>1418</v>
      </c>
    </row>
    <row r="45" spans="1:18" ht="15" customHeight="1">
      <c r="A45" s="24">
        <v>34</v>
      </c>
      <c r="B45" s="24">
        <v>9730015643</v>
      </c>
      <c r="C45" s="25">
        <v>44817</v>
      </c>
      <c r="D45" s="26"/>
      <c r="E45" s="24" t="s">
        <v>1399</v>
      </c>
      <c r="F45" s="24" t="s">
        <v>1483</v>
      </c>
      <c r="G45" s="24" t="s">
        <v>1484</v>
      </c>
      <c r="H45" s="24" t="s">
        <v>1391</v>
      </c>
      <c r="I45" s="24" t="s">
        <v>1263</v>
      </c>
      <c r="J45" s="26"/>
      <c r="K45" s="24" t="s">
        <v>1485</v>
      </c>
      <c r="L45" s="26"/>
      <c r="M45" s="24" t="s">
        <v>1266</v>
      </c>
      <c r="N45" s="24" t="s">
        <v>1267</v>
      </c>
      <c r="O45" s="24" t="s">
        <v>1486</v>
      </c>
      <c r="P45" s="26"/>
      <c r="Q45" s="24" t="s">
        <v>1269</v>
      </c>
      <c r="R45" s="24" t="s">
        <v>1487</v>
      </c>
    </row>
    <row r="46" spans="1:18" ht="15" customHeight="1">
      <c r="A46" s="24">
        <v>34</v>
      </c>
      <c r="B46" s="24">
        <v>9730015651</v>
      </c>
      <c r="C46" s="25">
        <v>43721</v>
      </c>
      <c r="D46" s="26"/>
      <c r="E46" s="24" t="s">
        <v>1488</v>
      </c>
      <c r="F46" s="24" t="s">
        <v>1489</v>
      </c>
      <c r="G46" s="24" t="s">
        <v>1411</v>
      </c>
      <c r="H46" s="24" t="s">
        <v>1314</v>
      </c>
      <c r="I46" s="24" t="s">
        <v>1263</v>
      </c>
      <c r="J46" s="24" t="s">
        <v>1490</v>
      </c>
      <c r="K46" s="24" t="s">
        <v>1491</v>
      </c>
      <c r="L46" s="24" t="s">
        <v>1492</v>
      </c>
      <c r="M46" s="24" t="s">
        <v>1493</v>
      </c>
      <c r="N46" s="24" t="s">
        <v>1494</v>
      </c>
      <c r="O46" s="24" t="s">
        <v>1495</v>
      </c>
      <c r="P46" s="26"/>
      <c r="Q46" s="24" t="s">
        <v>1269</v>
      </c>
      <c r="R46" s="24" t="s">
        <v>1487</v>
      </c>
    </row>
    <row r="47" spans="1:18" ht="15" customHeight="1">
      <c r="A47" s="24">
        <v>34</v>
      </c>
      <c r="B47" s="24">
        <v>9730015678</v>
      </c>
      <c r="C47" s="25">
        <v>43520</v>
      </c>
      <c r="D47" s="26"/>
      <c r="E47" s="24" t="s">
        <v>1496</v>
      </c>
      <c r="F47" s="24" t="s">
        <v>1483</v>
      </c>
      <c r="G47" s="26"/>
      <c r="H47" s="24" t="s">
        <v>1391</v>
      </c>
      <c r="I47" s="24" t="s">
        <v>1263</v>
      </c>
      <c r="J47" s="26"/>
      <c r="K47" s="24" t="s">
        <v>1497</v>
      </c>
      <c r="L47" s="26"/>
      <c r="M47" s="24" t="s">
        <v>1266</v>
      </c>
      <c r="N47" s="24" t="s">
        <v>1267</v>
      </c>
      <c r="O47" s="24" t="s">
        <v>1498</v>
      </c>
      <c r="P47" s="26"/>
      <c r="Q47" s="24" t="s">
        <v>1269</v>
      </c>
      <c r="R47" s="24" t="s">
        <v>1487</v>
      </c>
    </row>
    <row r="48" spans="1:18" ht="15" customHeight="1">
      <c r="A48" s="24">
        <v>34</v>
      </c>
      <c r="B48" s="24">
        <v>9730015686</v>
      </c>
      <c r="C48" s="25">
        <v>44471</v>
      </c>
      <c r="D48" s="26"/>
      <c r="E48" s="24" t="s">
        <v>1499</v>
      </c>
      <c r="F48" s="24" t="s">
        <v>1500</v>
      </c>
      <c r="G48" s="26"/>
      <c r="H48" s="24" t="s">
        <v>1314</v>
      </c>
      <c r="I48" s="24" t="s">
        <v>1263</v>
      </c>
      <c r="J48" s="26"/>
      <c r="K48" s="24" t="s">
        <v>1501</v>
      </c>
      <c r="L48" s="24" t="s">
        <v>1502</v>
      </c>
      <c r="M48" s="24" t="s">
        <v>1266</v>
      </c>
      <c r="N48" s="24" t="s">
        <v>1267</v>
      </c>
      <c r="O48" s="24" t="s">
        <v>1503</v>
      </c>
      <c r="P48" s="26"/>
      <c r="Q48" s="24" t="s">
        <v>1269</v>
      </c>
      <c r="R48" s="24" t="s">
        <v>1487</v>
      </c>
    </row>
    <row r="49" spans="1:18" ht="15" customHeight="1">
      <c r="A49" s="24">
        <v>34</v>
      </c>
      <c r="B49" s="24">
        <v>9730015694</v>
      </c>
      <c r="C49" s="25">
        <v>44032</v>
      </c>
      <c r="D49" s="26"/>
      <c r="E49" s="24" t="s">
        <v>1504</v>
      </c>
      <c r="F49" s="24" t="s">
        <v>1505</v>
      </c>
      <c r="G49" s="24" t="s">
        <v>1483</v>
      </c>
      <c r="H49" s="24" t="s">
        <v>1314</v>
      </c>
      <c r="I49" s="24" t="s">
        <v>1263</v>
      </c>
      <c r="J49" s="26"/>
      <c r="K49" s="24" t="s">
        <v>1506</v>
      </c>
      <c r="L49" s="26"/>
      <c r="M49" s="24" t="s">
        <v>1266</v>
      </c>
      <c r="N49" s="24" t="s">
        <v>1267</v>
      </c>
      <c r="O49" s="24" t="s">
        <v>1507</v>
      </c>
      <c r="P49" s="26"/>
      <c r="Q49" s="24" t="s">
        <v>1269</v>
      </c>
      <c r="R49" s="24" t="s">
        <v>1487</v>
      </c>
    </row>
    <row r="50" spans="1:18" ht="15" customHeight="1">
      <c r="A50" s="24">
        <v>34</v>
      </c>
      <c r="B50" s="24">
        <v>9730015708</v>
      </c>
      <c r="C50" s="25">
        <v>44417</v>
      </c>
      <c r="D50" s="26"/>
      <c r="E50" s="24" t="s">
        <v>1508</v>
      </c>
      <c r="F50" s="24" t="s">
        <v>1509</v>
      </c>
      <c r="G50" s="26"/>
      <c r="H50" s="24" t="s">
        <v>1314</v>
      </c>
      <c r="I50" s="24" t="s">
        <v>1263</v>
      </c>
      <c r="J50" s="24" t="s">
        <v>1510</v>
      </c>
      <c r="K50" s="24" t="s">
        <v>1511</v>
      </c>
      <c r="L50" s="24" t="s">
        <v>1512</v>
      </c>
      <c r="M50" s="24" t="s">
        <v>1377</v>
      </c>
      <c r="N50" s="24" t="s">
        <v>1416</v>
      </c>
      <c r="O50" s="24" t="s">
        <v>1513</v>
      </c>
      <c r="P50" s="26"/>
      <c r="Q50" s="24" t="s">
        <v>1269</v>
      </c>
      <c r="R50" s="24" t="s">
        <v>1487</v>
      </c>
    </row>
    <row r="51" spans="1:18" ht="15" customHeight="1">
      <c r="A51" s="24">
        <v>34</v>
      </c>
      <c r="B51" s="24">
        <v>9730015716</v>
      </c>
      <c r="C51" s="25">
        <v>44453</v>
      </c>
      <c r="D51" s="26"/>
      <c r="E51" s="24" t="s">
        <v>1514</v>
      </c>
      <c r="F51" s="24" t="s">
        <v>1515</v>
      </c>
      <c r="G51" s="24" t="s">
        <v>1516</v>
      </c>
      <c r="H51" s="24" t="s">
        <v>1314</v>
      </c>
      <c r="I51" s="24" t="s">
        <v>1263</v>
      </c>
      <c r="J51" s="26"/>
      <c r="K51" s="24" t="s">
        <v>1517</v>
      </c>
      <c r="L51" s="24" t="s">
        <v>1344</v>
      </c>
      <c r="M51" s="24" t="s">
        <v>1266</v>
      </c>
      <c r="N51" s="26"/>
      <c r="O51" s="24" t="s">
        <v>1518</v>
      </c>
      <c r="P51" s="26"/>
      <c r="Q51" s="24" t="s">
        <v>1269</v>
      </c>
      <c r="R51" s="24" t="s">
        <v>1487</v>
      </c>
    </row>
    <row r="52" spans="1:18" ht="15" customHeight="1">
      <c r="A52" s="24">
        <v>34</v>
      </c>
      <c r="B52" s="24">
        <v>9730015724</v>
      </c>
      <c r="C52" s="25">
        <v>44017</v>
      </c>
      <c r="D52" s="26"/>
      <c r="E52" s="24" t="s">
        <v>1519</v>
      </c>
      <c r="F52" s="24" t="s">
        <v>1336</v>
      </c>
      <c r="G52" s="24" t="s">
        <v>1520</v>
      </c>
      <c r="H52" s="24" t="s">
        <v>1391</v>
      </c>
      <c r="I52" s="24" t="s">
        <v>1263</v>
      </c>
      <c r="J52" s="26"/>
      <c r="K52" s="24" t="s">
        <v>1521</v>
      </c>
      <c r="L52" s="26"/>
      <c r="M52" s="24" t="s">
        <v>1266</v>
      </c>
      <c r="N52" s="24" t="s">
        <v>1267</v>
      </c>
      <c r="O52" s="24" t="s">
        <v>1522</v>
      </c>
      <c r="P52" s="26"/>
      <c r="Q52" s="24" t="s">
        <v>1269</v>
      </c>
      <c r="R52" s="24" t="s">
        <v>1487</v>
      </c>
    </row>
    <row r="53" spans="1:18" ht="15" customHeight="1">
      <c r="A53" s="24">
        <v>34</v>
      </c>
      <c r="B53" s="24">
        <v>9730015732</v>
      </c>
      <c r="C53" s="27">
        <v>43394</v>
      </c>
      <c r="D53" s="26"/>
      <c r="E53" s="24" t="s">
        <v>1523</v>
      </c>
      <c r="F53" s="24" t="s">
        <v>1524</v>
      </c>
      <c r="G53" s="24" t="s">
        <v>1525</v>
      </c>
      <c r="H53" s="24" t="s">
        <v>1314</v>
      </c>
      <c r="I53" s="24" t="s">
        <v>1263</v>
      </c>
      <c r="J53" s="26"/>
      <c r="K53" s="24" t="s">
        <v>1526</v>
      </c>
      <c r="L53" s="26"/>
      <c r="M53" s="24" t="s">
        <v>1266</v>
      </c>
      <c r="N53" s="24" t="s">
        <v>1267</v>
      </c>
      <c r="O53" s="24" t="s">
        <v>1527</v>
      </c>
      <c r="P53" s="26"/>
      <c r="Q53" s="24" t="s">
        <v>1269</v>
      </c>
      <c r="R53" s="24" t="s">
        <v>1487</v>
      </c>
    </row>
    <row r="54" spans="1:18" ht="15" customHeight="1">
      <c r="A54" s="24">
        <v>34</v>
      </c>
      <c r="B54" s="24">
        <v>9730015740</v>
      </c>
      <c r="C54" s="25">
        <v>43476</v>
      </c>
      <c r="D54" s="26"/>
      <c r="E54" s="24" t="s">
        <v>1528</v>
      </c>
      <c r="F54" s="24" t="s">
        <v>1529</v>
      </c>
      <c r="G54" s="24" t="s">
        <v>1530</v>
      </c>
      <c r="H54" s="24" t="s">
        <v>1391</v>
      </c>
      <c r="I54" s="24" t="s">
        <v>1263</v>
      </c>
      <c r="J54" s="26"/>
      <c r="K54" s="24" t="s">
        <v>1531</v>
      </c>
      <c r="L54" s="26"/>
      <c r="M54" s="24" t="s">
        <v>1306</v>
      </c>
      <c r="N54" s="24" t="s">
        <v>1267</v>
      </c>
      <c r="O54" s="24" t="s">
        <v>1532</v>
      </c>
      <c r="P54" s="26"/>
      <c r="Q54" s="24" t="s">
        <v>1269</v>
      </c>
      <c r="R54" s="24" t="s">
        <v>1487</v>
      </c>
    </row>
    <row r="55" spans="1:18" ht="15" customHeight="1">
      <c r="A55" s="24">
        <v>35</v>
      </c>
      <c r="B55" s="24">
        <v>9730015759</v>
      </c>
      <c r="C55" s="27">
        <v>40501</v>
      </c>
      <c r="D55" s="26"/>
      <c r="E55" s="24" t="s">
        <v>1533</v>
      </c>
      <c r="F55" s="24" t="s">
        <v>1534</v>
      </c>
      <c r="G55" s="26"/>
      <c r="H55" s="24" t="s">
        <v>1535</v>
      </c>
      <c r="I55" s="24" t="s">
        <v>1263</v>
      </c>
      <c r="J55" s="26"/>
      <c r="K55" s="24" t="s">
        <v>1536</v>
      </c>
      <c r="L55" s="26"/>
      <c r="M55" s="24" t="s">
        <v>1266</v>
      </c>
      <c r="N55" s="26"/>
      <c r="O55" s="24" t="s">
        <v>1537</v>
      </c>
      <c r="P55" s="26"/>
      <c r="Q55" s="24" t="s">
        <v>1269</v>
      </c>
      <c r="R55" s="24" t="s">
        <v>1538</v>
      </c>
    </row>
    <row r="56" spans="1:18" ht="15" customHeight="1">
      <c r="A56" s="24">
        <v>36</v>
      </c>
      <c r="B56" s="24">
        <v>9730015767</v>
      </c>
      <c r="C56" s="25">
        <v>39949</v>
      </c>
      <c r="D56" s="26"/>
      <c r="E56" s="24" t="s">
        <v>1539</v>
      </c>
      <c r="F56" s="24" t="s">
        <v>1540</v>
      </c>
      <c r="G56" s="24" t="s">
        <v>1541</v>
      </c>
      <c r="H56" s="24" t="s">
        <v>1535</v>
      </c>
      <c r="I56" s="24" t="s">
        <v>1263</v>
      </c>
      <c r="J56" s="26"/>
      <c r="K56" s="24" t="s">
        <v>1542</v>
      </c>
      <c r="L56" s="26"/>
      <c r="M56" s="24" t="s">
        <v>1366</v>
      </c>
      <c r="N56" s="24" t="s">
        <v>1267</v>
      </c>
      <c r="O56" s="24" t="s">
        <v>1543</v>
      </c>
      <c r="P56" s="26"/>
      <c r="Q56" s="24" t="s">
        <v>1269</v>
      </c>
      <c r="R56" s="24" t="s">
        <v>1544</v>
      </c>
    </row>
    <row r="57" spans="1:18" ht="15" customHeight="1">
      <c r="A57" s="24">
        <v>37</v>
      </c>
      <c r="B57" s="24">
        <v>9730015775</v>
      </c>
      <c r="C57" s="25">
        <v>40443</v>
      </c>
      <c r="D57" s="26"/>
      <c r="E57" s="24" t="s">
        <v>1545</v>
      </c>
      <c r="F57" s="24" t="s">
        <v>1546</v>
      </c>
      <c r="G57" s="24" t="s">
        <v>1547</v>
      </c>
      <c r="H57" s="24" t="s">
        <v>1535</v>
      </c>
      <c r="I57" s="24" t="s">
        <v>1263</v>
      </c>
      <c r="J57" s="26"/>
      <c r="K57" s="24" t="s">
        <v>1548</v>
      </c>
      <c r="L57" s="26"/>
      <c r="M57" s="24" t="s">
        <v>1266</v>
      </c>
      <c r="N57" s="24" t="s">
        <v>1267</v>
      </c>
      <c r="O57" s="24" t="s">
        <v>1549</v>
      </c>
      <c r="P57" s="26"/>
      <c r="Q57" s="24" t="s">
        <v>1269</v>
      </c>
      <c r="R57" s="24" t="s">
        <v>1550</v>
      </c>
    </row>
    <row r="58" spans="1:18" ht="15" customHeight="1">
      <c r="A58" s="24">
        <v>38</v>
      </c>
      <c r="B58" s="24">
        <v>9730015783</v>
      </c>
      <c r="C58" s="25">
        <v>40413</v>
      </c>
      <c r="D58" s="26"/>
      <c r="E58" s="24" t="s">
        <v>1551</v>
      </c>
      <c r="F58" s="24" t="s">
        <v>1552</v>
      </c>
      <c r="G58" s="24" t="s">
        <v>1553</v>
      </c>
      <c r="H58" s="24" t="s">
        <v>1554</v>
      </c>
      <c r="I58" s="24" t="s">
        <v>1263</v>
      </c>
      <c r="J58" s="24" t="s">
        <v>1555</v>
      </c>
      <c r="K58" s="24" t="s">
        <v>1556</v>
      </c>
      <c r="L58" s="24" t="s">
        <v>1557</v>
      </c>
      <c r="M58" s="24" t="s">
        <v>1266</v>
      </c>
      <c r="N58" s="26"/>
      <c r="O58" s="24" t="s">
        <v>1558</v>
      </c>
      <c r="P58" s="26"/>
      <c r="Q58" s="24" t="s">
        <v>1269</v>
      </c>
      <c r="R58" s="28" t="s">
        <v>1559</v>
      </c>
    </row>
    <row r="59" spans="1:18" ht="15" customHeight="1">
      <c r="A59" s="24">
        <v>39</v>
      </c>
      <c r="B59" s="24">
        <v>9730015791</v>
      </c>
      <c r="C59" s="25">
        <v>39710</v>
      </c>
      <c r="D59" s="26"/>
      <c r="E59" s="24" t="s">
        <v>1560</v>
      </c>
      <c r="F59" s="24" t="s">
        <v>1561</v>
      </c>
      <c r="G59" s="24" t="s">
        <v>1562</v>
      </c>
      <c r="H59" s="24" t="s">
        <v>1554</v>
      </c>
      <c r="I59" s="24" t="s">
        <v>1263</v>
      </c>
      <c r="J59" s="26"/>
      <c r="K59" s="24" t="s">
        <v>1563</v>
      </c>
      <c r="L59" s="26"/>
      <c r="M59" s="24" t="s">
        <v>1266</v>
      </c>
      <c r="N59" s="26"/>
      <c r="O59" s="24" t="s">
        <v>1564</v>
      </c>
      <c r="P59" s="26"/>
      <c r="Q59" s="24" t="s">
        <v>1269</v>
      </c>
      <c r="R59" s="24" t="s">
        <v>1565</v>
      </c>
    </row>
    <row r="60" spans="1:18" ht="15" customHeight="1">
      <c r="A60" s="24">
        <v>40</v>
      </c>
      <c r="B60" s="24">
        <v>9730015805</v>
      </c>
      <c r="C60" s="27">
        <v>39373</v>
      </c>
      <c r="D60" s="26"/>
      <c r="E60" s="24" t="s">
        <v>1566</v>
      </c>
      <c r="F60" s="24" t="s">
        <v>1298</v>
      </c>
      <c r="G60" s="26"/>
      <c r="H60" s="24" t="s">
        <v>1554</v>
      </c>
      <c r="I60" s="24" t="s">
        <v>1263</v>
      </c>
      <c r="J60" s="26"/>
      <c r="K60" s="24" t="s">
        <v>1567</v>
      </c>
      <c r="L60" s="26"/>
      <c r="M60" s="24" t="s">
        <v>1266</v>
      </c>
      <c r="N60" s="24" t="s">
        <v>1267</v>
      </c>
      <c r="O60" s="24" t="s">
        <v>1568</v>
      </c>
      <c r="P60" s="26"/>
      <c r="Q60" s="24" t="s">
        <v>1269</v>
      </c>
      <c r="R60" s="24" t="s">
        <v>1569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T50"/>
  <sheetViews>
    <sheetView workbookViewId="0"/>
  </sheetViews>
  <sheetFormatPr defaultColWidth="12.5703125" defaultRowHeight="15" customHeight="1"/>
  <cols>
    <col min="1" max="4" width="12.5703125" customWidth="1"/>
    <col min="5" max="5" width="7.42578125" customWidth="1"/>
    <col min="6" max="7" width="16.42578125" customWidth="1"/>
  </cols>
  <sheetData>
    <row r="1" spans="1:20" ht="15.75" customHeight="1">
      <c r="A1" s="29" t="s">
        <v>1570</v>
      </c>
      <c r="B1" s="30"/>
      <c r="C1" s="30"/>
      <c r="D1" s="30"/>
      <c r="E1" s="30"/>
      <c r="F1" s="30"/>
      <c r="G1" s="30"/>
      <c r="H1" s="30"/>
      <c r="I1" s="30"/>
      <c r="J1" s="30"/>
      <c r="K1" s="30"/>
      <c r="L1" s="30"/>
      <c r="M1" s="30"/>
      <c r="N1" s="30"/>
      <c r="O1" s="30"/>
      <c r="P1" s="30"/>
      <c r="Q1" s="30"/>
      <c r="R1" s="30"/>
      <c r="S1" s="30"/>
      <c r="T1" s="31"/>
    </row>
    <row r="2" spans="1:20" ht="15.75" customHeight="1">
      <c r="A2" s="266" t="s">
        <v>1571</v>
      </c>
      <c r="B2" s="267"/>
      <c r="C2" s="267"/>
      <c r="D2" s="267"/>
      <c r="E2" s="267"/>
      <c r="F2" s="267"/>
      <c r="G2" s="267"/>
      <c r="H2" s="267"/>
      <c r="I2" s="267"/>
      <c r="J2" s="267"/>
      <c r="K2" s="267"/>
      <c r="L2" s="267"/>
      <c r="M2" s="267"/>
      <c r="N2" s="267"/>
      <c r="O2" s="267"/>
      <c r="P2" s="267"/>
      <c r="Q2" s="267"/>
      <c r="R2" s="267"/>
      <c r="S2" s="267"/>
      <c r="T2" s="31"/>
    </row>
    <row r="3" spans="1:20" ht="15.75" customHeight="1">
      <c r="A3" s="31"/>
      <c r="B3" s="31"/>
      <c r="C3" s="32"/>
      <c r="D3" s="32"/>
      <c r="E3" s="32"/>
      <c r="F3" s="32"/>
      <c r="G3" s="32"/>
      <c r="H3" s="32"/>
      <c r="I3" s="32"/>
      <c r="J3" s="32"/>
      <c r="K3" s="32"/>
      <c r="L3" s="32"/>
      <c r="M3" s="32"/>
      <c r="N3" s="32"/>
      <c r="O3" s="32"/>
      <c r="P3" s="32"/>
      <c r="Q3" s="32"/>
      <c r="R3" s="32"/>
      <c r="S3" s="32"/>
      <c r="T3" s="31"/>
    </row>
    <row r="4" spans="1:20" ht="15.75" customHeight="1">
      <c r="A4" s="32"/>
      <c r="B4" s="33"/>
      <c r="C4" s="34" t="s">
        <v>1572</v>
      </c>
      <c r="D4" s="35" t="s">
        <v>1573</v>
      </c>
      <c r="E4" s="36" t="s">
        <v>1574</v>
      </c>
      <c r="F4" s="34" t="s">
        <v>1575</v>
      </c>
      <c r="G4" s="37" t="s">
        <v>292</v>
      </c>
      <c r="H4" s="34" t="s">
        <v>1576</v>
      </c>
      <c r="I4" s="37" t="s">
        <v>1577</v>
      </c>
      <c r="J4" s="37" t="s">
        <v>1578</v>
      </c>
      <c r="K4" s="37" t="s">
        <v>1579</v>
      </c>
      <c r="L4" s="37" t="s">
        <v>1580</v>
      </c>
      <c r="M4" s="37" t="s">
        <v>1581</v>
      </c>
      <c r="N4" s="34" t="s">
        <v>1582</v>
      </c>
      <c r="O4" s="37" t="s">
        <v>1583</v>
      </c>
      <c r="P4" s="37" t="s">
        <v>1584</v>
      </c>
      <c r="Q4" s="37" t="s">
        <v>1585</v>
      </c>
      <c r="R4" s="34" t="s">
        <v>1586</v>
      </c>
      <c r="S4" s="38" t="s">
        <v>1587</v>
      </c>
      <c r="T4" s="31"/>
    </row>
    <row r="5" spans="1:20" ht="15.75" customHeight="1">
      <c r="A5" s="39" t="s">
        <v>1588</v>
      </c>
      <c r="B5" s="40" t="s">
        <v>1589</v>
      </c>
      <c r="C5" s="40">
        <v>0</v>
      </c>
      <c r="D5" s="41">
        <v>0</v>
      </c>
      <c r="E5" s="42">
        <v>0</v>
      </c>
      <c r="F5" s="40">
        <v>0</v>
      </c>
      <c r="G5" s="43">
        <v>0</v>
      </c>
      <c r="H5" s="40">
        <v>0</v>
      </c>
      <c r="I5" s="43">
        <v>0</v>
      </c>
      <c r="J5" s="43">
        <v>0</v>
      </c>
      <c r="K5" s="43">
        <v>0</v>
      </c>
      <c r="L5" s="43">
        <v>0</v>
      </c>
      <c r="M5" s="43">
        <v>0</v>
      </c>
      <c r="N5" s="40">
        <v>0</v>
      </c>
      <c r="O5" s="43">
        <v>0</v>
      </c>
      <c r="P5" s="43"/>
      <c r="Q5" s="43">
        <v>0</v>
      </c>
      <c r="R5" s="40">
        <v>0</v>
      </c>
      <c r="S5" s="44"/>
      <c r="T5" s="31"/>
    </row>
    <row r="6" spans="1:20" ht="15.75" customHeight="1">
      <c r="A6" s="39" t="s">
        <v>1590</v>
      </c>
      <c r="B6" s="40">
        <v>9658218873</v>
      </c>
      <c r="C6" s="40" t="s">
        <v>1591</v>
      </c>
      <c r="D6" s="41" t="s">
        <v>1591</v>
      </c>
      <c r="E6" s="42" t="s">
        <v>1591</v>
      </c>
      <c r="F6" s="40" t="s">
        <v>1591</v>
      </c>
      <c r="G6" s="43" t="s">
        <v>1591</v>
      </c>
      <c r="H6" s="40" t="s">
        <v>1591</v>
      </c>
      <c r="I6" s="43" t="s">
        <v>24</v>
      </c>
      <c r="J6" s="43" t="s">
        <v>1591</v>
      </c>
      <c r="K6" s="43" t="s">
        <v>1591</v>
      </c>
      <c r="L6" s="43" t="s">
        <v>1591</v>
      </c>
      <c r="M6" s="43" t="s">
        <v>1591</v>
      </c>
      <c r="N6" s="40" t="s">
        <v>1591</v>
      </c>
      <c r="O6" s="43" t="s">
        <v>1591</v>
      </c>
      <c r="P6" s="43" t="s">
        <v>1591</v>
      </c>
      <c r="Q6" s="43" t="s">
        <v>1591</v>
      </c>
      <c r="R6" s="40" t="s">
        <v>1591</v>
      </c>
      <c r="S6" s="38" t="s">
        <v>1592</v>
      </c>
      <c r="T6" s="31"/>
    </row>
    <row r="7" spans="1:20" ht="15.75" customHeight="1">
      <c r="A7" s="39" t="s">
        <v>1593</v>
      </c>
      <c r="B7" s="40">
        <v>9658218881</v>
      </c>
      <c r="C7" s="45" t="s">
        <v>1594</v>
      </c>
      <c r="D7" s="41" t="s">
        <v>24</v>
      </c>
      <c r="E7" s="42">
        <v>0</v>
      </c>
      <c r="F7" s="45" t="s">
        <v>1594</v>
      </c>
      <c r="G7" s="46" t="s">
        <v>1594</v>
      </c>
      <c r="H7" s="45" t="s">
        <v>1594</v>
      </c>
      <c r="I7" s="43" t="s">
        <v>24</v>
      </c>
      <c r="J7" s="43">
        <v>0</v>
      </c>
      <c r="K7" s="46" t="s">
        <v>1594</v>
      </c>
      <c r="L7" s="43">
        <v>0</v>
      </c>
      <c r="M7" s="43">
        <v>0</v>
      </c>
      <c r="N7" s="45" t="s">
        <v>1594</v>
      </c>
      <c r="O7" s="43" t="s">
        <v>24</v>
      </c>
      <c r="P7" s="43">
        <v>0</v>
      </c>
      <c r="Q7" s="43">
        <v>0</v>
      </c>
      <c r="R7" s="45" t="s">
        <v>1594</v>
      </c>
      <c r="S7" s="44"/>
      <c r="T7" s="31"/>
    </row>
    <row r="8" spans="1:20" ht="15.75" customHeight="1">
      <c r="A8" s="39" t="s">
        <v>1595</v>
      </c>
      <c r="B8" s="40">
        <v>9658218903</v>
      </c>
      <c r="C8" s="45" t="s">
        <v>1594</v>
      </c>
      <c r="D8" s="41">
        <v>0</v>
      </c>
      <c r="E8" s="42" t="s">
        <v>24</v>
      </c>
      <c r="F8" s="45" t="s">
        <v>1594</v>
      </c>
      <c r="G8" s="46" t="s">
        <v>1594</v>
      </c>
      <c r="H8" s="45" t="s">
        <v>1594</v>
      </c>
      <c r="I8" s="43">
        <v>0</v>
      </c>
      <c r="J8" s="43" t="s">
        <v>24</v>
      </c>
      <c r="K8" s="46" t="s">
        <v>1594</v>
      </c>
      <c r="L8" s="43">
        <v>0</v>
      </c>
      <c r="M8" s="43">
        <v>0</v>
      </c>
      <c r="N8" s="45" t="s">
        <v>1594</v>
      </c>
      <c r="O8" s="43">
        <v>0</v>
      </c>
      <c r="P8" s="43" t="s">
        <v>24</v>
      </c>
      <c r="Q8" s="43" t="s">
        <v>24</v>
      </c>
      <c r="R8" s="45" t="s">
        <v>1594</v>
      </c>
      <c r="S8" s="44"/>
      <c r="T8" s="31"/>
    </row>
    <row r="9" spans="1:20" ht="15.75" customHeight="1">
      <c r="A9" s="39" t="s">
        <v>1596</v>
      </c>
      <c r="B9" s="47">
        <v>9658218989</v>
      </c>
      <c r="C9" s="45" t="s">
        <v>1594</v>
      </c>
      <c r="D9" s="48" t="s">
        <v>1594</v>
      </c>
      <c r="E9" s="49" t="s">
        <v>1594</v>
      </c>
      <c r="F9" s="45" t="s">
        <v>1594</v>
      </c>
      <c r="G9" s="46" t="s">
        <v>1594</v>
      </c>
      <c r="H9" s="45" t="s">
        <v>1594</v>
      </c>
      <c r="I9" s="43">
        <v>0</v>
      </c>
      <c r="J9" s="43">
        <v>0</v>
      </c>
      <c r="K9" s="46" t="s">
        <v>1594</v>
      </c>
      <c r="L9" s="43" t="s">
        <v>24</v>
      </c>
      <c r="M9" s="43" t="s">
        <v>24</v>
      </c>
      <c r="N9" s="45" t="s">
        <v>1594</v>
      </c>
      <c r="O9" s="46" t="s">
        <v>1594</v>
      </c>
      <c r="P9" s="46" t="s">
        <v>1594</v>
      </c>
      <c r="Q9" s="46" t="s">
        <v>1594</v>
      </c>
      <c r="R9" s="45" t="s">
        <v>1594</v>
      </c>
      <c r="S9" s="44"/>
      <c r="T9" s="31"/>
    </row>
    <row r="10" spans="1:20" ht="15.75" customHeight="1">
      <c r="A10" s="39" t="s">
        <v>1597</v>
      </c>
      <c r="B10" s="40">
        <v>9658218997</v>
      </c>
      <c r="C10" s="45" t="s">
        <v>1594</v>
      </c>
      <c r="D10" s="48" t="s">
        <v>1594</v>
      </c>
      <c r="E10" s="49" t="s">
        <v>1594</v>
      </c>
      <c r="F10" s="45" t="s">
        <v>1594</v>
      </c>
      <c r="G10" s="46" t="s">
        <v>1594</v>
      </c>
      <c r="H10" s="45" t="s">
        <v>1594</v>
      </c>
      <c r="I10" s="43" t="s">
        <v>24</v>
      </c>
      <c r="J10" s="43" t="s">
        <v>24</v>
      </c>
      <c r="K10" s="46" t="s">
        <v>1594</v>
      </c>
      <c r="L10" s="43">
        <v>0</v>
      </c>
      <c r="M10" s="43">
        <v>0</v>
      </c>
      <c r="N10" s="45" t="s">
        <v>1594</v>
      </c>
      <c r="O10" s="46" t="s">
        <v>1594</v>
      </c>
      <c r="P10" s="46" t="s">
        <v>1594</v>
      </c>
      <c r="Q10" s="46" t="s">
        <v>1594</v>
      </c>
      <c r="R10" s="45" t="s">
        <v>1594</v>
      </c>
      <c r="S10" s="44"/>
      <c r="T10" s="31"/>
    </row>
    <row r="11" spans="1:20" ht="15.75" customHeight="1">
      <c r="A11" s="39" t="s">
        <v>1598</v>
      </c>
      <c r="B11" s="40">
        <v>9658219004</v>
      </c>
      <c r="C11" s="45" t="s">
        <v>1594</v>
      </c>
      <c r="D11" s="48" t="s">
        <v>1594</v>
      </c>
      <c r="E11" s="49" t="s">
        <v>1594</v>
      </c>
      <c r="F11" s="45" t="s">
        <v>1594</v>
      </c>
      <c r="G11" s="46" t="s">
        <v>1594</v>
      </c>
      <c r="H11" s="45" t="s">
        <v>1594</v>
      </c>
      <c r="I11" s="43">
        <v>0</v>
      </c>
      <c r="J11" s="43" t="s">
        <v>24</v>
      </c>
      <c r="K11" s="46" t="s">
        <v>1594</v>
      </c>
      <c r="L11" s="43" t="s">
        <v>24</v>
      </c>
      <c r="M11" s="43" t="s">
        <v>24</v>
      </c>
      <c r="N11" s="45" t="s">
        <v>1594</v>
      </c>
      <c r="O11" s="46" t="s">
        <v>1594</v>
      </c>
      <c r="P11" s="46" t="s">
        <v>1594</v>
      </c>
      <c r="Q11" s="46" t="s">
        <v>1594</v>
      </c>
      <c r="R11" s="45" t="s">
        <v>1594</v>
      </c>
      <c r="S11" s="44"/>
      <c r="T11" s="31"/>
    </row>
    <row r="12" spans="1:20" ht="15.75" customHeight="1">
      <c r="A12" s="39" t="s">
        <v>1599</v>
      </c>
      <c r="B12" s="40">
        <v>9658219012</v>
      </c>
      <c r="C12" s="45" t="s">
        <v>1594</v>
      </c>
      <c r="D12" s="48" t="s">
        <v>1594</v>
      </c>
      <c r="E12" s="49" t="s">
        <v>1594</v>
      </c>
      <c r="F12" s="45" t="s">
        <v>1594</v>
      </c>
      <c r="G12" s="46" t="s">
        <v>1594</v>
      </c>
      <c r="H12" s="45" t="s">
        <v>1594</v>
      </c>
      <c r="I12" s="43" t="s">
        <v>24</v>
      </c>
      <c r="J12" s="43">
        <v>0</v>
      </c>
      <c r="K12" s="46" t="s">
        <v>1594</v>
      </c>
      <c r="L12" s="43" t="s">
        <v>24</v>
      </c>
      <c r="M12" s="43" t="s">
        <v>24</v>
      </c>
      <c r="N12" s="45" t="s">
        <v>1594</v>
      </c>
      <c r="O12" s="46" t="s">
        <v>1594</v>
      </c>
      <c r="P12" s="46" t="s">
        <v>1594</v>
      </c>
      <c r="Q12" s="46" t="s">
        <v>1594</v>
      </c>
      <c r="R12" s="45" t="s">
        <v>1594</v>
      </c>
      <c r="S12" s="44"/>
      <c r="T12" s="31"/>
    </row>
    <row r="13" spans="1:20" ht="15.75" customHeight="1">
      <c r="A13" s="50" t="s">
        <v>1600</v>
      </c>
      <c r="B13" s="40">
        <v>9658220142</v>
      </c>
      <c r="C13" s="40" t="s">
        <v>24</v>
      </c>
      <c r="D13" s="41" t="s">
        <v>24</v>
      </c>
      <c r="E13" s="42" t="s">
        <v>24</v>
      </c>
      <c r="F13" s="40" t="s">
        <v>24</v>
      </c>
      <c r="G13" s="43" t="s">
        <v>24</v>
      </c>
      <c r="H13" s="40" t="s">
        <v>24</v>
      </c>
      <c r="I13" s="43" t="s">
        <v>24</v>
      </c>
      <c r="J13" s="43" t="s">
        <v>24</v>
      </c>
      <c r="K13" s="43" t="s">
        <v>24</v>
      </c>
      <c r="L13" s="43" t="s">
        <v>24</v>
      </c>
      <c r="M13" s="43" t="s">
        <v>24</v>
      </c>
      <c r="N13" s="40" t="s">
        <v>24</v>
      </c>
      <c r="O13" s="43" t="s">
        <v>24</v>
      </c>
      <c r="P13" s="43" t="s">
        <v>24</v>
      </c>
      <c r="Q13" s="43" t="s">
        <v>24</v>
      </c>
      <c r="R13" s="40" t="s">
        <v>24</v>
      </c>
      <c r="S13" s="38" t="s">
        <v>1601</v>
      </c>
      <c r="T13" s="31"/>
    </row>
    <row r="14" spans="1:20" ht="15.75" customHeight="1">
      <c r="A14" s="50" t="s">
        <v>1602</v>
      </c>
      <c r="B14" s="40">
        <v>9658220150</v>
      </c>
      <c r="C14" s="40">
        <v>0</v>
      </c>
      <c r="D14" s="41" t="s">
        <v>24</v>
      </c>
      <c r="E14" s="42">
        <v>0</v>
      </c>
      <c r="F14" s="40">
        <v>0</v>
      </c>
      <c r="G14" s="43" t="s">
        <v>24</v>
      </c>
      <c r="H14" s="40">
        <v>0</v>
      </c>
      <c r="I14" s="43">
        <v>0</v>
      </c>
      <c r="J14" s="43" t="s">
        <v>24</v>
      </c>
      <c r="K14" s="43" t="s">
        <v>24</v>
      </c>
      <c r="L14" s="43">
        <v>0</v>
      </c>
      <c r="M14" s="43">
        <v>0</v>
      </c>
      <c r="N14" s="40">
        <v>0</v>
      </c>
      <c r="O14" s="43" t="s">
        <v>24</v>
      </c>
      <c r="P14" s="46" t="s">
        <v>1594</v>
      </c>
      <c r="Q14" s="46" t="s">
        <v>1594</v>
      </c>
      <c r="R14" s="40" t="s">
        <v>24</v>
      </c>
      <c r="S14" s="38" t="s">
        <v>1601</v>
      </c>
      <c r="T14" s="31"/>
    </row>
    <row r="15" spans="1:20" ht="15.75" customHeight="1">
      <c r="A15" s="50" t="s">
        <v>1603</v>
      </c>
      <c r="B15" s="40">
        <v>9658220223</v>
      </c>
      <c r="C15" s="40" t="s">
        <v>24</v>
      </c>
      <c r="D15" s="41" t="s">
        <v>24</v>
      </c>
      <c r="E15" s="42" t="s">
        <v>24</v>
      </c>
      <c r="F15" s="40" t="s">
        <v>24</v>
      </c>
      <c r="G15" s="43" t="s">
        <v>24</v>
      </c>
      <c r="H15" s="40" t="s">
        <v>24</v>
      </c>
      <c r="I15" s="43" t="s">
        <v>24</v>
      </c>
      <c r="J15" s="43" t="s">
        <v>24</v>
      </c>
      <c r="K15" s="43" t="s">
        <v>24</v>
      </c>
      <c r="L15" s="43" t="s">
        <v>24</v>
      </c>
      <c r="M15" s="43" t="s">
        <v>24</v>
      </c>
      <c r="N15" s="40" t="s">
        <v>24</v>
      </c>
      <c r="O15" s="43" t="s">
        <v>24</v>
      </c>
      <c r="P15" s="43" t="s">
        <v>24</v>
      </c>
      <c r="Q15" s="43" t="s">
        <v>24</v>
      </c>
      <c r="R15" s="40" t="s">
        <v>24</v>
      </c>
      <c r="S15" s="38" t="s">
        <v>1604</v>
      </c>
      <c r="T15" s="31"/>
    </row>
    <row r="16" spans="1:20" ht="15.75" customHeight="1">
      <c r="A16" s="50" t="s">
        <v>1605</v>
      </c>
      <c r="B16" s="40">
        <v>9658220215</v>
      </c>
      <c r="C16" s="40" t="s">
        <v>24</v>
      </c>
      <c r="D16" s="41" t="s">
        <v>24</v>
      </c>
      <c r="E16" s="42" t="s">
        <v>24</v>
      </c>
      <c r="F16" s="40" t="s">
        <v>24</v>
      </c>
      <c r="G16" s="43" t="s">
        <v>24</v>
      </c>
      <c r="H16" s="40" t="s">
        <v>24</v>
      </c>
      <c r="I16" s="43" t="s">
        <v>24</v>
      </c>
      <c r="J16" s="43" t="s">
        <v>24</v>
      </c>
      <c r="K16" s="43" t="s">
        <v>24</v>
      </c>
      <c r="L16" s="43" t="s">
        <v>24</v>
      </c>
      <c r="M16" s="43" t="s">
        <v>24</v>
      </c>
      <c r="N16" s="40" t="s">
        <v>24</v>
      </c>
      <c r="O16" s="43" t="s">
        <v>24</v>
      </c>
      <c r="P16" s="43" t="s">
        <v>24</v>
      </c>
      <c r="Q16" s="43" t="s">
        <v>24</v>
      </c>
      <c r="R16" s="40" t="s">
        <v>24</v>
      </c>
      <c r="S16" s="38" t="s">
        <v>1606</v>
      </c>
      <c r="T16" s="51" t="s">
        <v>1607</v>
      </c>
    </row>
    <row r="17" spans="1:20" ht="15.75" customHeight="1">
      <c r="A17" s="50" t="s">
        <v>1608</v>
      </c>
      <c r="B17" s="40">
        <v>9658219691</v>
      </c>
      <c r="C17" s="40" t="s">
        <v>24</v>
      </c>
      <c r="D17" s="41" t="s">
        <v>24</v>
      </c>
      <c r="E17" s="42" t="s">
        <v>24</v>
      </c>
      <c r="F17" s="40" t="s">
        <v>24</v>
      </c>
      <c r="G17" s="43" t="s">
        <v>24</v>
      </c>
      <c r="H17" s="40" t="s">
        <v>24</v>
      </c>
      <c r="I17" s="43" t="s">
        <v>24</v>
      </c>
      <c r="J17" s="43" t="s">
        <v>24</v>
      </c>
      <c r="K17" s="43" t="s">
        <v>24</v>
      </c>
      <c r="L17" s="43" t="s">
        <v>24</v>
      </c>
      <c r="M17" s="43" t="s">
        <v>24</v>
      </c>
      <c r="N17" s="40" t="s">
        <v>24</v>
      </c>
      <c r="O17" s="43" t="s">
        <v>24</v>
      </c>
      <c r="P17" s="43" t="s">
        <v>24</v>
      </c>
      <c r="Q17" s="43" t="s">
        <v>24</v>
      </c>
      <c r="R17" s="40" t="s">
        <v>24</v>
      </c>
      <c r="S17" s="38" t="s">
        <v>1609</v>
      </c>
      <c r="T17" s="12" t="s">
        <v>1610</v>
      </c>
    </row>
    <row r="18" spans="1:20" ht="15.75" customHeight="1">
      <c r="A18" s="50" t="s">
        <v>1611</v>
      </c>
      <c r="B18" s="40">
        <v>9476718943</v>
      </c>
      <c r="C18" s="40" t="s">
        <v>24</v>
      </c>
      <c r="D18" s="41" t="s">
        <v>24</v>
      </c>
      <c r="E18" s="42" t="s">
        <v>24</v>
      </c>
      <c r="F18" s="40" t="s">
        <v>24</v>
      </c>
      <c r="G18" s="43" t="s">
        <v>24</v>
      </c>
      <c r="H18" s="40" t="s">
        <v>24</v>
      </c>
      <c r="I18" s="43" t="s">
        <v>24</v>
      </c>
      <c r="J18" s="43" t="s">
        <v>24</v>
      </c>
      <c r="K18" s="43" t="s">
        <v>24</v>
      </c>
      <c r="L18" s="43" t="s">
        <v>24</v>
      </c>
      <c r="M18" s="43" t="s">
        <v>24</v>
      </c>
      <c r="N18" s="40" t="s">
        <v>24</v>
      </c>
      <c r="O18" s="43" t="s">
        <v>24</v>
      </c>
      <c r="P18" s="43" t="s">
        <v>24</v>
      </c>
      <c r="Q18" s="43" t="s">
        <v>24</v>
      </c>
      <c r="R18" s="40" t="s">
        <v>24</v>
      </c>
      <c r="S18" s="38" t="s">
        <v>1612</v>
      </c>
      <c r="T18" s="12" t="s">
        <v>1613</v>
      </c>
    </row>
    <row r="19" spans="1:20" ht="15.75" customHeight="1">
      <c r="A19" s="50" t="s">
        <v>1614</v>
      </c>
      <c r="B19" s="40">
        <v>9658220169</v>
      </c>
      <c r="C19" s="40" t="s">
        <v>24</v>
      </c>
      <c r="D19" s="41" t="s">
        <v>24</v>
      </c>
      <c r="E19" s="42" t="s">
        <v>24</v>
      </c>
      <c r="F19" s="40" t="s">
        <v>24</v>
      </c>
      <c r="G19" s="43" t="s">
        <v>24</v>
      </c>
      <c r="H19" s="40" t="s">
        <v>24</v>
      </c>
      <c r="I19" s="43" t="s">
        <v>24</v>
      </c>
      <c r="J19" s="43" t="s">
        <v>24</v>
      </c>
      <c r="K19" s="43" t="s">
        <v>24</v>
      </c>
      <c r="L19" s="43" t="s">
        <v>24</v>
      </c>
      <c r="M19" s="43" t="s">
        <v>24</v>
      </c>
      <c r="N19" s="40" t="s">
        <v>24</v>
      </c>
      <c r="O19" s="43" t="s">
        <v>24</v>
      </c>
      <c r="P19" s="43" t="s">
        <v>24</v>
      </c>
      <c r="Q19" s="43" t="s">
        <v>24</v>
      </c>
      <c r="R19" s="40" t="s">
        <v>24</v>
      </c>
      <c r="S19" s="38" t="s">
        <v>1615</v>
      </c>
      <c r="T19" s="31"/>
    </row>
    <row r="20" spans="1:20" ht="15.75" customHeight="1">
      <c r="A20" s="10"/>
      <c r="B20" s="10"/>
      <c r="C20" s="10"/>
      <c r="D20" s="52"/>
      <c r="E20" s="53"/>
      <c r="F20" s="10"/>
      <c r="G20" s="10"/>
    </row>
    <row r="21" spans="1:20" ht="15.75" customHeight="1">
      <c r="A21" s="10"/>
      <c r="B21" s="10"/>
      <c r="C21" s="10"/>
      <c r="D21" s="52"/>
      <c r="E21" s="53"/>
      <c r="F21" s="10"/>
      <c r="G21" s="10"/>
    </row>
    <row r="22" spans="1:20" ht="15.75" customHeight="1">
      <c r="A22" s="10"/>
      <c r="B22" s="10"/>
      <c r="C22" s="10"/>
      <c r="D22" s="52"/>
      <c r="E22" s="53"/>
      <c r="F22" s="10"/>
      <c r="G22" s="10"/>
    </row>
    <row r="23" spans="1:20" ht="15.75" customHeight="1">
      <c r="A23" s="54" t="s">
        <v>1616</v>
      </c>
      <c r="B23" s="10"/>
      <c r="C23" s="10"/>
      <c r="D23" s="52"/>
      <c r="E23" s="53"/>
      <c r="F23" s="10"/>
      <c r="G23" s="10"/>
    </row>
    <row r="24" spans="1:20" ht="17.25" customHeight="1">
      <c r="A24" s="55" t="s">
        <v>1242</v>
      </c>
      <c r="B24" s="55" t="s">
        <v>1243</v>
      </c>
      <c r="C24" s="55" t="s">
        <v>1244</v>
      </c>
      <c r="D24" s="56" t="s">
        <v>1245</v>
      </c>
      <c r="E24" s="57" t="s">
        <v>1246</v>
      </c>
      <c r="F24" s="55" t="s">
        <v>1247</v>
      </c>
      <c r="G24" s="55" t="s">
        <v>1248</v>
      </c>
      <c r="H24" s="55" t="s">
        <v>1249</v>
      </c>
      <c r="I24" s="55" t="s">
        <v>1250</v>
      </c>
      <c r="J24" s="55" t="s">
        <v>1251</v>
      </c>
      <c r="K24" s="55" t="s">
        <v>1252</v>
      </c>
      <c r="L24" s="55" t="s">
        <v>1253</v>
      </c>
      <c r="M24" s="55" t="s">
        <v>1254</v>
      </c>
      <c r="N24" s="55" t="s">
        <v>1255</v>
      </c>
      <c r="O24" s="55" t="s">
        <v>1256</v>
      </c>
      <c r="P24" s="55" t="s">
        <v>1257</v>
      </c>
      <c r="Q24" s="58" t="s">
        <v>1617</v>
      </c>
    </row>
    <row r="25" spans="1:20" ht="17.25" customHeight="1">
      <c r="A25" s="55">
        <v>9674960007</v>
      </c>
      <c r="B25" s="55" t="s">
        <v>1618</v>
      </c>
      <c r="C25" s="55"/>
      <c r="D25" s="56" t="s">
        <v>1619</v>
      </c>
      <c r="E25" s="57" t="s">
        <v>1620</v>
      </c>
      <c r="F25" s="55" t="s">
        <v>1621</v>
      </c>
      <c r="G25" s="55" t="s">
        <v>1422</v>
      </c>
      <c r="H25" s="55" t="s">
        <v>1285</v>
      </c>
      <c r="I25" s="55"/>
      <c r="J25" s="55" t="s">
        <v>1622</v>
      </c>
      <c r="K25" s="55"/>
      <c r="L25" s="55" t="s">
        <v>1623</v>
      </c>
      <c r="M25" s="55"/>
      <c r="N25" s="55" t="s">
        <v>1624</v>
      </c>
      <c r="O25" s="55"/>
      <c r="P25" s="55" t="s">
        <v>1625</v>
      </c>
      <c r="Q25" s="58" t="s">
        <v>1626</v>
      </c>
    </row>
    <row r="26" spans="1:20" ht="17.25" customHeight="1">
      <c r="A26" s="13">
        <v>9674960015</v>
      </c>
      <c r="B26" s="13" t="s">
        <v>1627</v>
      </c>
      <c r="C26" s="13"/>
      <c r="D26" s="59" t="s">
        <v>1628</v>
      </c>
      <c r="E26" s="60" t="s">
        <v>1629</v>
      </c>
      <c r="F26" s="13" t="s">
        <v>1421</v>
      </c>
      <c r="G26" s="13" t="s">
        <v>1422</v>
      </c>
      <c r="H26" s="13" t="s">
        <v>1285</v>
      </c>
      <c r="I26" s="13"/>
      <c r="J26" s="13" t="s">
        <v>1630</v>
      </c>
      <c r="K26" s="13" t="s">
        <v>1631</v>
      </c>
      <c r="L26" s="13" t="s">
        <v>1623</v>
      </c>
      <c r="M26" s="13" t="s">
        <v>1632</v>
      </c>
      <c r="N26" s="13" t="s">
        <v>1633</v>
      </c>
      <c r="O26" s="13"/>
      <c r="P26" s="13" t="s">
        <v>1625</v>
      </c>
      <c r="Q26" s="61" t="s">
        <v>1634</v>
      </c>
    </row>
    <row r="27" spans="1:20" ht="17.25" customHeight="1">
      <c r="A27" s="13">
        <v>9674960023</v>
      </c>
      <c r="B27" s="13" t="s">
        <v>1635</v>
      </c>
      <c r="C27" s="13"/>
      <c r="D27" s="59" t="s">
        <v>1636</v>
      </c>
      <c r="E27" s="60" t="s">
        <v>1637</v>
      </c>
      <c r="F27" s="13" t="s">
        <v>1638</v>
      </c>
      <c r="G27" s="13" t="s">
        <v>1422</v>
      </c>
      <c r="H27" s="13" t="s">
        <v>1285</v>
      </c>
      <c r="I27" s="13"/>
      <c r="J27" s="13" t="s">
        <v>1639</v>
      </c>
      <c r="K27" s="13"/>
      <c r="L27" s="13" t="s">
        <v>1623</v>
      </c>
      <c r="M27" s="13" t="s">
        <v>1632</v>
      </c>
      <c r="N27" s="13" t="s">
        <v>1640</v>
      </c>
      <c r="O27" s="13"/>
      <c r="P27" s="13" t="s">
        <v>1625</v>
      </c>
      <c r="Q27" s="61" t="s">
        <v>1641</v>
      </c>
    </row>
    <row r="28" spans="1:20" ht="17.25" customHeight="1">
      <c r="A28" s="13">
        <v>9674960031</v>
      </c>
      <c r="B28" s="13" t="s">
        <v>1642</v>
      </c>
      <c r="C28" s="13"/>
      <c r="D28" s="59" t="s">
        <v>1643</v>
      </c>
      <c r="E28" s="60" t="s">
        <v>1644</v>
      </c>
      <c r="F28" s="13" t="s">
        <v>1645</v>
      </c>
      <c r="G28" s="13" t="s">
        <v>1422</v>
      </c>
      <c r="H28" s="13" t="s">
        <v>1285</v>
      </c>
      <c r="I28" s="13"/>
      <c r="J28" s="13" t="s">
        <v>1646</v>
      </c>
      <c r="K28" s="13" t="s">
        <v>1647</v>
      </c>
      <c r="L28" s="13" t="s">
        <v>1648</v>
      </c>
      <c r="M28" s="13"/>
      <c r="N28" s="13" t="s">
        <v>1649</v>
      </c>
      <c r="O28" s="13"/>
      <c r="P28" s="13" t="s">
        <v>1625</v>
      </c>
      <c r="Q28" s="61" t="s">
        <v>1650</v>
      </c>
    </row>
    <row r="29" spans="1:20" ht="17.25" customHeight="1">
      <c r="A29" s="13">
        <v>9674960058</v>
      </c>
      <c r="B29" s="13" t="s">
        <v>1651</v>
      </c>
      <c r="C29" s="13"/>
      <c r="D29" s="59" t="s">
        <v>1652</v>
      </c>
      <c r="E29" s="60" t="s">
        <v>1653</v>
      </c>
      <c r="F29" s="13" t="s">
        <v>1654</v>
      </c>
      <c r="G29" s="13" t="s">
        <v>1422</v>
      </c>
      <c r="H29" s="13" t="s">
        <v>1285</v>
      </c>
      <c r="I29" s="13"/>
      <c r="J29" s="13" t="s">
        <v>1655</v>
      </c>
      <c r="K29" s="13"/>
      <c r="L29" s="13" t="s">
        <v>1648</v>
      </c>
      <c r="M29" s="13"/>
      <c r="N29" s="13" t="s">
        <v>1656</v>
      </c>
      <c r="O29" s="13"/>
      <c r="P29" s="13" t="s">
        <v>1625</v>
      </c>
      <c r="Q29" s="61" t="s">
        <v>1657</v>
      </c>
    </row>
    <row r="30" spans="1:20" ht="17.25" customHeight="1">
      <c r="A30" s="13">
        <v>9674960066</v>
      </c>
      <c r="B30" s="13" t="s">
        <v>1658</v>
      </c>
      <c r="C30" s="13"/>
      <c r="D30" s="59" t="s">
        <v>1659</v>
      </c>
      <c r="E30" s="60" t="s">
        <v>1660</v>
      </c>
      <c r="F30" s="13" t="s">
        <v>1661</v>
      </c>
      <c r="G30" s="13" t="s">
        <v>1422</v>
      </c>
      <c r="H30" s="13" t="s">
        <v>1285</v>
      </c>
      <c r="I30" s="13"/>
      <c r="J30" s="13" t="s">
        <v>1662</v>
      </c>
      <c r="K30" s="13"/>
      <c r="L30" s="13" t="s">
        <v>1623</v>
      </c>
      <c r="M30" s="13" t="s">
        <v>1632</v>
      </c>
      <c r="N30" s="13" t="s">
        <v>1663</v>
      </c>
      <c r="O30" s="13"/>
      <c r="P30" s="13" t="s">
        <v>1625</v>
      </c>
      <c r="Q30" s="61" t="s">
        <v>1664</v>
      </c>
    </row>
    <row r="31" spans="1:20" ht="17.25" customHeight="1">
      <c r="A31" s="13">
        <v>9674960074</v>
      </c>
      <c r="B31" s="13" t="s">
        <v>1665</v>
      </c>
      <c r="C31" s="13"/>
      <c r="D31" s="59" t="s">
        <v>1666</v>
      </c>
      <c r="E31" s="60" t="s">
        <v>1667</v>
      </c>
      <c r="F31" s="13"/>
      <c r="G31" s="13" t="s">
        <v>1422</v>
      </c>
      <c r="H31" s="13" t="s">
        <v>1285</v>
      </c>
      <c r="I31" s="13"/>
      <c r="J31" s="13" t="s">
        <v>1668</v>
      </c>
      <c r="K31" s="13"/>
      <c r="L31" s="13" t="s">
        <v>1623</v>
      </c>
      <c r="M31" s="13" t="s">
        <v>1632</v>
      </c>
      <c r="N31" s="13" t="s">
        <v>1669</v>
      </c>
      <c r="O31" s="13"/>
      <c r="P31" s="13" t="s">
        <v>1625</v>
      </c>
      <c r="Q31" s="61" t="s">
        <v>1670</v>
      </c>
    </row>
    <row r="32" spans="1:20" ht="17.25" customHeight="1">
      <c r="A32" s="13">
        <v>9674960082</v>
      </c>
      <c r="B32" s="13" t="s">
        <v>1671</v>
      </c>
      <c r="C32" s="13"/>
      <c r="D32" s="59" t="s">
        <v>1672</v>
      </c>
      <c r="E32" s="60" t="s">
        <v>1673</v>
      </c>
      <c r="F32" s="13" t="s">
        <v>1674</v>
      </c>
      <c r="G32" s="13" t="s">
        <v>1422</v>
      </c>
      <c r="H32" s="13" t="s">
        <v>1285</v>
      </c>
      <c r="I32" s="13"/>
      <c r="J32" s="13" t="s">
        <v>1675</v>
      </c>
      <c r="K32" s="13" t="s">
        <v>1676</v>
      </c>
      <c r="L32" s="13" t="s">
        <v>1623</v>
      </c>
      <c r="M32" s="13" t="s">
        <v>1632</v>
      </c>
      <c r="N32" s="13" t="s">
        <v>1677</v>
      </c>
      <c r="O32" s="13"/>
      <c r="P32" s="13" t="s">
        <v>1625</v>
      </c>
      <c r="Q32" s="61" t="s">
        <v>1678</v>
      </c>
    </row>
    <row r="33" spans="1:17" ht="17.25" customHeight="1">
      <c r="A33" s="13">
        <v>9674960090</v>
      </c>
      <c r="B33" s="13" t="s">
        <v>1679</v>
      </c>
      <c r="C33" s="13"/>
      <c r="D33" s="59" t="s">
        <v>1680</v>
      </c>
      <c r="E33" s="60" t="s">
        <v>1681</v>
      </c>
      <c r="F33" s="13" t="s">
        <v>1682</v>
      </c>
      <c r="G33" s="13" t="s">
        <v>1422</v>
      </c>
      <c r="H33" s="13" t="s">
        <v>1285</v>
      </c>
      <c r="I33" s="13"/>
      <c r="J33" s="13" t="s">
        <v>1683</v>
      </c>
      <c r="K33" s="13"/>
      <c r="L33" s="13" t="s">
        <v>1623</v>
      </c>
      <c r="M33" s="13" t="s">
        <v>1632</v>
      </c>
      <c r="N33" s="13" t="s">
        <v>1684</v>
      </c>
      <c r="O33" s="13"/>
      <c r="P33" s="13" t="s">
        <v>1625</v>
      </c>
      <c r="Q33" s="61" t="s">
        <v>1685</v>
      </c>
    </row>
    <row r="34" spans="1:17" ht="17.25" customHeight="1">
      <c r="A34" s="13">
        <v>9674960104</v>
      </c>
      <c r="B34" s="13" t="s">
        <v>1686</v>
      </c>
      <c r="C34" s="13"/>
      <c r="D34" s="59" t="s">
        <v>1687</v>
      </c>
      <c r="E34" s="60" t="s">
        <v>1688</v>
      </c>
      <c r="F34" s="13" t="s">
        <v>1689</v>
      </c>
      <c r="G34" s="13" t="s">
        <v>1422</v>
      </c>
      <c r="H34" s="13" t="s">
        <v>1285</v>
      </c>
      <c r="I34" s="13"/>
      <c r="J34" s="13" t="s">
        <v>1690</v>
      </c>
      <c r="K34" s="13" t="s">
        <v>1691</v>
      </c>
      <c r="L34" s="13" t="s">
        <v>1648</v>
      </c>
      <c r="M34" s="13"/>
      <c r="N34" s="13" t="s">
        <v>1692</v>
      </c>
      <c r="O34" s="13"/>
      <c r="P34" s="13" t="s">
        <v>1625</v>
      </c>
      <c r="Q34" s="61" t="s">
        <v>1693</v>
      </c>
    </row>
    <row r="35" spans="1:17" ht="17.25" customHeight="1">
      <c r="A35" s="13">
        <v>9674960112</v>
      </c>
      <c r="B35" s="13" t="s">
        <v>1694</v>
      </c>
      <c r="C35" s="13"/>
      <c r="D35" s="59" t="s">
        <v>1695</v>
      </c>
      <c r="E35" s="60" t="s">
        <v>1348</v>
      </c>
      <c r="F35" s="13"/>
      <c r="G35" s="13" t="s">
        <v>1391</v>
      </c>
      <c r="H35" s="13" t="s">
        <v>1263</v>
      </c>
      <c r="I35" s="13"/>
      <c r="J35" s="13" t="s">
        <v>1696</v>
      </c>
      <c r="K35" s="13"/>
      <c r="L35" s="13" t="s">
        <v>1648</v>
      </c>
      <c r="M35" s="13"/>
      <c r="N35" s="13" t="s">
        <v>1697</v>
      </c>
      <c r="O35" s="13"/>
      <c r="P35" s="13" t="s">
        <v>1625</v>
      </c>
      <c r="Q35" s="61" t="s">
        <v>1698</v>
      </c>
    </row>
    <row r="36" spans="1:17" ht="17.25" customHeight="1">
      <c r="A36" s="13">
        <v>9674960120</v>
      </c>
      <c r="B36" s="13" t="s">
        <v>1699</v>
      </c>
      <c r="C36" s="13"/>
      <c r="D36" s="59" t="s">
        <v>1700</v>
      </c>
      <c r="E36" s="60" t="s">
        <v>1701</v>
      </c>
      <c r="F36" s="13" t="s">
        <v>1702</v>
      </c>
      <c r="G36" s="13" t="s">
        <v>1391</v>
      </c>
      <c r="H36" s="13" t="s">
        <v>1263</v>
      </c>
      <c r="I36" s="13"/>
      <c r="J36" s="13" t="s">
        <v>1703</v>
      </c>
      <c r="K36" s="13"/>
      <c r="L36" s="13" t="s">
        <v>1648</v>
      </c>
      <c r="M36" s="13"/>
      <c r="N36" s="13" t="s">
        <v>1704</v>
      </c>
      <c r="O36" s="13"/>
      <c r="P36" s="13" t="s">
        <v>1625</v>
      </c>
      <c r="Q36" s="61" t="s">
        <v>1705</v>
      </c>
    </row>
    <row r="37" spans="1:17" ht="17.25" customHeight="1">
      <c r="A37" s="13">
        <v>9674960139</v>
      </c>
      <c r="B37" s="13" t="s">
        <v>1706</v>
      </c>
      <c r="C37" s="13"/>
      <c r="D37" s="59" t="s">
        <v>1707</v>
      </c>
      <c r="E37" s="60" t="s">
        <v>1708</v>
      </c>
      <c r="F37" s="13" t="s">
        <v>1709</v>
      </c>
      <c r="G37" s="13" t="s">
        <v>1391</v>
      </c>
      <c r="H37" s="13" t="s">
        <v>1263</v>
      </c>
      <c r="I37" s="13"/>
      <c r="J37" s="13" t="s">
        <v>1710</v>
      </c>
      <c r="K37" s="13"/>
      <c r="L37" s="13" t="s">
        <v>1648</v>
      </c>
      <c r="M37" s="13"/>
      <c r="N37" s="13" t="s">
        <v>1711</v>
      </c>
      <c r="O37" s="13"/>
      <c r="P37" s="13" t="s">
        <v>1625</v>
      </c>
      <c r="Q37" s="61" t="s">
        <v>1712</v>
      </c>
    </row>
    <row r="38" spans="1:17" ht="17.25" customHeight="1">
      <c r="A38" s="13">
        <v>9674960147</v>
      </c>
      <c r="B38" s="13" t="s">
        <v>1713</v>
      </c>
      <c r="C38" s="13"/>
      <c r="D38" s="59" t="s">
        <v>1628</v>
      </c>
      <c r="E38" s="60" t="s">
        <v>1714</v>
      </c>
      <c r="F38" s="13"/>
      <c r="G38" s="13" t="s">
        <v>1262</v>
      </c>
      <c r="H38" s="13" t="s">
        <v>1263</v>
      </c>
      <c r="I38" s="13"/>
      <c r="J38" s="13" t="s">
        <v>1715</v>
      </c>
      <c r="K38" s="13"/>
      <c r="L38" s="13" t="s">
        <v>1648</v>
      </c>
      <c r="M38" s="13"/>
      <c r="N38" s="13" t="s">
        <v>1716</v>
      </c>
      <c r="O38" s="13"/>
      <c r="P38" s="13" t="s">
        <v>1625</v>
      </c>
      <c r="Q38" s="61" t="s">
        <v>1717</v>
      </c>
    </row>
    <row r="39" spans="1:17" ht="17.25" customHeight="1">
      <c r="A39" s="13">
        <v>9674960155</v>
      </c>
      <c r="B39" s="13" t="s">
        <v>1718</v>
      </c>
      <c r="C39" s="13"/>
      <c r="D39" s="59" t="s">
        <v>1719</v>
      </c>
      <c r="E39" s="60" t="s">
        <v>1720</v>
      </c>
      <c r="F39" s="13" t="s">
        <v>1342</v>
      </c>
      <c r="G39" s="13" t="s">
        <v>1262</v>
      </c>
      <c r="H39" s="13" t="s">
        <v>1263</v>
      </c>
      <c r="I39" s="13"/>
      <c r="J39" s="13" t="s">
        <v>1721</v>
      </c>
      <c r="K39" s="13"/>
      <c r="L39" s="13" t="s">
        <v>1623</v>
      </c>
      <c r="M39" s="13" t="s">
        <v>1632</v>
      </c>
      <c r="N39" s="13" t="s">
        <v>1722</v>
      </c>
      <c r="O39" s="13"/>
      <c r="P39" s="13" t="s">
        <v>1625</v>
      </c>
      <c r="Q39" s="61" t="s">
        <v>1723</v>
      </c>
    </row>
    <row r="40" spans="1:17" ht="17.25" customHeight="1">
      <c r="A40" s="13">
        <v>9674961216</v>
      </c>
      <c r="B40" s="13" t="s">
        <v>1724</v>
      </c>
      <c r="C40" s="13"/>
      <c r="D40" s="59" t="s">
        <v>1725</v>
      </c>
      <c r="E40" s="60" t="s">
        <v>1726</v>
      </c>
      <c r="F40" s="13" t="s">
        <v>1727</v>
      </c>
      <c r="G40" s="13" t="s">
        <v>1422</v>
      </c>
      <c r="H40" s="13" t="s">
        <v>1285</v>
      </c>
      <c r="I40" s="13"/>
      <c r="J40" s="13" t="s">
        <v>1728</v>
      </c>
      <c r="K40" s="13"/>
      <c r="L40" s="13" t="s">
        <v>1623</v>
      </c>
      <c r="M40" s="13" t="s">
        <v>1632</v>
      </c>
      <c r="N40" s="13" t="s">
        <v>1729</v>
      </c>
      <c r="O40" s="13" t="s">
        <v>1730</v>
      </c>
      <c r="P40" s="13" t="s">
        <v>1625</v>
      </c>
      <c r="Q40" s="61" t="s">
        <v>1731</v>
      </c>
    </row>
    <row r="41" spans="1:17" ht="17.25" customHeight="1">
      <c r="A41" s="13">
        <v>9674961224</v>
      </c>
      <c r="B41" s="13" t="s">
        <v>1732</v>
      </c>
      <c r="C41" s="13"/>
      <c r="D41" s="59" t="s">
        <v>1733</v>
      </c>
      <c r="E41" s="60" t="s">
        <v>1734</v>
      </c>
      <c r="F41" s="13" t="s">
        <v>1292</v>
      </c>
      <c r="G41" s="13" t="s">
        <v>1422</v>
      </c>
      <c r="H41" s="13" t="s">
        <v>1285</v>
      </c>
      <c r="I41" s="13" t="s">
        <v>1735</v>
      </c>
      <c r="J41" s="13" t="s">
        <v>1736</v>
      </c>
      <c r="K41" s="13"/>
      <c r="L41" s="13" t="s">
        <v>1648</v>
      </c>
      <c r="M41" s="13"/>
      <c r="N41" s="13" t="s">
        <v>1737</v>
      </c>
      <c r="O41" s="13" t="s">
        <v>1738</v>
      </c>
      <c r="P41" s="13" t="s">
        <v>1625</v>
      </c>
      <c r="Q41" s="61" t="s">
        <v>1739</v>
      </c>
    </row>
    <row r="42" spans="1:17" ht="17.25" customHeight="1">
      <c r="A42" s="13">
        <v>9674961267</v>
      </c>
      <c r="B42" s="13" t="s">
        <v>1740</v>
      </c>
      <c r="C42" s="13"/>
      <c r="D42" s="59" t="s">
        <v>1741</v>
      </c>
      <c r="E42" s="60" t="s">
        <v>1742</v>
      </c>
      <c r="F42" s="13" t="s">
        <v>1743</v>
      </c>
      <c r="G42" s="13" t="s">
        <v>1314</v>
      </c>
      <c r="H42" s="13" t="s">
        <v>1263</v>
      </c>
      <c r="I42" s="13"/>
      <c r="J42" s="13" t="s">
        <v>1744</v>
      </c>
      <c r="K42" s="13" t="s">
        <v>1745</v>
      </c>
      <c r="L42" s="13" t="s">
        <v>1746</v>
      </c>
      <c r="M42" s="13" t="s">
        <v>1632</v>
      </c>
      <c r="N42" s="13" t="s">
        <v>1747</v>
      </c>
      <c r="O42" s="13" t="s">
        <v>1748</v>
      </c>
      <c r="P42" s="13" t="s">
        <v>1625</v>
      </c>
      <c r="Q42" s="61" t="s">
        <v>1749</v>
      </c>
    </row>
    <row r="43" spans="1:17" ht="15.75" customHeight="1">
      <c r="A43" s="10"/>
      <c r="B43" s="10"/>
      <c r="C43" s="10"/>
      <c r="D43" s="52"/>
      <c r="E43" s="53"/>
      <c r="F43" s="10"/>
      <c r="G43" s="10"/>
    </row>
    <row r="44" spans="1:17" ht="15.75" customHeight="1">
      <c r="A44" s="10"/>
      <c r="B44" s="10"/>
      <c r="C44" s="10"/>
      <c r="D44" s="52"/>
      <c r="E44" s="53"/>
      <c r="F44" s="10"/>
      <c r="G44" s="10"/>
    </row>
    <row r="45" spans="1:17" ht="15.75" customHeight="1">
      <c r="A45" s="10"/>
      <c r="B45" s="10"/>
      <c r="C45" s="10"/>
      <c r="D45" s="52"/>
      <c r="E45" s="53"/>
      <c r="F45" s="10"/>
      <c r="G45" s="10"/>
    </row>
    <row r="46" spans="1:17" ht="15.75" customHeight="1">
      <c r="A46" s="54" t="s">
        <v>1750</v>
      </c>
      <c r="B46" s="10"/>
      <c r="C46" s="10"/>
      <c r="D46" s="52"/>
      <c r="E46" s="53"/>
      <c r="F46" s="10"/>
      <c r="G46" s="10"/>
    </row>
    <row r="47" spans="1:17" ht="15.75" customHeight="1">
      <c r="A47" s="10" t="s">
        <v>1751</v>
      </c>
      <c r="B47" s="62" t="s">
        <v>1752</v>
      </c>
      <c r="C47" s="10" t="s">
        <v>1753</v>
      </c>
      <c r="D47" s="10" t="s">
        <v>1754</v>
      </c>
    </row>
    <row r="48" spans="1:17" ht="15.75" customHeight="1">
      <c r="A48" s="62" t="s">
        <v>1755</v>
      </c>
      <c r="B48" s="62" t="s">
        <v>1756</v>
      </c>
      <c r="C48" s="10">
        <v>20680</v>
      </c>
      <c r="D48" s="10" t="s">
        <v>1757</v>
      </c>
      <c r="E48" s="10" t="s">
        <v>1758</v>
      </c>
    </row>
    <row r="49" spans="1:5" ht="15.75" customHeight="1">
      <c r="A49" s="62" t="s">
        <v>1759</v>
      </c>
      <c r="B49" s="62" t="s">
        <v>1760</v>
      </c>
      <c r="C49" s="10">
        <v>2216</v>
      </c>
      <c r="D49" s="10" t="s">
        <v>1757</v>
      </c>
      <c r="E49" s="10" t="s">
        <v>1761</v>
      </c>
    </row>
    <row r="50" spans="1:5" ht="15.75" customHeight="1">
      <c r="A50" s="62" t="s">
        <v>1762</v>
      </c>
      <c r="B50" s="62" t="s">
        <v>1763</v>
      </c>
      <c r="C50" s="10">
        <v>40362</v>
      </c>
      <c r="D50" s="10" t="s">
        <v>1757</v>
      </c>
      <c r="E50" s="10" t="s">
        <v>1764</v>
      </c>
    </row>
  </sheetData>
  <mergeCells count="1">
    <mergeCell ref="A2:S2"/>
  </mergeCells>
  <hyperlinks>
    <hyperlink ref="A1" r:id="rId1"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2:V691"/>
  <sheetViews>
    <sheetView workbookViewId="0">
      <pane ySplit="2" topLeftCell="A440" activePane="bottomLeft" state="frozen"/>
      <selection pane="bottomLeft" activeCell="D473" sqref="D473"/>
    </sheetView>
  </sheetViews>
  <sheetFormatPr defaultColWidth="12.5703125" defaultRowHeight="15" customHeight="1"/>
  <cols>
    <col min="1" max="1" width="10.28515625" customWidth="1"/>
    <col min="2" max="2" width="14.85546875" customWidth="1"/>
    <col min="3" max="3" width="17.85546875" customWidth="1"/>
  </cols>
  <sheetData>
    <row r="2" spans="1:22" ht="15.75" customHeight="1">
      <c r="A2" s="63"/>
      <c r="B2" s="64" t="s">
        <v>1765</v>
      </c>
      <c r="C2" s="65" t="s">
        <v>1766</v>
      </c>
      <c r="D2" s="65" t="s">
        <v>1767</v>
      </c>
      <c r="E2" s="65" t="s">
        <v>1768</v>
      </c>
      <c r="F2" s="65"/>
      <c r="G2" s="65" t="s">
        <v>1246</v>
      </c>
      <c r="H2" s="65" t="s">
        <v>1247</v>
      </c>
      <c r="I2" s="65" t="s">
        <v>1245</v>
      </c>
      <c r="J2" s="65" t="s">
        <v>1248</v>
      </c>
      <c r="K2" s="65" t="s">
        <v>1249</v>
      </c>
      <c r="L2" s="65" t="s">
        <v>1769</v>
      </c>
      <c r="M2" s="65" t="s">
        <v>1770</v>
      </c>
      <c r="N2" s="65" t="s">
        <v>1771</v>
      </c>
      <c r="O2" s="65" t="s">
        <v>1772</v>
      </c>
      <c r="P2" s="65" t="s">
        <v>1773</v>
      </c>
      <c r="Q2" s="65" t="s">
        <v>1774</v>
      </c>
      <c r="R2" s="65" t="s">
        <v>1256</v>
      </c>
      <c r="S2" s="65" t="s">
        <v>1775</v>
      </c>
      <c r="T2" s="65" t="s">
        <v>1776</v>
      </c>
      <c r="U2" s="65" t="s">
        <v>1255</v>
      </c>
      <c r="V2" s="65" t="s">
        <v>1777</v>
      </c>
    </row>
    <row r="3" spans="1:22" ht="15.75" customHeight="1">
      <c r="A3" s="66" t="s">
        <v>1778</v>
      </c>
      <c r="B3" s="67" t="e">
        <f t="shared" ref="B3:B257" ca="1" si="0">(NOW()-A3)/365</f>
        <v>#VALUE!</v>
      </c>
      <c r="C3" s="68" t="e">
        <f t="shared" ref="C3:C257" ca="1" si="1">INT(B3) &amp; " years, " &amp; INT((B3-INT(B3))*12) &amp; " months"</f>
        <v>#VALUE!</v>
      </c>
      <c r="D3" s="69">
        <v>9462658110</v>
      </c>
      <c r="E3" s="69">
        <v>201405</v>
      </c>
      <c r="F3" s="70"/>
      <c r="G3" s="70" t="s">
        <v>1779</v>
      </c>
      <c r="H3" s="70" t="s">
        <v>1780</v>
      </c>
      <c r="I3" s="70" t="s">
        <v>1781</v>
      </c>
      <c r="J3" s="70" t="s">
        <v>1422</v>
      </c>
      <c r="K3" s="70" t="s">
        <v>1285</v>
      </c>
      <c r="L3" s="70" t="s">
        <v>1782</v>
      </c>
      <c r="M3" s="70" t="s">
        <v>1783</v>
      </c>
      <c r="N3" s="70"/>
      <c r="O3" s="70" t="s">
        <v>1746</v>
      </c>
      <c r="P3" s="70" t="s">
        <v>1632</v>
      </c>
      <c r="Q3" s="69">
        <v>15746277</v>
      </c>
      <c r="R3" s="70"/>
      <c r="S3" s="70"/>
      <c r="T3" s="70"/>
      <c r="U3" s="70" t="s">
        <v>1784</v>
      </c>
      <c r="V3" s="70" t="s">
        <v>1785</v>
      </c>
    </row>
    <row r="4" spans="1:22" ht="15.75" customHeight="1">
      <c r="A4" s="66">
        <v>329</v>
      </c>
      <c r="B4" s="67">
        <f t="shared" ca="1" si="0"/>
        <v>125.6071333694825</v>
      </c>
      <c r="C4" s="68" t="str">
        <f t="shared" ca="1" si="1"/>
        <v>125 years, 7 months</v>
      </c>
      <c r="D4" s="69">
        <v>9449304173</v>
      </c>
      <c r="E4" s="69">
        <v>19001124</v>
      </c>
      <c r="F4" s="70"/>
      <c r="G4" s="70" t="s">
        <v>1786</v>
      </c>
      <c r="H4" s="70" t="s">
        <v>1787</v>
      </c>
      <c r="I4" s="70" t="s">
        <v>1788</v>
      </c>
      <c r="J4" s="70" t="s">
        <v>1422</v>
      </c>
      <c r="K4" s="70" t="s">
        <v>1285</v>
      </c>
      <c r="L4" s="70" t="s">
        <v>1789</v>
      </c>
      <c r="M4" s="70" t="s">
        <v>1790</v>
      </c>
      <c r="N4" s="70" t="s">
        <v>1791</v>
      </c>
      <c r="O4" s="70" t="s">
        <v>1792</v>
      </c>
      <c r="P4" s="70" t="s">
        <v>1793</v>
      </c>
      <c r="Q4" s="69">
        <v>27126696</v>
      </c>
      <c r="R4" s="70"/>
      <c r="S4" s="70" t="s">
        <v>1794</v>
      </c>
      <c r="T4" s="70"/>
      <c r="U4" s="70" t="s">
        <v>1795</v>
      </c>
      <c r="V4" s="70"/>
    </row>
    <row r="5" spans="1:22" ht="15.75" customHeight="1">
      <c r="A5" s="66">
        <v>359</v>
      </c>
      <c r="B5" s="67">
        <f t="shared" ca="1" si="0"/>
        <v>125.52494158866057</v>
      </c>
      <c r="C5" s="68" t="str">
        <f t="shared" ca="1" si="1"/>
        <v>125 years, 6 months</v>
      </c>
      <c r="D5" s="69">
        <v>9449305188</v>
      </c>
      <c r="E5" s="69">
        <v>19001224</v>
      </c>
      <c r="F5" s="70"/>
      <c r="G5" s="70" t="s">
        <v>1796</v>
      </c>
      <c r="H5" s="70" t="s">
        <v>1797</v>
      </c>
      <c r="I5" s="70" t="s">
        <v>1798</v>
      </c>
      <c r="J5" s="70" t="s">
        <v>1422</v>
      </c>
      <c r="K5" s="70" t="s">
        <v>1285</v>
      </c>
      <c r="L5" s="70"/>
      <c r="M5" s="70" t="s">
        <v>1799</v>
      </c>
      <c r="N5" s="70"/>
      <c r="O5" s="70" t="s">
        <v>1800</v>
      </c>
      <c r="P5" s="70" t="s">
        <v>1793</v>
      </c>
      <c r="Q5" s="69">
        <v>7334736</v>
      </c>
      <c r="R5" s="70"/>
      <c r="S5" s="70" t="s">
        <v>1794</v>
      </c>
      <c r="T5" s="70"/>
      <c r="U5" s="70" t="s">
        <v>1801</v>
      </c>
      <c r="V5" s="70"/>
    </row>
    <row r="6" spans="1:22" ht="15.75" customHeight="1">
      <c r="A6" s="66">
        <v>655</v>
      </c>
      <c r="B6" s="67">
        <f t="shared" ca="1" si="0"/>
        <v>124.71398268455098</v>
      </c>
      <c r="C6" s="68" t="str">
        <f t="shared" ca="1" si="1"/>
        <v>124 years, 8 months</v>
      </c>
      <c r="D6" s="69">
        <v>9449307016</v>
      </c>
      <c r="E6" s="69">
        <v>19011016</v>
      </c>
      <c r="F6" s="70"/>
      <c r="G6" s="70" t="s">
        <v>1802</v>
      </c>
      <c r="H6" s="70" t="s">
        <v>1803</v>
      </c>
      <c r="I6" s="70" t="s">
        <v>1804</v>
      </c>
      <c r="J6" s="70" t="s">
        <v>1422</v>
      </c>
      <c r="K6" s="70" t="s">
        <v>1285</v>
      </c>
      <c r="L6" s="70"/>
      <c r="M6" s="70" t="s">
        <v>1805</v>
      </c>
      <c r="N6" s="70" t="s">
        <v>1806</v>
      </c>
      <c r="O6" s="70" t="s">
        <v>1807</v>
      </c>
      <c r="P6" s="70"/>
      <c r="Q6" s="69">
        <v>7359361</v>
      </c>
      <c r="R6" s="70"/>
      <c r="S6" s="70" t="s">
        <v>1794</v>
      </c>
      <c r="T6" s="70"/>
      <c r="U6" s="70" t="s">
        <v>1808</v>
      </c>
      <c r="V6" s="70"/>
    </row>
    <row r="7" spans="1:22" ht="15.75" customHeight="1">
      <c r="A7" s="66">
        <v>1158</v>
      </c>
      <c r="B7" s="67">
        <f t="shared" ca="1" si="0"/>
        <v>123.33590049277016</v>
      </c>
      <c r="C7" s="68" t="str">
        <f t="shared" ca="1" si="1"/>
        <v>123 years, 4 months</v>
      </c>
      <c r="D7" s="69">
        <v>9449307938</v>
      </c>
      <c r="E7" s="69">
        <v>19030303</v>
      </c>
      <c r="F7" s="70"/>
      <c r="G7" s="70" t="s">
        <v>1809</v>
      </c>
      <c r="H7" s="70"/>
      <c r="I7" s="70" t="s">
        <v>1810</v>
      </c>
      <c r="J7" s="70" t="s">
        <v>1262</v>
      </c>
      <c r="K7" s="70" t="s">
        <v>1263</v>
      </c>
      <c r="L7" s="70"/>
      <c r="M7" s="70" t="s">
        <v>1811</v>
      </c>
      <c r="N7" s="70"/>
      <c r="O7" s="70" t="s">
        <v>1812</v>
      </c>
      <c r="P7" s="70" t="s">
        <v>1793</v>
      </c>
      <c r="Q7" s="69">
        <v>17368026</v>
      </c>
      <c r="R7" s="70"/>
      <c r="S7" s="70" t="s">
        <v>1794</v>
      </c>
      <c r="T7" s="70"/>
      <c r="U7" s="70" t="s">
        <v>1813</v>
      </c>
      <c r="V7" s="70"/>
    </row>
    <row r="8" spans="1:22" ht="15.75" customHeight="1">
      <c r="A8" s="66">
        <v>1404</v>
      </c>
      <c r="B8" s="67">
        <f t="shared" ca="1" si="0"/>
        <v>122.66192789003044</v>
      </c>
      <c r="C8" s="68" t="str">
        <f t="shared" ca="1" si="1"/>
        <v>122 years, 7 months</v>
      </c>
      <c r="D8" s="69">
        <v>9449303568</v>
      </c>
      <c r="E8" s="69">
        <v>19031104</v>
      </c>
      <c r="F8" s="70"/>
      <c r="G8" s="70" t="s">
        <v>1814</v>
      </c>
      <c r="H8" s="70" t="s">
        <v>1815</v>
      </c>
      <c r="I8" s="70" t="s">
        <v>1816</v>
      </c>
      <c r="J8" s="70" t="s">
        <v>1422</v>
      </c>
      <c r="K8" s="70" t="s">
        <v>1285</v>
      </c>
      <c r="L8" s="70"/>
      <c r="M8" s="70" t="s">
        <v>1817</v>
      </c>
      <c r="N8" s="70" t="s">
        <v>1818</v>
      </c>
      <c r="O8" s="70" t="s">
        <v>1819</v>
      </c>
      <c r="P8" s="70" t="s">
        <v>1793</v>
      </c>
      <c r="Q8" s="69">
        <v>7292919</v>
      </c>
      <c r="R8" s="70"/>
      <c r="S8" s="70" t="s">
        <v>1794</v>
      </c>
      <c r="T8" s="70"/>
      <c r="U8" s="70" t="s">
        <v>1820</v>
      </c>
      <c r="V8" s="70"/>
    </row>
    <row r="9" spans="1:22" ht="15.75" customHeight="1">
      <c r="A9" s="66">
        <v>1854</v>
      </c>
      <c r="B9" s="67">
        <f t="shared" ca="1" si="0"/>
        <v>121.42905117770167</v>
      </c>
      <c r="C9" s="68" t="str">
        <f t="shared" ca="1" si="1"/>
        <v>121 years, 5 months</v>
      </c>
      <c r="D9" s="69">
        <v>9449305498</v>
      </c>
      <c r="E9" s="69">
        <v>19050127</v>
      </c>
      <c r="F9" s="70"/>
      <c r="G9" s="70" t="s">
        <v>1821</v>
      </c>
      <c r="H9" s="70"/>
      <c r="I9" s="70" t="s">
        <v>1822</v>
      </c>
      <c r="J9" s="70" t="s">
        <v>1422</v>
      </c>
      <c r="K9" s="70" t="s">
        <v>1285</v>
      </c>
      <c r="L9" s="70"/>
      <c r="M9" s="70" t="s">
        <v>1823</v>
      </c>
      <c r="N9" s="70"/>
      <c r="O9" s="70" t="s">
        <v>1800</v>
      </c>
      <c r="P9" s="70" t="s">
        <v>1793</v>
      </c>
      <c r="Q9" s="69">
        <v>7338915</v>
      </c>
      <c r="R9" s="70"/>
      <c r="S9" s="70" t="s">
        <v>1794</v>
      </c>
      <c r="T9" s="70"/>
      <c r="U9" s="70" t="s">
        <v>1824</v>
      </c>
      <c r="V9" s="70"/>
    </row>
    <row r="10" spans="1:22" ht="15.75" customHeight="1">
      <c r="A10" s="66">
        <v>1858</v>
      </c>
      <c r="B10" s="67">
        <f t="shared" ca="1" si="0"/>
        <v>121.41809227359208</v>
      </c>
      <c r="C10" s="68" t="str">
        <f t="shared" ca="1" si="1"/>
        <v>121 years, 5 months</v>
      </c>
      <c r="D10" s="69">
        <v>9449305625</v>
      </c>
      <c r="E10" s="69">
        <v>19050131</v>
      </c>
      <c r="F10" s="70"/>
      <c r="G10" s="70" t="s">
        <v>1825</v>
      </c>
      <c r="H10" s="70" t="s">
        <v>1826</v>
      </c>
      <c r="I10" s="70" t="s">
        <v>1827</v>
      </c>
      <c r="J10" s="70" t="s">
        <v>1262</v>
      </c>
      <c r="K10" s="70" t="s">
        <v>1263</v>
      </c>
      <c r="L10" s="70"/>
      <c r="M10" s="70" t="s">
        <v>1828</v>
      </c>
      <c r="N10" s="70"/>
      <c r="O10" s="70" t="s">
        <v>1800</v>
      </c>
      <c r="P10" s="70"/>
      <c r="Q10" s="69">
        <v>32601664</v>
      </c>
      <c r="R10" s="70"/>
      <c r="S10" s="70" t="s">
        <v>1794</v>
      </c>
      <c r="T10" s="70"/>
      <c r="U10" s="70" t="s">
        <v>1829</v>
      </c>
      <c r="V10" s="70"/>
    </row>
    <row r="11" spans="1:22" ht="15.75" customHeight="1">
      <c r="A11" s="66">
        <v>1984</v>
      </c>
      <c r="B11" s="67">
        <f t="shared" ca="1" si="0"/>
        <v>121.07288679414003</v>
      </c>
      <c r="C11" s="68" t="str">
        <f t="shared" ca="1" si="1"/>
        <v>121 years, 0 months</v>
      </c>
      <c r="D11" s="69">
        <v>9449310459</v>
      </c>
      <c r="E11" s="69">
        <v>19050606</v>
      </c>
      <c r="F11" s="70"/>
      <c r="G11" s="70" t="s">
        <v>1830</v>
      </c>
      <c r="H11" s="70" t="s">
        <v>1831</v>
      </c>
      <c r="I11" s="70" t="s">
        <v>1832</v>
      </c>
      <c r="J11" s="70" t="s">
        <v>1391</v>
      </c>
      <c r="K11" s="70" t="s">
        <v>1263</v>
      </c>
      <c r="L11" s="70"/>
      <c r="M11" s="70" t="s">
        <v>1833</v>
      </c>
      <c r="N11" s="70"/>
      <c r="O11" s="70" t="s">
        <v>1834</v>
      </c>
      <c r="P11" s="70" t="s">
        <v>1793</v>
      </c>
      <c r="Q11" s="69">
        <v>7358390</v>
      </c>
      <c r="R11" s="70"/>
      <c r="S11" s="70" t="s">
        <v>1794</v>
      </c>
      <c r="T11" s="70"/>
      <c r="U11" s="70" t="s">
        <v>1835</v>
      </c>
      <c r="V11" s="70"/>
    </row>
    <row r="12" spans="1:22" ht="15.75" customHeight="1">
      <c r="A12" s="66">
        <v>2192</v>
      </c>
      <c r="B12" s="67">
        <f t="shared" ca="1" si="0"/>
        <v>120.5030237804414</v>
      </c>
      <c r="C12" s="68" t="str">
        <f t="shared" ca="1" si="1"/>
        <v>120 years, 6 months</v>
      </c>
      <c r="D12" s="69">
        <v>9449307954</v>
      </c>
      <c r="E12" s="69">
        <v>19051231</v>
      </c>
      <c r="F12" s="70"/>
      <c r="G12" s="70" t="s">
        <v>1836</v>
      </c>
      <c r="H12" s="70" t="s">
        <v>1837</v>
      </c>
      <c r="I12" s="70" t="s">
        <v>1838</v>
      </c>
      <c r="J12" s="70" t="s">
        <v>1391</v>
      </c>
      <c r="K12" s="70" t="s">
        <v>1263</v>
      </c>
      <c r="L12" s="70" t="s">
        <v>1839</v>
      </c>
      <c r="M12" s="70" t="s">
        <v>1840</v>
      </c>
      <c r="N12" s="70"/>
      <c r="O12" s="70" t="s">
        <v>1812</v>
      </c>
      <c r="P12" s="70" t="s">
        <v>1793</v>
      </c>
      <c r="Q12" s="69">
        <v>21405703</v>
      </c>
      <c r="R12" s="70"/>
      <c r="S12" s="70" t="s">
        <v>1794</v>
      </c>
      <c r="T12" s="70"/>
      <c r="U12" s="70" t="s">
        <v>1841</v>
      </c>
      <c r="V12" s="70"/>
    </row>
    <row r="13" spans="1:22" ht="15.75" customHeight="1">
      <c r="A13" s="66">
        <v>3016</v>
      </c>
      <c r="B13" s="67">
        <f t="shared" ca="1" si="0"/>
        <v>118.24548953386605</v>
      </c>
      <c r="C13" s="68" t="str">
        <f t="shared" ca="1" si="1"/>
        <v>118 years, 2 months</v>
      </c>
      <c r="D13" s="69">
        <v>9449310394</v>
      </c>
      <c r="E13" s="69">
        <v>19080403</v>
      </c>
      <c r="F13" s="70"/>
      <c r="G13" s="70" t="s">
        <v>1842</v>
      </c>
      <c r="H13" s="70"/>
      <c r="I13" s="70" t="s">
        <v>1843</v>
      </c>
      <c r="J13" s="70" t="s">
        <v>1422</v>
      </c>
      <c r="K13" s="70" t="s">
        <v>1285</v>
      </c>
      <c r="L13" s="70"/>
      <c r="M13" s="70" t="s">
        <v>1844</v>
      </c>
      <c r="N13" s="70"/>
      <c r="O13" s="70" t="s">
        <v>1845</v>
      </c>
      <c r="P13" s="70"/>
      <c r="Q13" s="69">
        <v>3035347</v>
      </c>
      <c r="R13" s="70"/>
      <c r="S13" s="70" t="s">
        <v>1794</v>
      </c>
      <c r="T13" s="70"/>
      <c r="U13" s="70" t="s">
        <v>1846</v>
      </c>
      <c r="V13" s="70"/>
    </row>
    <row r="14" spans="1:22" ht="15.75" customHeight="1">
      <c r="A14" s="66">
        <v>3332</v>
      </c>
      <c r="B14" s="67">
        <f t="shared" ca="1" si="0"/>
        <v>117.37973610920852</v>
      </c>
      <c r="C14" s="68" t="str">
        <f t="shared" ca="1" si="1"/>
        <v>117 years, 4 months</v>
      </c>
      <c r="D14" s="69">
        <v>9449310564</v>
      </c>
      <c r="E14" s="69">
        <v>19090213</v>
      </c>
      <c r="F14" s="69">
        <v>20100101</v>
      </c>
      <c r="G14" s="70" t="s">
        <v>1847</v>
      </c>
      <c r="H14" s="70" t="s">
        <v>1848</v>
      </c>
      <c r="I14" s="70" t="s">
        <v>1849</v>
      </c>
      <c r="J14" s="70" t="s">
        <v>1262</v>
      </c>
      <c r="K14" s="70" t="s">
        <v>1263</v>
      </c>
      <c r="L14" s="70" t="s">
        <v>1850</v>
      </c>
      <c r="M14" s="70" t="s">
        <v>1851</v>
      </c>
      <c r="N14" s="70"/>
      <c r="O14" s="70" t="s">
        <v>1807</v>
      </c>
      <c r="P14" s="70"/>
      <c r="Q14" s="69">
        <v>31721642</v>
      </c>
      <c r="R14" s="70"/>
      <c r="S14" s="70" t="s">
        <v>1794</v>
      </c>
      <c r="T14" s="70"/>
      <c r="U14" s="70" t="s">
        <v>1852</v>
      </c>
      <c r="V14" s="70"/>
    </row>
    <row r="15" spans="1:22" ht="15.75" customHeight="1">
      <c r="A15" s="66">
        <v>3389</v>
      </c>
      <c r="B15" s="67">
        <f t="shared" ca="1" si="0"/>
        <v>117.22357172564688</v>
      </c>
      <c r="C15" s="68" t="str">
        <f t="shared" ca="1" si="1"/>
        <v>117 years, 2 months</v>
      </c>
      <c r="D15" s="69">
        <v>9449304580</v>
      </c>
      <c r="E15" s="69">
        <v>19090411</v>
      </c>
      <c r="F15" s="70"/>
      <c r="G15" s="70" t="s">
        <v>1853</v>
      </c>
      <c r="H15" s="70" t="s">
        <v>1854</v>
      </c>
      <c r="I15" s="70" t="s">
        <v>1855</v>
      </c>
      <c r="J15" s="70" t="s">
        <v>1314</v>
      </c>
      <c r="K15" s="70" t="s">
        <v>1263</v>
      </c>
      <c r="L15" s="70"/>
      <c r="M15" s="70" t="s">
        <v>1856</v>
      </c>
      <c r="N15" s="70"/>
      <c r="O15" s="70" t="s">
        <v>1800</v>
      </c>
      <c r="P15" s="70" t="s">
        <v>1793</v>
      </c>
      <c r="Q15" s="69">
        <v>7329310</v>
      </c>
      <c r="R15" s="70"/>
      <c r="S15" s="70" t="s">
        <v>1794</v>
      </c>
      <c r="T15" s="70"/>
      <c r="U15" s="70" t="s">
        <v>1857</v>
      </c>
      <c r="V15" s="70"/>
    </row>
    <row r="16" spans="1:22" ht="15.75" customHeight="1">
      <c r="A16" s="66">
        <v>4511</v>
      </c>
      <c r="B16" s="67">
        <f t="shared" ca="1" si="0"/>
        <v>114.14959912290715</v>
      </c>
      <c r="C16" s="68" t="str">
        <f t="shared" ca="1" si="1"/>
        <v>114 years, 1 months</v>
      </c>
      <c r="D16" s="69">
        <v>9449309183</v>
      </c>
      <c r="E16" s="69">
        <v>19120507</v>
      </c>
      <c r="F16" s="70"/>
      <c r="G16" s="70" t="s">
        <v>1858</v>
      </c>
      <c r="H16" s="70"/>
      <c r="I16" s="70" t="s">
        <v>1859</v>
      </c>
      <c r="J16" s="70" t="s">
        <v>1422</v>
      </c>
      <c r="K16" s="70" t="s">
        <v>1285</v>
      </c>
      <c r="L16" s="70"/>
      <c r="M16" s="70" t="s">
        <v>1860</v>
      </c>
      <c r="N16" s="70" t="s">
        <v>1861</v>
      </c>
      <c r="O16" s="70" t="s">
        <v>1862</v>
      </c>
      <c r="P16" s="70" t="s">
        <v>1793</v>
      </c>
      <c r="Q16" s="69">
        <v>22575198</v>
      </c>
      <c r="R16" s="70"/>
      <c r="S16" s="70" t="s">
        <v>1794</v>
      </c>
      <c r="T16" s="70"/>
      <c r="U16" s="70" t="s">
        <v>1863</v>
      </c>
      <c r="V16" s="70"/>
    </row>
    <row r="17" spans="1:22" ht="15.75" customHeight="1">
      <c r="A17" s="66">
        <v>4527</v>
      </c>
      <c r="B17" s="67">
        <f t="shared" ca="1" si="0"/>
        <v>114.10576350646879</v>
      </c>
      <c r="C17" s="68" t="str">
        <f t="shared" ca="1" si="1"/>
        <v>114 years, 1 months</v>
      </c>
      <c r="D17" s="69">
        <v>9449308772</v>
      </c>
      <c r="E17" s="69">
        <v>19120523</v>
      </c>
      <c r="F17" s="70"/>
      <c r="G17" s="70" t="s">
        <v>1864</v>
      </c>
      <c r="H17" s="70" t="s">
        <v>1865</v>
      </c>
      <c r="I17" s="70" t="s">
        <v>1866</v>
      </c>
      <c r="J17" s="70" t="s">
        <v>1422</v>
      </c>
      <c r="K17" s="70" t="s">
        <v>1285</v>
      </c>
      <c r="L17" s="70" t="s">
        <v>1867</v>
      </c>
      <c r="M17" s="70" t="s">
        <v>1868</v>
      </c>
      <c r="N17" s="70"/>
      <c r="O17" s="70" t="s">
        <v>1862</v>
      </c>
      <c r="P17" s="70"/>
      <c r="Q17" s="69">
        <v>18356544</v>
      </c>
      <c r="R17" s="70"/>
      <c r="S17" s="70" t="s">
        <v>1794</v>
      </c>
      <c r="T17" s="70"/>
      <c r="U17" s="70" t="s">
        <v>1869</v>
      </c>
      <c r="V17" s="70"/>
    </row>
    <row r="18" spans="1:22" ht="15.75" customHeight="1">
      <c r="A18" s="66">
        <v>5123</v>
      </c>
      <c r="B18" s="67">
        <f t="shared" ca="1" si="0"/>
        <v>112.47288679414002</v>
      </c>
      <c r="C18" s="68" t="str">
        <f t="shared" ca="1" si="1"/>
        <v>112 years, 5 months</v>
      </c>
      <c r="D18" s="69">
        <v>9449304505</v>
      </c>
      <c r="E18" s="69">
        <v>19140109</v>
      </c>
      <c r="F18" s="70"/>
      <c r="G18" s="70" t="s">
        <v>1870</v>
      </c>
      <c r="H18" s="70"/>
      <c r="I18" s="70" t="s">
        <v>1871</v>
      </c>
      <c r="J18" s="70" t="s">
        <v>1262</v>
      </c>
      <c r="K18" s="70" t="s">
        <v>1263</v>
      </c>
      <c r="L18" s="70" t="s">
        <v>1872</v>
      </c>
      <c r="M18" s="70" t="s">
        <v>1873</v>
      </c>
      <c r="N18" s="70" t="s">
        <v>1874</v>
      </c>
      <c r="O18" s="70" t="s">
        <v>1800</v>
      </c>
      <c r="P18" s="70" t="s">
        <v>1793</v>
      </c>
      <c r="Q18" s="69">
        <v>17348643</v>
      </c>
      <c r="R18" s="70"/>
      <c r="S18" s="70" t="s">
        <v>1794</v>
      </c>
      <c r="T18" s="70"/>
      <c r="U18" s="70" t="s">
        <v>1875</v>
      </c>
      <c r="V18" s="70"/>
    </row>
    <row r="19" spans="1:22" ht="15.75" customHeight="1">
      <c r="A19" s="66">
        <v>5275</v>
      </c>
      <c r="B19" s="67">
        <f t="shared" ca="1" si="0"/>
        <v>112.05644843797565</v>
      </c>
      <c r="C19" s="68" t="str">
        <f t="shared" ca="1" si="1"/>
        <v>112 years, 0 months</v>
      </c>
      <c r="D19" s="69">
        <v>9449307881</v>
      </c>
      <c r="E19" s="69">
        <v>19140610</v>
      </c>
      <c r="F19" s="70"/>
      <c r="G19" s="70" t="s">
        <v>1876</v>
      </c>
      <c r="H19" s="70" t="s">
        <v>1877</v>
      </c>
      <c r="I19" s="70" t="s">
        <v>1878</v>
      </c>
      <c r="J19" s="70" t="s">
        <v>1422</v>
      </c>
      <c r="K19" s="70" t="s">
        <v>1285</v>
      </c>
      <c r="L19" s="70" t="s">
        <v>1879</v>
      </c>
      <c r="M19" s="70" t="s">
        <v>1880</v>
      </c>
      <c r="N19" s="70"/>
      <c r="O19" s="70" t="s">
        <v>1812</v>
      </c>
      <c r="P19" s="70" t="s">
        <v>1793</v>
      </c>
      <c r="Q19" s="69">
        <v>28145660</v>
      </c>
      <c r="R19" s="70"/>
      <c r="S19" s="70" t="s">
        <v>1794</v>
      </c>
      <c r="T19" s="70"/>
      <c r="U19" s="70" t="s">
        <v>1881</v>
      </c>
      <c r="V19" s="70"/>
    </row>
    <row r="20" spans="1:22" ht="15.75" customHeight="1">
      <c r="A20" s="66">
        <v>5324</v>
      </c>
      <c r="B20" s="67">
        <f t="shared" ca="1" si="0"/>
        <v>111.92220186263317</v>
      </c>
      <c r="C20" s="68" t="str">
        <f t="shared" ca="1" si="1"/>
        <v>111 years, 11 months</v>
      </c>
      <c r="D20" s="69">
        <v>9449309965</v>
      </c>
      <c r="E20" s="69">
        <v>19140729</v>
      </c>
      <c r="F20" s="70"/>
      <c r="G20" s="70" t="s">
        <v>1882</v>
      </c>
      <c r="H20" s="70"/>
      <c r="I20" s="70" t="s">
        <v>1883</v>
      </c>
      <c r="J20" s="70" t="s">
        <v>1422</v>
      </c>
      <c r="K20" s="70" t="s">
        <v>1285</v>
      </c>
      <c r="L20" s="70" t="s">
        <v>1884</v>
      </c>
      <c r="M20" s="70" t="s">
        <v>1885</v>
      </c>
      <c r="N20" s="70"/>
      <c r="O20" s="70" t="s">
        <v>1886</v>
      </c>
      <c r="P20" s="70" t="s">
        <v>1793</v>
      </c>
      <c r="Q20" s="69">
        <v>18811664</v>
      </c>
      <c r="R20" s="70"/>
      <c r="S20" s="70" t="s">
        <v>1794</v>
      </c>
      <c r="T20" s="70"/>
      <c r="U20" s="70" t="s">
        <v>1887</v>
      </c>
      <c r="V20" s="70"/>
    </row>
    <row r="21" spans="1:22" ht="15.75" customHeight="1">
      <c r="A21" s="66">
        <v>5904</v>
      </c>
      <c r="B21" s="67">
        <f t="shared" ca="1" si="0"/>
        <v>110.33316076674276</v>
      </c>
      <c r="C21" s="68" t="str">
        <f t="shared" ca="1" si="1"/>
        <v>110 years, 3 months</v>
      </c>
      <c r="D21" s="69">
        <v>9449308888</v>
      </c>
      <c r="E21" s="69">
        <v>19160229</v>
      </c>
      <c r="F21" s="70"/>
      <c r="G21" s="70" t="s">
        <v>1888</v>
      </c>
      <c r="H21" s="70"/>
      <c r="I21" s="70" t="s">
        <v>1889</v>
      </c>
      <c r="J21" s="70" t="s">
        <v>1422</v>
      </c>
      <c r="K21" s="70" t="s">
        <v>1285</v>
      </c>
      <c r="L21" s="70"/>
      <c r="M21" s="70" t="s">
        <v>1890</v>
      </c>
      <c r="N21" s="70"/>
      <c r="O21" s="70" t="s">
        <v>1862</v>
      </c>
      <c r="P21" s="70" t="s">
        <v>1793</v>
      </c>
      <c r="Q21" s="69">
        <v>9572274</v>
      </c>
      <c r="R21" s="70"/>
      <c r="S21" s="70" t="s">
        <v>1794</v>
      </c>
      <c r="T21" s="70"/>
      <c r="U21" s="70" t="s">
        <v>1891</v>
      </c>
      <c r="V21" s="70"/>
    </row>
    <row r="22" spans="1:22" ht="15.75" customHeight="1">
      <c r="A22" s="66">
        <v>5912</v>
      </c>
      <c r="B22" s="67">
        <f t="shared" ca="1" si="0"/>
        <v>110.31124295852359</v>
      </c>
      <c r="C22" s="68" t="str">
        <f t="shared" ca="1" si="1"/>
        <v>110 years, 3 months</v>
      </c>
      <c r="D22" s="69">
        <v>9449309825</v>
      </c>
      <c r="E22" s="69">
        <v>19160308</v>
      </c>
      <c r="F22" s="70"/>
      <c r="G22" s="70" t="s">
        <v>1892</v>
      </c>
      <c r="H22" s="70"/>
      <c r="I22" s="70" t="s">
        <v>1893</v>
      </c>
      <c r="J22" s="70" t="s">
        <v>1391</v>
      </c>
      <c r="K22" s="70" t="s">
        <v>1263</v>
      </c>
      <c r="L22" s="70"/>
      <c r="M22" s="70" t="s">
        <v>1894</v>
      </c>
      <c r="N22" s="70"/>
      <c r="O22" s="70" t="s">
        <v>1886</v>
      </c>
      <c r="P22" s="70" t="s">
        <v>1793</v>
      </c>
      <c r="Q22" s="69">
        <v>23867315</v>
      </c>
      <c r="R22" s="70"/>
      <c r="S22" s="70" t="s">
        <v>1794</v>
      </c>
      <c r="T22" s="70"/>
      <c r="U22" s="70" t="s">
        <v>1895</v>
      </c>
      <c r="V22" s="70"/>
    </row>
    <row r="23" spans="1:22" ht="15.75" customHeight="1">
      <c r="A23" s="66">
        <v>6006</v>
      </c>
      <c r="B23" s="67">
        <f t="shared" ca="1" si="0"/>
        <v>110.05370871194825</v>
      </c>
      <c r="C23" s="68" t="str">
        <f t="shared" ca="1" si="1"/>
        <v>110 years, 0 months</v>
      </c>
      <c r="D23" s="69">
        <v>9449307261</v>
      </c>
      <c r="E23" s="69">
        <v>19160610</v>
      </c>
      <c r="F23" s="70"/>
      <c r="G23" s="70" t="s">
        <v>1896</v>
      </c>
      <c r="H23" s="70" t="s">
        <v>1897</v>
      </c>
      <c r="I23" s="70" t="s">
        <v>1898</v>
      </c>
      <c r="J23" s="70" t="s">
        <v>1314</v>
      </c>
      <c r="K23" s="70" t="s">
        <v>1263</v>
      </c>
      <c r="L23" s="70" t="s">
        <v>1899</v>
      </c>
      <c r="M23" s="70" t="s">
        <v>1900</v>
      </c>
      <c r="N23" s="70"/>
      <c r="O23" s="70" t="s">
        <v>1807</v>
      </c>
      <c r="P23" s="70" t="s">
        <v>1793</v>
      </c>
      <c r="Q23" s="69">
        <v>20170841</v>
      </c>
      <c r="R23" s="70"/>
      <c r="S23" s="70" t="s">
        <v>1794</v>
      </c>
      <c r="T23" s="70"/>
      <c r="U23" s="70" t="s">
        <v>1901</v>
      </c>
      <c r="V23" s="70"/>
    </row>
    <row r="24" spans="1:22" ht="15.75" customHeight="1">
      <c r="A24" s="66">
        <v>6397</v>
      </c>
      <c r="B24" s="67">
        <f t="shared" ca="1" si="0"/>
        <v>108.98247583523592</v>
      </c>
      <c r="C24" s="68" t="str">
        <f t="shared" ca="1" si="1"/>
        <v>108 years, 11 months</v>
      </c>
      <c r="D24" s="69">
        <v>9449306087</v>
      </c>
      <c r="E24" s="69">
        <v>19170706</v>
      </c>
      <c r="F24" s="70"/>
      <c r="G24" s="70" t="s">
        <v>1902</v>
      </c>
      <c r="H24" s="70" t="s">
        <v>1903</v>
      </c>
      <c r="I24" s="70" t="s">
        <v>1904</v>
      </c>
      <c r="J24" s="70" t="s">
        <v>1422</v>
      </c>
      <c r="K24" s="70" t="s">
        <v>1285</v>
      </c>
      <c r="L24" s="70"/>
      <c r="M24" s="70" t="s">
        <v>1905</v>
      </c>
      <c r="N24" s="70"/>
      <c r="O24" s="70" t="s">
        <v>1906</v>
      </c>
      <c r="P24" s="70" t="s">
        <v>1793</v>
      </c>
      <c r="Q24" s="69">
        <v>27266613</v>
      </c>
      <c r="R24" s="70"/>
      <c r="S24" s="70" t="s">
        <v>1794</v>
      </c>
      <c r="T24" s="70"/>
      <c r="U24" s="70" t="s">
        <v>1907</v>
      </c>
      <c r="V24" s="70"/>
    </row>
    <row r="25" spans="1:22" ht="15.75" customHeight="1">
      <c r="A25" s="66">
        <v>6570</v>
      </c>
      <c r="B25" s="67">
        <f t="shared" ca="1" si="0"/>
        <v>108.5085032324962</v>
      </c>
      <c r="C25" s="68" t="str">
        <f t="shared" ca="1" si="1"/>
        <v>108 years, 6 months</v>
      </c>
      <c r="D25" s="69">
        <v>9449307962</v>
      </c>
      <c r="E25" s="69">
        <v>19171226</v>
      </c>
      <c r="F25" s="70"/>
      <c r="G25" s="70" t="s">
        <v>1908</v>
      </c>
      <c r="H25" s="70" t="s">
        <v>1909</v>
      </c>
      <c r="I25" s="70" t="s">
        <v>1910</v>
      </c>
      <c r="J25" s="70" t="s">
        <v>1391</v>
      </c>
      <c r="K25" s="70" t="s">
        <v>1263</v>
      </c>
      <c r="L25" s="70" t="s">
        <v>1911</v>
      </c>
      <c r="M25" s="70" t="s">
        <v>1880</v>
      </c>
      <c r="N25" s="70"/>
      <c r="O25" s="70" t="s">
        <v>1812</v>
      </c>
      <c r="P25" s="70" t="s">
        <v>1793</v>
      </c>
      <c r="Q25" s="69">
        <v>24459497</v>
      </c>
      <c r="R25" s="70"/>
      <c r="S25" s="70" t="s">
        <v>1794</v>
      </c>
      <c r="T25" s="70"/>
      <c r="U25" s="70" t="s">
        <v>1912</v>
      </c>
      <c r="V25" s="70"/>
    </row>
    <row r="26" spans="1:22" ht="15.75" customHeight="1">
      <c r="A26" s="66">
        <v>6623</v>
      </c>
      <c r="B26" s="67">
        <f t="shared" ca="1" si="0"/>
        <v>108.36329775304414</v>
      </c>
      <c r="C26" s="68" t="str">
        <f t="shared" ca="1" si="1"/>
        <v>108 years, 4 months</v>
      </c>
      <c r="D26" s="69">
        <v>9449310394</v>
      </c>
      <c r="E26" s="69">
        <v>19180217</v>
      </c>
      <c r="F26" s="70"/>
      <c r="G26" s="70" t="s">
        <v>1913</v>
      </c>
      <c r="H26" s="70" t="s">
        <v>1914</v>
      </c>
      <c r="I26" s="70" t="s">
        <v>1915</v>
      </c>
      <c r="J26" s="70" t="s">
        <v>1422</v>
      </c>
      <c r="K26" s="70" t="s">
        <v>1285</v>
      </c>
      <c r="L26" s="70" t="s">
        <v>1916</v>
      </c>
      <c r="M26" s="70" t="s">
        <v>1917</v>
      </c>
      <c r="N26" s="70" t="s">
        <v>1918</v>
      </c>
      <c r="O26" s="70" t="s">
        <v>1862</v>
      </c>
      <c r="P26" s="70"/>
      <c r="Q26" s="69">
        <v>18358644</v>
      </c>
      <c r="R26" s="70"/>
      <c r="S26" s="70" t="s">
        <v>1794</v>
      </c>
      <c r="T26" s="70"/>
      <c r="U26" s="70" t="s">
        <v>1919</v>
      </c>
      <c r="V26" s="70"/>
    </row>
    <row r="27" spans="1:22" ht="15.75" customHeight="1">
      <c r="A27" s="66">
        <v>6812</v>
      </c>
      <c r="B27" s="67">
        <f t="shared" ca="1" si="0"/>
        <v>107.84548953386606</v>
      </c>
      <c r="C27" s="68" t="str">
        <f t="shared" ca="1" si="1"/>
        <v>107 years, 10 months</v>
      </c>
      <c r="D27" s="69">
        <v>9449306230</v>
      </c>
      <c r="E27" s="69">
        <v>19180825</v>
      </c>
      <c r="F27" s="70"/>
      <c r="G27" s="70" t="s">
        <v>1920</v>
      </c>
      <c r="H27" s="70"/>
      <c r="I27" s="70" t="s">
        <v>1921</v>
      </c>
      <c r="J27" s="70" t="s">
        <v>1422</v>
      </c>
      <c r="K27" s="70" t="s">
        <v>1285</v>
      </c>
      <c r="L27" s="70"/>
      <c r="M27" s="70" t="s">
        <v>1922</v>
      </c>
      <c r="N27" s="70"/>
      <c r="O27" s="70" t="s">
        <v>1906</v>
      </c>
      <c r="P27" s="70" t="s">
        <v>1793</v>
      </c>
      <c r="Q27" s="69">
        <v>7354679</v>
      </c>
      <c r="R27" s="70"/>
      <c r="S27" s="70" t="s">
        <v>1794</v>
      </c>
      <c r="T27" s="70"/>
      <c r="U27" s="70" t="s">
        <v>1923</v>
      </c>
      <c r="V27" s="70"/>
    </row>
    <row r="28" spans="1:22" ht="15.75" customHeight="1">
      <c r="A28" s="66">
        <v>6826</v>
      </c>
      <c r="B28" s="67">
        <f t="shared" ca="1" si="0"/>
        <v>107.80713336948249</v>
      </c>
      <c r="C28" s="68" t="str">
        <f t="shared" ca="1" si="1"/>
        <v>107 years, 9 months</v>
      </c>
      <c r="D28" s="69">
        <v>9449307105</v>
      </c>
      <c r="E28" s="69">
        <v>19180908</v>
      </c>
      <c r="F28" s="70"/>
      <c r="G28" s="70" t="s">
        <v>1924</v>
      </c>
      <c r="H28" s="70" t="s">
        <v>1925</v>
      </c>
      <c r="I28" s="70" t="s">
        <v>1926</v>
      </c>
      <c r="J28" s="70" t="s">
        <v>1262</v>
      </c>
      <c r="K28" s="70" t="s">
        <v>1263</v>
      </c>
      <c r="L28" s="70" t="s">
        <v>1927</v>
      </c>
      <c r="M28" s="70" t="s">
        <v>1928</v>
      </c>
      <c r="N28" s="70"/>
      <c r="O28" s="70" t="s">
        <v>1807</v>
      </c>
      <c r="P28" s="70"/>
      <c r="Q28" s="69">
        <v>7360565</v>
      </c>
      <c r="R28" s="70"/>
      <c r="S28" s="70" t="s">
        <v>1794</v>
      </c>
      <c r="T28" s="70"/>
      <c r="U28" s="70" t="s">
        <v>1929</v>
      </c>
      <c r="V28" s="70"/>
    </row>
    <row r="29" spans="1:22" ht="15.75" customHeight="1">
      <c r="A29" s="66">
        <v>7520</v>
      </c>
      <c r="B29" s="67">
        <f t="shared" ca="1" si="0"/>
        <v>105.90576350646879</v>
      </c>
      <c r="C29" s="68" t="str">
        <f t="shared" ca="1" si="1"/>
        <v>105 years, 10 months</v>
      </c>
      <c r="D29" s="69">
        <v>9449304572</v>
      </c>
      <c r="E29" s="69">
        <v>19200802</v>
      </c>
      <c r="F29" s="70"/>
      <c r="G29" s="70" t="s">
        <v>1930</v>
      </c>
      <c r="H29" s="70"/>
      <c r="I29" s="70" t="s">
        <v>1931</v>
      </c>
      <c r="J29" s="70" t="s">
        <v>1391</v>
      </c>
      <c r="K29" s="70" t="s">
        <v>1932</v>
      </c>
      <c r="L29" s="70"/>
      <c r="M29" s="70" t="s">
        <v>1933</v>
      </c>
      <c r="N29" s="70"/>
      <c r="O29" s="70" t="s">
        <v>1800</v>
      </c>
      <c r="P29" s="70" t="s">
        <v>1793</v>
      </c>
      <c r="Q29" s="69">
        <v>7329269</v>
      </c>
      <c r="R29" s="70"/>
      <c r="S29" s="70" t="s">
        <v>1794</v>
      </c>
      <c r="T29" s="70"/>
      <c r="U29" s="70" t="s">
        <v>1934</v>
      </c>
      <c r="V29" s="70"/>
    </row>
    <row r="30" spans="1:22" ht="15.75" customHeight="1">
      <c r="A30" s="66">
        <v>7626</v>
      </c>
      <c r="B30" s="67">
        <f t="shared" ca="1" si="0"/>
        <v>105.61535254756468</v>
      </c>
      <c r="C30" s="68" t="str">
        <f t="shared" ca="1" si="1"/>
        <v>105 years, 7 months</v>
      </c>
      <c r="D30" s="69">
        <v>9449303991</v>
      </c>
      <c r="E30" s="69">
        <v>19201116</v>
      </c>
      <c r="F30" s="70"/>
      <c r="G30" s="70" t="s">
        <v>1935</v>
      </c>
      <c r="H30" s="70"/>
      <c r="I30" s="70" t="s">
        <v>1936</v>
      </c>
      <c r="J30" s="70" t="s">
        <v>1422</v>
      </c>
      <c r="K30" s="70" t="s">
        <v>1285</v>
      </c>
      <c r="L30" s="70" t="s">
        <v>1937</v>
      </c>
      <c r="M30" s="70" t="s">
        <v>1938</v>
      </c>
      <c r="N30" s="70"/>
      <c r="O30" s="70" t="s">
        <v>1792</v>
      </c>
      <c r="P30" s="70" t="s">
        <v>1793</v>
      </c>
      <c r="Q30" s="69">
        <v>20167028</v>
      </c>
      <c r="R30" s="70"/>
      <c r="S30" s="70" t="s">
        <v>1794</v>
      </c>
      <c r="T30" s="70"/>
      <c r="U30" s="70" t="s">
        <v>1939</v>
      </c>
      <c r="V30" s="70"/>
    </row>
    <row r="31" spans="1:22" ht="15.75" customHeight="1">
      <c r="A31" s="66">
        <v>8104</v>
      </c>
      <c r="B31" s="67">
        <f t="shared" ca="1" si="0"/>
        <v>104.30576350646879</v>
      </c>
      <c r="C31" s="68" t="str">
        <f t="shared" ca="1" si="1"/>
        <v>104 years, 3 months</v>
      </c>
      <c r="D31" s="69">
        <v>9449307369</v>
      </c>
      <c r="E31" s="69">
        <v>19220309</v>
      </c>
      <c r="F31" s="70"/>
      <c r="G31" s="70" t="s">
        <v>1940</v>
      </c>
      <c r="H31" s="70" t="s">
        <v>1941</v>
      </c>
      <c r="I31" s="70" t="s">
        <v>1942</v>
      </c>
      <c r="J31" s="70" t="s">
        <v>1422</v>
      </c>
      <c r="K31" s="70" t="s">
        <v>1285</v>
      </c>
      <c r="L31" s="70" t="s">
        <v>1943</v>
      </c>
      <c r="M31" s="70" t="s">
        <v>1944</v>
      </c>
      <c r="N31" s="70"/>
      <c r="O31" s="70" t="s">
        <v>1807</v>
      </c>
      <c r="P31" s="70" t="s">
        <v>1793</v>
      </c>
      <c r="Q31" s="69">
        <v>20170909</v>
      </c>
      <c r="R31" s="70"/>
      <c r="S31" s="70" t="s">
        <v>1794</v>
      </c>
      <c r="T31" s="70"/>
      <c r="U31" s="70" t="s">
        <v>1945</v>
      </c>
      <c r="V31" s="70"/>
    </row>
    <row r="32" spans="1:22" ht="15.75" customHeight="1">
      <c r="A32" s="66">
        <v>8499</v>
      </c>
      <c r="B32" s="67">
        <f t="shared" ca="1" si="0"/>
        <v>103.22357172564688</v>
      </c>
      <c r="C32" s="68" t="str">
        <f t="shared" ca="1" si="1"/>
        <v>103 years, 2 months</v>
      </c>
      <c r="D32" s="69">
        <v>9449310696</v>
      </c>
      <c r="E32" s="69">
        <v>19230408</v>
      </c>
      <c r="F32" s="70"/>
      <c r="G32" s="70" t="s">
        <v>1946</v>
      </c>
      <c r="H32" s="70" t="s">
        <v>1947</v>
      </c>
      <c r="I32" s="70" t="s">
        <v>1948</v>
      </c>
      <c r="J32" s="70" t="s">
        <v>1422</v>
      </c>
      <c r="K32" s="70" t="s">
        <v>1285</v>
      </c>
      <c r="L32" s="70"/>
      <c r="M32" s="70"/>
      <c r="N32" s="70"/>
      <c r="O32" s="70"/>
      <c r="P32" s="70"/>
      <c r="Q32" s="70"/>
      <c r="R32" s="70"/>
      <c r="S32" s="70" t="s">
        <v>1794</v>
      </c>
      <c r="T32" s="70"/>
      <c r="U32" s="70"/>
      <c r="V32" s="70"/>
    </row>
    <row r="33" spans="1:22" ht="15.75" customHeight="1">
      <c r="A33" s="66">
        <v>8511</v>
      </c>
      <c r="B33" s="67">
        <f t="shared" ca="1" si="0"/>
        <v>103.19069501331811</v>
      </c>
      <c r="C33" s="68" t="str">
        <f t="shared" ca="1" si="1"/>
        <v>103 years, 2 months</v>
      </c>
      <c r="D33" s="69">
        <v>9449309752</v>
      </c>
      <c r="E33" s="69">
        <v>19230420</v>
      </c>
      <c r="F33" s="70"/>
      <c r="G33" s="70" t="s">
        <v>1949</v>
      </c>
      <c r="H33" s="70" t="s">
        <v>1950</v>
      </c>
      <c r="I33" s="70" t="s">
        <v>1951</v>
      </c>
      <c r="J33" s="70" t="s">
        <v>1422</v>
      </c>
      <c r="K33" s="70" t="s">
        <v>1285</v>
      </c>
      <c r="L33" s="70"/>
      <c r="M33" s="70" t="s">
        <v>1952</v>
      </c>
      <c r="N33" s="70"/>
      <c r="O33" s="70" t="s">
        <v>1886</v>
      </c>
      <c r="P33" s="70" t="s">
        <v>1793</v>
      </c>
      <c r="Q33" s="69">
        <v>18811059</v>
      </c>
      <c r="R33" s="70"/>
      <c r="S33" s="70" t="s">
        <v>1794</v>
      </c>
      <c r="T33" s="70"/>
      <c r="U33" s="70" t="s">
        <v>1953</v>
      </c>
      <c r="V33" s="70"/>
    </row>
    <row r="34" spans="1:22" ht="15.75" customHeight="1">
      <c r="A34" s="66">
        <v>8702</v>
      </c>
      <c r="B34" s="67">
        <f t="shared" ca="1" si="0"/>
        <v>102.66740734208523</v>
      </c>
      <c r="C34" s="68" t="str">
        <f t="shared" ca="1" si="1"/>
        <v>102 years, 8 months</v>
      </c>
      <c r="D34" s="69">
        <v>9449306672</v>
      </c>
      <c r="E34" s="69">
        <v>19231028</v>
      </c>
      <c r="F34" s="70"/>
      <c r="G34" s="70" t="s">
        <v>1954</v>
      </c>
      <c r="H34" s="70" t="s">
        <v>1955</v>
      </c>
      <c r="I34" s="70" t="s">
        <v>1956</v>
      </c>
      <c r="J34" s="70" t="s">
        <v>1422</v>
      </c>
      <c r="K34" s="70" t="s">
        <v>1285</v>
      </c>
      <c r="L34" s="70" t="s">
        <v>1957</v>
      </c>
      <c r="M34" s="70" t="s">
        <v>1958</v>
      </c>
      <c r="N34" s="70"/>
      <c r="O34" s="70" t="s">
        <v>1834</v>
      </c>
      <c r="P34" s="70" t="s">
        <v>1793</v>
      </c>
      <c r="Q34" s="69">
        <v>21355100</v>
      </c>
      <c r="R34" s="70"/>
      <c r="S34" s="70" t="s">
        <v>1794</v>
      </c>
      <c r="T34" s="70"/>
      <c r="U34" s="70" t="s">
        <v>1959</v>
      </c>
      <c r="V34" s="70"/>
    </row>
    <row r="35" spans="1:22" ht="15.75" customHeight="1">
      <c r="A35" s="66">
        <v>8984</v>
      </c>
      <c r="B35" s="67">
        <f t="shared" ca="1" si="0"/>
        <v>101.8948046023592</v>
      </c>
      <c r="C35" s="68" t="str">
        <f t="shared" ca="1" si="1"/>
        <v>101 years, 10 months</v>
      </c>
      <c r="D35" s="69">
        <v>9449305331</v>
      </c>
      <c r="E35" s="69">
        <v>19240805</v>
      </c>
      <c r="F35" s="70"/>
      <c r="G35" s="70" t="s">
        <v>1960</v>
      </c>
      <c r="H35" s="70" t="s">
        <v>1961</v>
      </c>
      <c r="I35" s="70" t="s">
        <v>1962</v>
      </c>
      <c r="J35" s="70" t="s">
        <v>1422</v>
      </c>
      <c r="K35" s="70" t="s">
        <v>1285</v>
      </c>
      <c r="L35" s="70"/>
      <c r="M35" s="70" t="s">
        <v>1963</v>
      </c>
      <c r="N35" s="70"/>
      <c r="O35" s="70" t="s">
        <v>1800</v>
      </c>
      <c r="P35" s="70" t="s">
        <v>1793</v>
      </c>
      <c r="Q35" s="69">
        <v>7336279</v>
      </c>
      <c r="R35" s="70"/>
      <c r="S35" s="70" t="s">
        <v>1794</v>
      </c>
      <c r="T35" s="70"/>
      <c r="U35" s="70" t="s">
        <v>1964</v>
      </c>
      <c r="V35" s="70"/>
    </row>
    <row r="36" spans="1:22" ht="15.75" customHeight="1">
      <c r="A36" s="66">
        <v>9618</v>
      </c>
      <c r="B36" s="67">
        <f t="shared" ca="1" si="0"/>
        <v>100.15781830098935</v>
      </c>
      <c r="C36" s="68" t="str">
        <f t="shared" ca="1" si="1"/>
        <v>100 years, 1 months</v>
      </c>
      <c r="D36" s="69">
        <v>9449305560</v>
      </c>
      <c r="E36" s="69">
        <v>19260501</v>
      </c>
      <c r="F36" s="70"/>
      <c r="G36" s="70" t="s">
        <v>1965</v>
      </c>
      <c r="H36" s="70" t="s">
        <v>1966</v>
      </c>
      <c r="I36" s="70" t="s">
        <v>1967</v>
      </c>
      <c r="J36" s="70" t="s">
        <v>1262</v>
      </c>
      <c r="K36" s="70" t="s">
        <v>1263</v>
      </c>
      <c r="L36" s="70"/>
      <c r="M36" s="70" t="s">
        <v>1968</v>
      </c>
      <c r="N36" s="70"/>
      <c r="O36" s="70" t="s">
        <v>1800</v>
      </c>
      <c r="P36" s="70" t="s">
        <v>1793</v>
      </c>
      <c r="Q36" s="69">
        <v>7339913</v>
      </c>
      <c r="R36" s="70"/>
      <c r="S36" s="70" t="s">
        <v>1794</v>
      </c>
      <c r="T36" s="70"/>
      <c r="U36" s="70" t="s">
        <v>1969</v>
      </c>
      <c r="V36" s="70"/>
    </row>
    <row r="37" spans="1:22" ht="15.75" customHeight="1">
      <c r="A37" s="66">
        <v>9665</v>
      </c>
      <c r="B37" s="67">
        <f t="shared" ca="1" si="0"/>
        <v>100.02905117770167</v>
      </c>
      <c r="C37" s="68" t="str">
        <f t="shared" ca="1" si="1"/>
        <v>100 years, 0 months</v>
      </c>
      <c r="D37" s="69">
        <v>9449307822</v>
      </c>
      <c r="E37" s="69">
        <v>19260617</v>
      </c>
      <c r="F37" s="70"/>
      <c r="G37" s="70" t="s">
        <v>1970</v>
      </c>
      <c r="H37" s="70"/>
      <c r="I37" s="70" t="s">
        <v>1971</v>
      </c>
      <c r="J37" s="70" t="s">
        <v>1422</v>
      </c>
      <c r="K37" s="70" t="s">
        <v>1285</v>
      </c>
      <c r="L37" s="70"/>
      <c r="M37" s="70" t="s">
        <v>1972</v>
      </c>
      <c r="N37" s="70" t="s">
        <v>1973</v>
      </c>
      <c r="O37" s="70" t="s">
        <v>1807</v>
      </c>
      <c r="P37" s="70" t="s">
        <v>1793</v>
      </c>
      <c r="Q37" s="69">
        <v>7366185</v>
      </c>
      <c r="R37" s="70"/>
      <c r="S37" s="70" t="s">
        <v>1794</v>
      </c>
      <c r="T37" s="70"/>
      <c r="U37" s="70" t="s">
        <v>1974</v>
      </c>
      <c r="V37" s="70"/>
    </row>
    <row r="38" spans="1:22" ht="15.75" customHeight="1">
      <c r="A38" s="66">
        <v>9764</v>
      </c>
      <c r="B38" s="67">
        <f t="shared" ca="1" si="0"/>
        <v>99.757818300989342</v>
      </c>
      <c r="C38" s="68" t="str">
        <f t="shared" ca="1" si="1"/>
        <v>99 years, 9 months</v>
      </c>
      <c r="D38" s="69">
        <v>9449306591</v>
      </c>
      <c r="E38" s="69">
        <v>19260924</v>
      </c>
      <c r="F38" s="70"/>
      <c r="G38" s="70" t="s">
        <v>1975</v>
      </c>
      <c r="H38" s="70" t="s">
        <v>1814</v>
      </c>
      <c r="I38" s="70" t="s">
        <v>1976</v>
      </c>
      <c r="J38" s="70" t="s">
        <v>1422</v>
      </c>
      <c r="K38" s="70" t="s">
        <v>1932</v>
      </c>
      <c r="L38" s="70" t="s">
        <v>1977</v>
      </c>
      <c r="M38" s="70" t="s">
        <v>1978</v>
      </c>
      <c r="N38" s="70"/>
      <c r="O38" s="70" t="s">
        <v>1834</v>
      </c>
      <c r="P38" s="70"/>
      <c r="Q38" s="69">
        <v>17358961</v>
      </c>
      <c r="R38" s="70"/>
      <c r="S38" s="70" t="s">
        <v>1794</v>
      </c>
      <c r="T38" s="70"/>
      <c r="U38" s="70" t="s">
        <v>1979</v>
      </c>
      <c r="V38" s="70"/>
    </row>
    <row r="39" spans="1:22" ht="15.75" customHeight="1">
      <c r="A39" s="66">
        <v>10574</v>
      </c>
      <c r="B39" s="67">
        <f t="shared" ca="1" si="0"/>
        <v>97.538640218797553</v>
      </c>
      <c r="C39" s="68" t="str">
        <f t="shared" ca="1" si="1"/>
        <v>97 years, 6 months</v>
      </c>
      <c r="D39" s="69">
        <v>9449306028</v>
      </c>
      <c r="E39" s="69">
        <v>19281212</v>
      </c>
      <c r="F39" s="70"/>
      <c r="G39" s="70" t="s">
        <v>1980</v>
      </c>
      <c r="H39" s="70"/>
      <c r="I39" s="70" t="s">
        <v>1981</v>
      </c>
      <c r="J39" s="70" t="s">
        <v>1262</v>
      </c>
      <c r="K39" s="70" t="s">
        <v>1932</v>
      </c>
      <c r="L39" s="70"/>
      <c r="M39" s="70" t="s">
        <v>1982</v>
      </c>
      <c r="N39" s="70"/>
      <c r="O39" s="70" t="s">
        <v>1800</v>
      </c>
      <c r="P39" s="70" t="s">
        <v>1793</v>
      </c>
      <c r="Q39" s="69">
        <v>7345037</v>
      </c>
      <c r="R39" s="70"/>
      <c r="S39" s="70" t="s">
        <v>1794</v>
      </c>
      <c r="T39" s="70"/>
      <c r="U39" s="70" t="s">
        <v>1983</v>
      </c>
      <c r="V39" s="70"/>
    </row>
    <row r="40" spans="1:22" ht="15.75" customHeight="1">
      <c r="A40" s="66">
        <v>10708</v>
      </c>
      <c r="B40" s="67">
        <f t="shared" ca="1" si="0"/>
        <v>97.171516931126334</v>
      </c>
      <c r="C40" s="68" t="str">
        <f t="shared" ca="1" si="1"/>
        <v>97 years, 2 months</v>
      </c>
      <c r="D40" s="69">
        <v>9449309035</v>
      </c>
      <c r="E40" s="69">
        <v>19290425</v>
      </c>
      <c r="F40" s="70"/>
      <c r="G40" s="70" t="s">
        <v>1984</v>
      </c>
      <c r="H40" s="70" t="s">
        <v>1985</v>
      </c>
      <c r="I40" s="70" t="s">
        <v>1986</v>
      </c>
      <c r="J40" s="70" t="s">
        <v>1262</v>
      </c>
      <c r="K40" s="70" t="s">
        <v>1932</v>
      </c>
      <c r="L40" s="70" t="s">
        <v>1987</v>
      </c>
      <c r="M40" s="70" t="s">
        <v>1988</v>
      </c>
      <c r="N40" s="70" t="s">
        <v>1989</v>
      </c>
      <c r="O40" s="70" t="s">
        <v>1862</v>
      </c>
      <c r="P40" s="70"/>
      <c r="Q40" s="69">
        <v>18357743</v>
      </c>
      <c r="R40" s="70"/>
      <c r="S40" s="70" t="s">
        <v>1794</v>
      </c>
      <c r="T40" s="70"/>
      <c r="U40" s="70" t="s">
        <v>1990</v>
      </c>
      <c r="V40" s="70"/>
    </row>
    <row r="41" spans="1:22" ht="15.75" customHeight="1">
      <c r="A41" s="66">
        <v>10755</v>
      </c>
      <c r="B41" s="67">
        <f t="shared" ca="1" si="0"/>
        <v>97.042749807838661</v>
      </c>
      <c r="C41" s="68" t="str">
        <f t="shared" ca="1" si="1"/>
        <v>97 years, 0 months</v>
      </c>
      <c r="D41" s="69">
        <v>9449305110</v>
      </c>
      <c r="E41" s="69">
        <v>19290611</v>
      </c>
      <c r="F41" s="70"/>
      <c r="G41" s="70" t="s">
        <v>1991</v>
      </c>
      <c r="H41" s="70" t="s">
        <v>1992</v>
      </c>
      <c r="I41" s="70" t="s">
        <v>1993</v>
      </c>
      <c r="J41" s="70" t="s">
        <v>1422</v>
      </c>
      <c r="K41" s="70" t="s">
        <v>1285</v>
      </c>
      <c r="L41" s="70"/>
      <c r="M41" s="70" t="s">
        <v>1994</v>
      </c>
      <c r="N41" s="70"/>
      <c r="O41" s="70" t="s">
        <v>1800</v>
      </c>
      <c r="P41" s="70" t="s">
        <v>1793</v>
      </c>
      <c r="Q41" s="69">
        <v>7333852</v>
      </c>
      <c r="R41" s="70"/>
      <c r="S41" s="70" t="s">
        <v>1794</v>
      </c>
      <c r="T41" s="70"/>
      <c r="U41" s="70" t="s">
        <v>1995</v>
      </c>
      <c r="V41" s="70"/>
    </row>
    <row r="42" spans="1:22" ht="15.75" customHeight="1">
      <c r="A42" s="66">
        <v>11108</v>
      </c>
      <c r="B42" s="67">
        <f t="shared" ca="1" si="0"/>
        <v>96.075626520167418</v>
      </c>
      <c r="C42" s="68" t="str">
        <f t="shared" ca="1" si="1"/>
        <v>96 years, 0 months</v>
      </c>
      <c r="D42" s="69">
        <v>9449307210</v>
      </c>
      <c r="E42" s="69">
        <v>19300530</v>
      </c>
      <c r="F42" s="70"/>
      <c r="G42" s="70" t="s">
        <v>1996</v>
      </c>
      <c r="H42" s="70" t="s">
        <v>1997</v>
      </c>
      <c r="I42" s="70" t="s">
        <v>1998</v>
      </c>
      <c r="J42" s="70" t="s">
        <v>1262</v>
      </c>
      <c r="K42" s="70" t="s">
        <v>1263</v>
      </c>
      <c r="L42" s="70" t="s">
        <v>1999</v>
      </c>
      <c r="M42" s="70" t="s">
        <v>2000</v>
      </c>
      <c r="N42" s="70"/>
      <c r="O42" s="70" t="s">
        <v>1807</v>
      </c>
      <c r="P42" s="70" t="s">
        <v>1793</v>
      </c>
      <c r="Q42" s="69">
        <v>17361488</v>
      </c>
      <c r="R42" s="70"/>
      <c r="S42" s="70" t="s">
        <v>1794</v>
      </c>
      <c r="T42" s="70"/>
      <c r="U42" s="70" t="s">
        <v>2001</v>
      </c>
      <c r="V42" s="70"/>
    </row>
    <row r="43" spans="1:22" ht="15.75" customHeight="1">
      <c r="A43" s="66">
        <v>11447</v>
      </c>
      <c r="B43" s="67">
        <f t="shared" ca="1" si="0"/>
        <v>95.146859396879748</v>
      </c>
      <c r="C43" s="68" t="str">
        <f t="shared" ca="1" si="1"/>
        <v>95 years, 1 months</v>
      </c>
      <c r="D43" s="69">
        <v>9449303886</v>
      </c>
      <c r="E43" s="69">
        <v>19310504</v>
      </c>
      <c r="F43" s="70"/>
      <c r="G43" s="70" t="s">
        <v>2002</v>
      </c>
      <c r="H43" s="70" t="s">
        <v>2003</v>
      </c>
      <c r="I43" s="70" t="s">
        <v>2004</v>
      </c>
      <c r="J43" s="70" t="s">
        <v>1262</v>
      </c>
      <c r="K43" s="70" t="s">
        <v>1932</v>
      </c>
      <c r="L43" s="70"/>
      <c r="M43" s="70" t="s">
        <v>2005</v>
      </c>
      <c r="N43" s="70"/>
      <c r="O43" s="70" t="s">
        <v>1819</v>
      </c>
      <c r="P43" s="70" t="s">
        <v>1793</v>
      </c>
      <c r="Q43" s="69">
        <v>7295804</v>
      </c>
      <c r="R43" s="70"/>
      <c r="S43" s="70" t="s">
        <v>1794</v>
      </c>
      <c r="T43" s="70"/>
      <c r="U43" s="70" t="s">
        <v>2006</v>
      </c>
      <c r="V43" s="70"/>
    </row>
    <row r="44" spans="1:22" ht="15.75" customHeight="1">
      <c r="A44" s="66">
        <v>11848</v>
      </c>
      <c r="B44" s="67">
        <f t="shared" ca="1" si="0"/>
        <v>94.048229259893446</v>
      </c>
      <c r="C44" s="68" t="str">
        <f t="shared" ca="1" si="1"/>
        <v>94 years, 0 months</v>
      </c>
      <c r="D44" s="69">
        <v>9449309981</v>
      </c>
      <c r="E44" s="69">
        <v>19320608</v>
      </c>
      <c r="F44" s="70"/>
      <c r="G44" s="70" t="s">
        <v>2007</v>
      </c>
      <c r="H44" s="70"/>
      <c r="I44" s="70" t="s">
        <v>2008</v>
      </c>
      <c r="J44" s="70" t="s">
        <v>1262</v>
      </c>
      <c r="K44" s="70" t="s">
        <v>1263</v>
      </c>
      <c r="L44" s="70"/>
      <c r="M44" s="70" t="s">
        <v>2009</v>
      </c>
      <c r="N44" s="70"/>
      <c r="O44" s="70" t="s">
        <v>1819</v>
      </c>
      <c r="P44" s="70" t="s">
        <v>1793</v>
      </c>
      <c r="Q44" s="69">
        <v>7292161</v>
      </c>
      <c r="R44" s="70"/>
      <c r="S44" s="70" t="s">
        <v>1794</v>
      </c>
      <c r="T44" s="70"/>
      <c r="U44" s="70" t="s">
        <v>2010</v>
      </c>
      <c r="V44" s="70"/>
    </row>
    <row r="45" spans="1:22" ht="15.75" customHeight="1">
      <c r="A45" s="66">
        <v>11848</v>
      </c>
      <c r="B45" s="67">
        <f t="shared" ca="1" si="0"/>
        <v>94.048229259893446</v>
      </c>
      <c r="C45" s="68" t="str">
        <f t="shared" ca="1" si="1"/>
        <v>94 years, 0 months</v>
      </c>
      <c r="D45" s="69">
        <v>9449310009</v>
      </c>
      <c r="E45" s="69">
        <v>19320608</v>
      </c>
      <c r="F45" s="70"/>
      <c r="G45" s="70" t="s">
        <v>2011</v>
      </c>
      <c r="H45" s="70" t="s">
        <v>2012</v>
      </c>
      <c r="I45" s="70" t="s">
        <v>2008</v>
      </c>
      <c r="J45" s="70"/>
      <c r="K45" s="70" t="s">
        <v>1263</v>
      </c>
      <c r="L45" s="70"/>
      <c r="M45" s="70" t="s">
        <v>2013</v>
      </c>
      <c r="N45" s="70" t="s">
        <v>1818</v>
      </c>
      <c r="O45" s="70" t="s">
        <v>1819</v>
      </c>
      <c r="P45" s="70"/>
      <c r="Q45" s="69">
        <v>7293052</v>
      </c>
      <c r="R45" s="70"/>
      <c r="S45" s="70" t="s">
        <v>1794</v>
      </c>
      <c r="T45" s="70"/>
      <c r="U45" s="70" t="s">
        <v>2014</v>
      </c>
      <c r="V45" s="70"/>
    </row>
    <row r="46" spans="1:22" ht="15.75" customHeight="1">
      <c r="A46" s="66">
        <v>11936</v>
      </c>
      <c r="B46" s="67">
        <f t="shared" ca="1" si="0"/>
        <v>93.807133369482486</v>
      </c>
      <c r="C46" s="68" t="str">
        <f t="shared" ca="1" si="1"/>
        <v>93 years, 9 months</v>
      </c>
      <c r="D46" s="69">
        <v>9449309914</v>
      </c>
      <c r="E46" s="69">
        <v>19320904</v>
      </c>
      <c r="F46" s="70"/>
      <c r="G46" s="70" t="s">
        <v>1950</v>
      </c>
      <c r="H46" s="70"/>
      <c r="I46" s="70" t="s">
        <v>2015</v>
      </c>
      <c r="J46" s="70" t="s">
        <v>1422</v>
      </c>
      <c r="K46" s="70" t="s">
        <v>2016</v>
      </c>
      <c r="L46" s="70"/>
      <c r="M46" s="70" t="s">
        <v>2017</v>
      </c>
      <c r="N46" s="70"/>
      <c r="O46" s="70" t="s">
        <v>1886</v>
      </c>
      <c r="P46" s="70" t="s">
        <v>1793</v>
      </c>
      <c r="Q46" s="69">
        <v>9722760</v>
      </c>
      <c r="R46" s="70"/>
      <c r="S46" s="70" t="s">
        <v>1794</v>
      </c>
      <c r="T46" s="70"/>
      <c r="U46" s="70" t="s">
        <v>2018</v>
      </c>
      <c r="V46" s="70"/>
    </row>
    <row r="47" spans="1:22" ht="15.75" customHeight="1">
      <c r="A47" s="66">
        <v>12247</v>
      </c>
      <c r="B47" s="67">
        <f t="shared" ca="1" si="0"/>
        <v>92.955078574961945</v>
      </c>
      <c r="C47" s="68" t="str">
        <f t="shared" ca="1" si="1"/>
        <v>92 years, 11 months</v>
      </c>
      <c r="D47" s="69">
        <v>9449305846</v>
      </c>
      <c r="E47" s="69">
        <v>19330712</v>
      </c>
      <c r="F47" s="70"/>
      <c r="G47" s="70" t="s">
        <v>2019</v>
      </c>
      <c r="H47" s="70" t="s">
        <v>2020</v>
      </c>
      <c r="I47" s="70" t="s">
        <v>2021</v>
      </c>
      <c r="J47" s="70" t="s">
        <v>1422</v>
      </c>
      <c r="K47" s="70" t="s">
        <v>1285</v>
      </c>
      <c r="L47" s="70"/>
      <c r="M47" s="70" t="s">
        <v>2022</v>
      </c>
      <c r="N47" s="70"/>
      <c r="O47" s="70" t="s">
        <v>1800</v>
      </c>
      <c r="P47" s="70" t="s">
        <v>1793</v>
      </c>
      <c r="Q47" s="69">
        <v>7342295</v>
      </c>
      <c r="R47" s="70"/>
      <c r="S47" s="70" t="s">
        <v>1794</v>
      </c>
      <c r="T47" s="70"/>
      <c r="U47" s="70" t="s">
        <v>2023</v>
      </c>
      <c r="V47" s="70"/>
    </row>
    <row r="48" spans="1:22" ht="15.75" customHeight="1">
      <c r="A48" s="66">
        <v>12307</v>
      </c>
      <c r="B48" s="67">
        <f t="shared" ca="1" si="0"/>
        <v>92.790695013318114</v>
      </c>
      <c r="C48" s="68" t="str">
        <f t="shared" ca="1" si="1"/>
        <v>92 years, 9 months</v>
      </c>
      <c r="D48" s="69">
        <v>9449310017</v>
      </c>
      <c r="E48" s="69">
        <v>19330910</v>
      </c>
      <c r="F48" s="70"/>
      <c r="G48" s="70" t="s">
        <v>2024</v>
      </c>
      <c r="H48" s="70"/>
      <c r="I48" s="70" t="s">
        <v>2025</v>
      </c>
      <c r="J48" s="70"/>
      <c r="K48" s="70" t="s">
        <v>1285</v>
      </c>
      <c r="L48" s="70"/>
      <c r="M48" s="70" t="s">
        <v>2026</v>
      </c>
      <c r="N48" s="70" t="s">
        <v>1818</v>
      </c>
      <c r="O48" s="70" t="s">
        <v>1819</v>
      </c>
      <c r="P48" s="70" t="s">
        <v>1793</v>
      </c>
      <c r="Q48" s="69">
        <v>7293204</v>
      </c>
      <c r="R48" s="70"/>
      <c r="S48" s="70" t="s">
        <v>1794</v>
      </c>
      <c r="T48" s="70"/>
      <c r="U48" s="70" t="s">
        <v>2027</v>
      </c>
      <c r="V48" s="70" t="s">
        <v>2028</v>
      </c>
    </row>
    <row r="49" spans="1:22" ht="15.75" customHeight="1">
      <c r="A49" s="66">
        <v>12307</v>
      </c>
      <c r="B49" s="67">
        <f t="shared" ca="1" si="0"/>
        <v>92.790695013318114</v>
      </c>
      <c r="C49" s="68" t="str">
        <f t="shared" ca="1" si="1"/>
        <v>92 years, 9 months</v>
      </c>
      <c r="D49" s="69">
        <v>9449310025</v>
      </c>
      <c r="E49" s="69">
        <v>19330910</v>
      </c>
      <c r="F49" s="70"/>
      <c r="G49" s="70" t="s">
        <v>2029</v>
      </c>
      <c r="H49" s="70" t="s">
        <v>2030</v>
      </c>
      <c r="I49" s="70" t="s">
        <v>2025</v>
      </c>
      <c r="J49" s="70" t="s">
        <v>1422</v>
      </c>
      <c r="K49" s="70" t="s">
        <v>1285</v>
      </c>
      <c r="L49" s="70"/>
      <c r="M49" s="70" t="s">
        <v>2031</v>
      </c>
      <c r="N49" s="70" t="s">
        <v>1818</v>
      </c>
      <c r="O49" s="70" t="s">
        <v>1819</v>
      </c>
      <c r="P49" s="70"/>
      <c r="Q49" s="69">
        <v>7293660</v>
      </c>
      <c r="R49" s="70"/>
      <c r="S49" s="70" t="s">
        <v>1794</v>
      </c>
      <c r="T49" s="70"/>
      <c r="U49" s="70" t="s">
        <v>2032</v>
      </c>
      <c r="V49" s="70" t="s">
        <v>2028</v>
      </c>
    </row>
    <row r="50" spans="1:22" ht="15.75" customHeight="1">
      <c r="A50" s="66">
        <v>12573</v>
      </c>
      <c r="B50" s="67">
        <f t="shared" ca="1" si="0"/>
        <v>92.061927890030432</v>
      </c>
      <c r="C50" s="68" t="str">
        <f t="shared" ca="1" si="1"/>
        <v>92 years, 0 months</v>
      </c>
      <c r="D50" s="69">
        <v>9449303320</v>
      </c>
      <c r="E50" s="69">
        <v>19340603</v>
      </c>
      <c r="F50" s="70"/>
      <c r="G50" s="70" t="s">
        <v>2033</v>
      </c>
      <c r="H50" s="70"/>
      <c r="I50" s="70" t="s">
        <v>2034</v>
      </c>
      <c r="J50" s="70" t="s">
        <v>1422</v>
      </c>
      <c r="K50" s="70" t="s">
        <v>1285</v>
      </c>
      <c r="L50" s="70"/>
      <c r="M50" s="70" t="s">
        <v>2035</v>
      </c>
      <c r="N50" s="70" t="s">
        <v>2036</v>
      </c>
      <c r="O50" s="70" t="s">
        <v>2037</v>
      </c>
      <c r="P50" s="70"/>
      <c r="Q50" s="69">
        <v>7391159</v>
      </c>
      <c r="R50" s="70"/>
      <c r="S50" s="70" t="s">
        <v>1794</v>
      </c>
      <c r="T50" s="70"/>
      <c r="U50" s="70" t="s">
        <v>2038</v>
      </c>
      <c r="V50" s="70" t="s">
        <v>2039</v>
      </c>
    </row>
    <row r="51" spans="1:22" ht="15.75" customHeight="1">
      <c r="A51" s="66">
        <v>12608</v>
      </c>
      <c r="B51" s="67">
        <f t="shared" ca="1" si="0"/>
        <v>91.966037479071531</v>
      </c>
      <c r="C51" s="68" t="str">
        <f t="shared" ca="1" si="1"/>
        <v>91 years, 11 months</v>
      </c>
      <c r="D51" s="69">
        <v>9449303355</v>
      </c>
      <c r="E51" s="69">
        <v>19340708</v>
      </c>
      <c r="F51" s="70"/>
      <c r="G51" s="70" t="s">
        <v>2040</v>
      </c>
      <c r="H51" s="70"/>
      <c r="I51" s="70" t="s">
        <v>2041</v>
      </c>
      <c r="J51" s="70" t="s">
        <v>1262</v>
      </c>
      <c r="K51" s="70" t="s">
        <v>1263</v>
      </c>
      <c r="L51" s="70" t="s">
        <v>2042</v>
      </c>
      <c r="M51" s="70" t="s">
        <v>2043</v>
      </c>
      <c r="N51" s="70"/>
      <c r="O51" s="70" t="s">
        <v>1862</v>
      </c>
      <c r="P51" s="70" t="s">
        <v>1793</v>
      </c>
      <c r="Q51" s="69">
        <v>25381596</v>
      </c>
      <c r="R51" s="70"/>
      <c r="S51" s="70" t="s">
        <v>1794</v>
      </c>
      <c r="T51" s="70"/>
      <c r="U51" s="70" t="s">
        <v>2044</v>
      </c>
      <c r="V51" s="70"/>
    </row>
    <row r="52" spans="1:22" ht="15.75" customHeight="1">
      <c r="A52" s="66">
        <v>12715</v>
      </c>
      <c r="B52" s="67">
        <f t="shared" ca="1" si="0"/>
        <v>91.672886794140027</v>
      </c>
      <c r="C52" s="68" t="str">
        <f t="shared" ca="1" si="1"/>
        <v>91 years, 8 months</v>
      </c>
      <c r="D52" s="69">
        <v>9449304513</v>
      </c>
      <c r="E52" s="69">
        <v>19341023</v>
      </c>
      <c r="F52" s="70"/>
      <c r="G52" s="70" t="s">
        <v>2045</v>
      </c>
      <c r="H52" s="70" t="s">
        <v>2046</v>
      </c>
      <c r="I52" s="70" t="s">
        <v>2047</v>
      </c>
      <c r="J52" s="70" t="s">
        <v>1391</v>
      </c>
      <c r="K52" s="70" t="s">
        <v>1263</v>
      </c>
      <c r="L52" s="70" t="s">
        <v>2048</v>
      </c>
      <c r="M52" s="70" t="s">
        <v>2049</v>
      </c>
      <c r="N52" s="70" t="s">
        <v>1874</v>
      </c>
      <c r="O52" s="70" t="s">
        <v>1800</v>
      </c>
      <c r="P52" s="70"/>
      <c r="Q52" s="69">
        <v>31516748</v>
      </c>
      <c r="R52" s="70"/>
      <c r="S52" s="70" t="s">
        <v>1794</v>
      </c>
      <c r="T52" s="70"/>
      <c r="U52" s="70" t="s">
        <v>2050</v>
      </c>
      <c r="V52" s="70"/>
    </row>
    <row r="53" spans="1:22" ht="15.75" customHeight="1">
      <c r="A53" s="66">
        <v>13011</v>
      </c>
      <c r="B53" s="67">
        <f t="shared" ca="1" si="0"/>
        <v>90.861927890030444</v>
      </c>
      <c r="C53" s="68" t="str">
        <f t="shared" ca="1" si="1"/>
        <v>90 years, 10 months</v>
      </c>
      <c r="D53" s="69">
        <v>9449307466</v>
      </c>
      <c r="E53" s="69">
        <v>19350815</v>
      </c>
      <c r="F53" s="70"/>
      <c r="G53" s="70" t="s">
        <v>2051</v>
      </c>
      <c r="H53" s="70" t="s">
        <v>2052</v>
      </c>
      <c r="I53" s="70" t="s">
        <v>2053</v>
      </c>
      <c r="J53" s="70" t="s">
        <v>1262</v>
      </c>
      <c r="K53" s="70" t="s">
        <v>1932</v>
      </c>
      <c r="L53" s="70" t="s">
        <v>2054</v>
      </c>
      <c r="M53" s="70" t="s">
        <v>1988</v>
      </c>
      <c r="N53" s="70" t="s">
        <v>2055</v>
      </c>
      <c r="O53" s="70" t="s">
        <v>1807</v>
      </c>
      <c r="P53" s="70" t="s">
        <v>1793</v>
      </c>
      <c r="Q53" s="69">
        <v>17362366</v>
      </c>
      <c r="R53" s="70"/>
      <c r="S53" s="70" t="s">
        <v>1794</v>
      </c>
      <c r="T53" s="70"/>
      <c r="U53" s="70" t="s">
        <v>2056</v>
      </c>
      <c r="V53" s="70"/>
    </row>
    <row r="54" spans="1:22" ht="15.75" customHeight="1">
      <c r="A54" s="66">
        <v>13436</v>
      </c>
      <c r="B54" s="67">
        <f t="shared" ca="1" si="0"/>
        <v>89.697544328386599</v>
      </c>
      <c r="C54" s="68" t="str">
        <f t="shared" ca="1" si="1"/>
        <v>89 years, 8 months</v>
      </c>
      <c r="D54" s="69">
        <v>9449303789</v>
      </c>
      <c r="E54" s="69">
        <v>19361013</v>
      </c>
      <c r="F54" s="70"/>
      <c r="G54" s="70" t="s">
        <v>2057</v>
      </c>
      <c r="H54" s="70"/>
      <c r="I54" s="70" t="s">
        <v>2058</v>
      </c>
      <c r="J54" s="70" t="s">
        <v>1391</v>
      </c>
      <c r="K54" s="70" t="s">
        <v>1263</v>
      </c>
      <c r="L54" s="70"/>
      <c r="M54" s="70" t="s">
        <v>2059</v>
      </c>
      <c r="N54" s="70"/>
      <c r="O54" s="70" t="s">
        <v>1819</v>
      </c>
      <c r="P54" s="70" t="s">
        <v>1793</v>
      </c>
      <c r="Q54" s="69">
        <v>7294854</v>
      </c>
      <c r="R54" s="70"/>
      <c r="S54" s="70" t="s">
        <v>1794</v>
      </c>
      <c r="T54" s="70"/>
      <c r="U54" s="70" t="s">
        <v>2060</v>
      </c>
      <c r="V54" s="70"/>
    </row>
    <row r="55" spans="1:22" ht="15.75" customHeight="1">
      <c r="A55" s="66">
        <v>14099</v>
      </c>
      <c r="B55" s="67">
        <f t="shared" ca="1" si="0"/>
        <v>87.881105972222215</v>
      </c>
      <c r="C55" s="68" t="str">
        <f t="shared" ca="1" si="1"/>
        <v>87 years, 10 months</v>
      </c>
      <c r="D55" s="69">
        <v>9449305994</v>
      </c>
      <c r="E55" s="69">
        <v>19380807</v>
      </c>
      <c r="F55" s="70"/>
      <c r="G55" s="70" t="s">
        <v>2061</v>
      </c>
      <c r="H55" s="70"/>
      <c r="I55" s="70" t="s">
        <v>2062</v>
      </c>
      <c r="J55" s="70" t="s">
        <v>1262</v>
      </c>
      <c r="K55" s="70" t="s">
        <v>1932</v>
      </c>
      <c r="L55" s="70"/>
      <c r="M55" s="70" t="s">
        <v>2063</v>
      </c>
      <c r="N55" s="70"/>
      <c r="O55" s="70" t="s">
        <v>1800</v>
      </c>
      <c r="P55" s="70" t="s">
        <v>1793</v>
      </c>
      <c r="Q55" s="69">
        <v>7344671</v>
      </c>
      <c r="R55" s="70"/>
      <c r="S55" s="70" t="s">
        <v>1794</v>
      </c>
      <c r="T55" s="70"/>
      <c r="U55" s="70" t="s">
        <v>2064</v>
      </c>
      <c r="V55" s="70"/>
    </row>
    <row r="56" spans="1:22" ht="15.75" customHeight="1">
      <c r="A56" s="66">
        <v>14254</v>
      </c>
      <c r="B56" s="67">
        <f t="shared" ca="1" si="0"/>
        <v>87.456448437975638</v>
      </c>
      <c r="C56" s="68" t="str">
        <f t="shared" ca="1" si="1"/>
        <v>87 years, 5 months</v>
      </c>
      <c r="D56" s="69">
        <v>9449306168</v>
      </c>
      <c r="E56" s="69">
        <v>19390109</v>
      </c>
      <c r="F56" s="70"/>
      <c r="G56" s="70" t="s">
        <v>2065</v>
      </c>
      <c r="H56" s="70"/>
      <c r="I56" s="70" t="s">
        <v>2066</v>
      </c>
      <c r="J56" s="70" t="s">
        <v>1391</v>
      </c>
      <c r="K56" s="70" t="s">
        <v>1263</v>
      </c>
      <c r="L56" s="70"/>
      <c r="M56" s="70" t="s">
        <v>2067</v>
      </c>
      <c r="N56" s="70"/>
      <c r="O56" s="70" t="s">
        <v>1906</v>
      </c>
      <c r="P56" s="70" t="s">
        <v>1793</v>
      </c>
      <c r="Q56" s="69">
        <v>7352931</v>
      </c>
      <c r="R56" s="70"/>
      <c r="S56" s="70" t="s">
        <v>1794</v>
      </c>
      <c r="T56" s="70"/>
      <c r="U56" s="70" t="s">
        <v>2068</v>
      </c>
      <c r="V56" s="70"/>
    </row>
    <row r="57" spans="1:22" ht="15.75" customHeight="1">
      <c r="A57" s="66">
        <v>14466</v>
      </c>
      <c r="B57" s="67">
        <f t="shared" ca="1" si="0"/>
        <v>86.87562652016743</v>
      </c>
      <c r="C57" s="68" t="str">
        <f t="shared" ca="1" si="1"/>
        <v>86 years, 10 months</v>
      </c>
      <c r="D57" s="69">
        <v>9449309205</v>
      </c>
      <c r="E57" s="69">
        <v>19390809</v>
      </c>
      <c r="F57" s="70"/>
      <c r="G57" s="70" t="s">
        <v>2069</v>
      </c>
      <c r="H57" s="70" t="s">
        <v>2070</v>
      </c>
      <c r="I57" s="70" t="s">
        <v>2071</v>
      </c>
      <c r="J57" s="70" t="s">
        <v>1391</v>
      </c>
      <c r="K57" s="70" t="s">
        <v>1263</v>
      </c>
      <c r="L57" s="70"/>
      <c r="M57" s="70" t="s">
        <v>2072</v>
      </c>
      <c r="N57" s="70" t="s">
        <v>2073</v>
      </c>
      <c r="O57" s="70" t="s">
        <v>1862</v>
      </c>
      <c r="P57" s="70" t="s">
        <v>1793</v>
      </c>
      <c r="Q57" s="69">
        <v>9575882</v>
      </c>
      <c r="R57" s="70"/>
      <c r="S57" s="70" t="s">
        <v>1794</v>
      </c>
      <c r="T57" s="70"/>
      <c r="U57" s="70" t="s">
        <v>2074</v>
      </c>
      <c r="V57" s="70"/>
    </row>
    <row r="58" spans="1:22" ht="15.75" customHeight="1">
      <c r="A58" s="66">
        <v>14521</v>
      </c>
      <c r="B58" s="67">
        <f t="shared" ca="1" si="0"/>
        <v>86.72494158866057</v>
      </c>
      <c r="C58" s="68" t="str">
        <f t="shared" ca="1" si="1"/>
        <v>86 years, 8 months</v>
      </c>
      <c r="D58" s="69">
        <v>9449303428</v>
      </c>
      <c r="E58" s="69">
        <v>19391003</v>
      </c>
      <c r="F58" s="70"/>
      <c r="G58" s="70" t="s">
        <v>2075</v>
      </c>
      <c r="H58" s="70" t="s">
        <v>2076</v>
      </c>
      <c r="I58" s="70" t="s">
        <v>2077</v>
      </c>
      <c r="J58" s="70" t="s">
        <v>1314</v>
      </c>
      <c r="K58" s="70" t="s">
        <v>1263</v>
      </c>
      <c r="L58" s="70"/>
      <c r="M58" s="70" t="s">
        <v>2078</v>
      </c>
      <c r="N58" s="70" t="s">
        <v>2079</v>
      </c>
      <c r="O58" s="70" t="s">
        <v>1845</v>
      </c>
      <c r="P58" s="70"/>
      <c r="Q58" s="69">
        <v>3039778</v>
      </c>
      <c r="R58" s="70"/>
      <c r="S58" s="70" t="s">
        <v>1794</v>
      </c>
      <c r="T58" s="70"/>
      <c r="U58" s="70" t="s">
        <v>2080</v>
      </c>
      <c r="V58" s="70"/>
    </row>
    <row r="59" spans="1:22" ht="15.75" customHeight="1">
      <c r="A59" s="66">
        <v>14538</v>
      </c>
      <c r="B59" s="67">
        <f t="shared" ca="1" si="0"/>
        <v>86.678366246194827</v>
      </c>
      <c r="C59" s="68" t="str">
        <f t="shared" ca="1" si="1"/>
        <v>86 years, 8 months</v>
      </c>
      <c r="D59" s="69">
        <v>9449304335</v>
      </c>
      <c r="E59" s="69">
        <v>19391020</v>
      </c>
      <c r="F59" s="70"/>
      <c r="G59" s="70" t="s">
        <v>2081</v>
      </c>
      <c r="H59" s="70" t="s">
        <v>2082</v>
      </c>
      <c r="I59" s="70" t="s">
        <v>2083</v>
      </c>
      <c r="J59" s="70" t="s">
        <v>1422</v>
      </c>
      <c r="K59" s="70" t="s">
        <v>2016</v>
      </c>
      <c r="L59" s="70"/>
      <c r="M59" s="70" t="s">
        <v>2084</v>
      </c>
      <c r="N59" s="70"/>
      <c r="O59" s="70" t="s">
        <v>1800</v>
      </c>
      <c r="P59" s="70"/>
      <c r="Q59" s="69">
        <v>7327812</v>
      </c>
      <c r="R59" s="70"/>
      <c r="S59" s="70" t="s">
        <v>1794</v>
      </c>
      <c r="T59" s="70"/>
      <c r="U59" s="70" t="s">
        <v>2085</v>
      </c>
      <c r="V59" s="70"/>
    </row>
    <row r="60" spans="1:22" ht="15.75" customHeight="1">
      <c r="A60" s="66">
        <v>15665</v>
      </c>
      <c r="B60" s="67">
        <f t="shared" ca="1" si="0"/>
        <v>83.590695013318111</v>
      </c>
      <c r="C60" s="68" t="str">
        <f t="shared" ca="1" si="1"/>
        <v>83 years, 7 months</v>
      </c>
      <c r="D60" s="69">
        <v>9449305579</v>
      </c>
      <c r="E60" s="69">
        <v>19421120</v>
      </c>
      <c r="F60" s="70"/>
      <c r="G60" s="70" t="s">
        <v>2086</v>
      </c>
      <c r="H60" s="70" t="s">
        <v>2087</v>
      </c>
      <c r="I60" s="70" t="s">
        <v>2088</v>
      </c>
      <c r="J60" s="70" t="s">
        <v>1422</v>
      </c>
      <c r="K60" s="70" t="s">
        <v>1285</v>
      </c>
      <c r="L60" s="70"/>
      <c r="M60" s="70" t="s">
        <v>2089</v>
      </c>
      <c r="N60" s="70"/>
      <c r="O60" s="70" t="s">
        <v>1800</v>
      </c>
      <c r="P60" s="70" t="s">
        <v>1793</v>
      </c>
      <c r="Q60" s="69">
        <v>29934257</v>
      </c>
      <c r="R60" s="70"/>
      <c r="S60" s="70" t="s">
        <v>1794</v>
      </c>
      <c r="T60" s="70"/>
      <c r="U60" s="70" t="s">
        <v>2090</v>
      </c>
      <c r="V60" s="70"/>
    </row>
    <row r="61" spans="1:22" ht="15.75" customHeight="1">
      <c r="A61" s="72">
        <v>15845</v>
      </c>
      <c r="B61" s="67">
        <f t="shared" ca="1" si="0"/>
        <v>83.097544328386604</v>
      </c>
      <c r="C61" s="68" t="str">
        <f t="shared" ca="1" si="1"/>
        <v>83 years, 1 months</v>
      </c>
      <c r="D61" s="69">
        <v>9449304424</v>
      </c>
      <c r="E61" s="69">
        <v>194305191212</v>
      </c>
      <c r="F61" s="70"/>
      <c r="G61" s="70" t="s">
        <v>2091</v>
      </c>
      <c r="H61" s="70" t="s">
        <v>2092</v>
      </c>
      <c r="I61" s="70" t="s">
        <v>2093</v>
      </c>
      <c r="J61" s="70" t="s">
        <v>1262</v>
      </c>
      <c r="K61" s="70" t="s">
        <v>1263</v>
      </c>
      <c r="L61" s="70"/>
      <c r="M61" s="70" t="s">
        <v>2094</v>
      </c>
      <c r="N61" s="70"/>
      <c r="O61" s="70" t="s">
        <v>1800</v>
      </c>
      <c r="P61" s="70" t="s">
        <v>1793</v>
      </c>
      <c r="Q61" s="69">
        <v>17348366</v>
      </c>
      <c r="R61" s="70"/>
      <c r="S61" s="70" t="s">
        <v>1794</v>
      </c>
      <c r="T61" s="70"/>
      <c r="U61" s="70" t="s">
        <v>2095</v>
      </c>
      <c r="V61" s="70" t="s">
        <v>2096</v>
      </c>
    </row>
    <row r="62" spans="1:22" ht="15.75" customHeight="1">
      <c r="A62" s="66">
        <v>16251</v>
      </c>
      <c r="B62" s="67">
        <f t="shared" ca="1" si="0"/>
        <v>81.985215561263317</v>
      </c>
      <c r="C62" s="68" t="str">
        <f t="shared" ca="1" si="1"/>
        <v>81 years, 11 months</v>
      </c>
      <c r="D62" s="69">
        <v>9449304920</v>
      </c>
      <c r="E62" s="69">
        <v>19440628</v>
      </c>
      <c r="F62" s="70"/>
      <c r="G62" s="70" t="s">
        <v>2097</v>
      </c>
      <c r="H62" s="70" t="s">
        <v>2098</v>
      </c>
      <c r="I62" s="70" t="s">
        <v>2099</v>
      </c>
      <c r="J62" s="70" t="s">
        <v>1391</v>
      </c>
      <c r="K62" s="70" t="s">
        <v>1263</v>
      </c>
      <c r="L62" s="70"/>
      <c r="M62" s="70" t="s">
        <v>2100</v>
      </c>
      <c r="N62" s="70"/>
      <c r="O62" s="70" t="s">
        <v>1800</v>
      </c>
      <c r="P62" s="70" t="s">
        <v>1793</v>
      </c>
      <c r="Q62" s="69">
        <v>7332902</v>
      </c>
      <c r="R62" s="70"/>
      <c r="S62" s="70" t="s">
        <v>1794</v>
      </c>
      <c r="T62" s="70"/>
      <c r="U62" s="70" t="s">
        <v>2101</v>
      </c>
      <c r="V62" s="70"/>
    </row>
    <row r="63" spans="1:22" ht="15.75" customHeight="1">
      <c r="A63" s="66">
        <v>16811</v>
      </c>
      <c r="B63" s="67">
        <f t="shared" ca="1" si="0"/>
        <v>80.450968985920852</v>
      </c>
      <c r="C63" s="68" t="str">
        <f t="shared" ca="1" si="1"/>
        <v>80 years, 5 months</v>
      </c>
      <c r="D63" s="69">
        <v>9449303908</v>
      </c>
      <c r="E63" s="69">
        <v>19460109</v>
      </c>
      <c r="F63" s="70"/>
      <c r="G63" s="70" t="s">
        <v>2102</v>
      </c>
      <c r="H63" s="70" t="s">
        <v>2103</v>
      </c>
      <c r="I63" s="70" t="s">
        <v>2104</v>
      </c>
      <c r="J63" s="70" t="s">
        <v>1422</v>
      </c>
      <c r="K63" s="70" t="s">
        <v>1285</v>
      </c>
      <c r="L63" s="70"/>
      <c r="M63" s="70" t="s">
        <v>2105</v>
      </c>
      <c r="N63" s="70" t="s">
        <v>1818</v>
      </c>
      <c r="O63" s="70" t="s">
        <v>1819</v>
      </c>
      <c r="P63" s="70" t="s">
        <v>1793</v>
      </c>
      <c r="Q63" s="69">
        <v>7296093</v>
      </c>
      <c r="R63" s="70"/>
      <c r="S63" s="70" t="s">
        <v>1794</v>
      </c>
      <c r="T63" s="70"/>
      <c r="U63" s="70" t="s">
        <v>2106</v>
      </c>
      <c r="V63" s="70"/>
    </row>
    <row r="64" spans="1:22" ht="15.75" customHeight="1">
      <c r="A64" s="66">
        <v>17085</v>
      </c>
      <c r="B64" s="67">
        <f t="shared" ca="1" si="0"/>
        <v>79.700284054413999</v>
      </c>
      <c r="C64" s="68" t="str">
        <f t="shared" ca="1" si="1"/>
        <v>79 years, 8 months</v>
      </c>
      <c r="D64" s="69">
        <v>9449306702</v>
      </c>
      <c r="E64" s="69">
        <v>19461010</v>
      </c>
      <c r="F64" s="70"/>
      <c r="G64" s="70" t="s">
        <v>2107</v>
      </c>
      <c r="H64" s="70" t="s">
        <v>2108</v>
      </c>
      <c r="I64" s="70" t="s">
        <v>2109</v>
      </c>
      <c r="J64" s="70" t="s">
        <v>1262</v>
      </c>
      <c r="K64" s="70" t="s">
        <v>1263</v>
      </c>
      <c r="L64" s="70"/>
      <c r="M64" s="70" t="s">
        <v>2110</v>
      </c>
      <c r="N64" s="70"/>
      <c r="O64" s="70" t="s">
        <v>1834</v>
      </c>
      <c r="P64" s="70" t="s">
        <v>1793</v>
      </c>
      <c r="Q64" s="69">
        <v>17359780</v>
      </c>
      <c r="R64" s="70"/>
      <c r="S64" s="70" t="s">
        <v>1794</v>
      </c>
      <c r="T64" s="70"/>
      <c r="U64" s="70" t="s">
        <v>2111</v>
      </c>
      <c r="V64" s="70"/>
    </row>
    <row r="65" spans="1:22" ht="15.75" customHeight="1">
      <c r="A65" s="66">
        <v>17090</v>
      </c>
      <c r="B65" s="67">
        <f t="shared" ca="1" si="0"/>
        <v>79.686585424277013</v>
      </c>
      <c r="C65" s="68" t="str">
        <f t="shared" ca="1" si="1"/>
        <v>79 years, 8 months</v>
      </c>
      <c r="D65" s="69">
        <v>9449306133</v>
      </c>
      <c r="E65" s="69">
        <v>19461015</v>
      </c>
      <c r="F65" s="70"/>
      <c r="G65" s="70" t="s">
        <v>2112</v>
      </c>
      <c r="H65" s="70" t="s">
        <v>2113</v>
      </c>
      <c r="I65" s="70" t="s">
        <v>2114</v>
      </c>
      <c r="J65" s="70" t="s">
        <v>1422</v>
      </c>
      <c r="K65" s="70" t="s">
        <v>1285</v>
      </c>
      <c r="L65" s="70"/>
      <c r="M65" s="70" t="s">
        <v>2115</v>
      </c>
      <c r="N65" s="70"/>
      <c r="O65" s="70" t="s">
        <v>1906</v>
      </c>
      <c r="P65" s="70" t="s">
        <v>1793</v>
      </c>
      <c r="Q65" s="69">
        <v>17357357</v>
      </c>
      <c r="R65" s="70"/>
      <c r="S65" s="70" t="s">
        <v>1794</v>
      </c>
      <c r="T65" s="70"/>
      <c r="U65" s="70" t="s">
        <v>2116</v>
      </c>
      <c r="V65" s="70"/>
    </row>
    <row r="66" spans="1:22" ht="15.75" customHeight="1">
      <c r="A66" s="66">
        <v>17131</v>
      </c>
      <c r="B66" s="67">
        <f t="shared" ca="1" si="0"/>
        <v>79.574256657153725</v>
      </c>
      <c r="C66" s="68" t="str">
        <f t="shared" ca="1" si="1"/>
        <v>79 years, 6 months</v>
      </c>
      <c r="D66" s="69">
        <v>9449309272</v>
      </c>
      <c r="E66" s="69">
        <v>19461125</v>
      </c>
      <c r="F66" s="70"/>
      <c r="G66" s="70" t="s">
        <v>2117</v>
      </c>
      <c r="H66" s="70" t="s">
        <v>2118</v>
      </c>
      <c r="I66" s="70" t="s">
        <v>2119</v>
      </c>
      <c r="J66" s="70" t="s">
        <v>1422</v>
      </c>
      <c r="K66" s="70" t="s">
        <v>1285</v>
      </c>
      <c r="L66" s="70" t="s">
        <v>2120</v>
      </c>
      <c r="M66" s="70" t="s">
        <v>2121</v>
      </c>
      <c r="N66" s="70" t="s">
        <v>2122</v>
      </c>
      <c r="O66" s="70" t="s">
        <v>1862</v>
      </c>
      <c r="P66" s="70"/>
      <c r="Q66" s="69">
        <v>18358482</v>
      </c>
      <c r="R66" s="70"/>
      <c r="S66" s="70" t="s">
        <v>1794</v>
      </c>
      <c r="T66" s="70"/>
      <c r="U66" s="70" t="s">
        <v>2123</v>
      </c>
      <c r="V66" s="70"/>
    </row>
    <row r="67" spans="1:22" ht="15.75" customHeight="1">
      <c r="A67" s="66">
        <v>17210</v>
      </c>
      <c r="B67" s="67">
        <f t="shared" ca="1" si="0"/>
        <v>79.357818300989337</v>
      </c>
      <c r="C67" s="68" t="str">
        <f t="shared" ca="1" si="1"/>
        <v>79 years, 4 months</v>
      </c>
      <c r="D67" s="69">
        <v>9449304017</v>
      </c>
      <c r="E67" s="69">
        <v>19470212</v>
      </c>
      <c r="F67" s="70"/>
      <c r="G67" s="70" t="s">
        <v>2024</v>
      </c>
      <c r="H67" s="70" t="s">
        <v>2124</v>
      </c>
      <c r="I67" s="70" t="s">
        <v>2125</v>
      </c>
      <c r="J67" s="70" t="s">
        <v>1422</v>
      </c>
      <c r="K67" s="70" t="s">
        <v>1285</v>
      </c>
      <c r="L67" s="70"/>
      <c r="M67" s="70" t="s">
        <v>2126</v>
      </c>
      <c r="N67" s="70"/>
      <c r="O67" s="70" t="s">
        <v>1792</v>
      </c>
      <c r="P67" s="70" t="s">
        <v>1793</v>
      </c>
      <c r="Q67" s="69">
        <v>7297592</v>
      </c>
      <c r="R67" s="70"/>
      <c r="S67" s="70" t="s">
        <v>1794</v>
      </c>
      <c r="T67" s="70"/>
      <c r="U67" s="70" t="s">
        <v>2127</v>
      </c>
      <c r="V67" s="70"/>
    </row>
    <row r="68" spans="1:22" ht="15.75" customHeight="1">
      <c r="A68" s="66">
        <v>17232</v>
      </c>
      <c r="B68" s="67">
        <f t="shared" ca="1" si="0"/>
        <v>79.297544328386607</v>
      </c>
      <c r="C68" s="68" t="str">
        <f t="shared" ca="1" si="1"/>
        <v>79 years, 3 months</v>
      </c>
      <c r="D68" s="69">
        <v>9449308160</v>
      </c>
      <c r="E68" s="69">
        <v>19470306</v>
      </c>
      <c r="F68" s="70"/>
      <c r="G68" s="70" t="s">
        <v>2128</v>
      </c>
      <c r="H68" s="70" t="s">
        <v>2129</v>
      </c>
      <c r="I68" s="70" t="s">
        <v>2130</v>
      </c>
      <c r="J68" s="70" t="s">
        <v>1391</v>
      </c>
      <c r="K68" s="70" t="s">
        <v>1263</v>
      </c>
      <c r="L68" s="70"/>
      <c r="M68" s="70" t="s">
        <v>2131</v>
      </c>
      <c r="N68" s="70"/>
      <c r="O68" s="70" t="s">
        <v>2132</v>
      </c>
      <c r="P68" s="70" t="s">
        <v>1793</v>
      </c>
      <c r="Q68" s="69">
        <v>17376629</v>
      </c>
      <c r="R68" s="70"/>
      <c r="S68" s="70" t="s">
        <v>1794</v>
      </c>
      <c r="T68" s="70"/>
      <c r="U68" s="70" t="s">
        <v>2133</v>
      </c>
      <c r="V68" s="70"/>
    </row>
    <row r="69" spans="1:22" ht="15.75" customHeight="1">
      <c r="A69" s="66">
        <v>17286</v>
      </c>
      <c r="B69" s="67">
        <f t="shared" ca="1" si="0"/>
        <v>79.149599122907148</v>
      </c>
      <c r="C69" s="68" t="str">
        <f t="shared" ca="1" si="1"/>
        <v>79 years, 1 months</v>
      </c>
      <c r="D69" s="69">
        <v>9449304696</v>
      </c>
      <c r="E69" s="69">
        <v>19470429</v>
      </c>
      <c r="F69" s="70"/>
      <c r="G69" s="70" t="s">
        <v>2134</v>
      </c>
      <c r="H69" s="70"/>
      <c r="I69" s="70" t="s">
        <v>2135</v>
      </c>
      <c r="J69" s="70" t="s">
        <v>1422</v>
      </c>
      <c r="K69" s="70" t="s">
        <v>1285</v>
      </c>
      <c r="L69" s="70"/>
      <c r="M69" s="70" t="s">
        <v>2136</v>
      </c>
      <c r="N69" s="70"/>
      <c r="O69" s="70" t="s">
        <v>1800</v>
      </c>
      <c r="P69" s="70" t="s">
        <v>1793</v>
      </c>
      <c r="Q69" s="69">
        <v>7330714</v>
      </c>
      <c r="R69" s="70"/>
      <c r="S69" s="70" t="s">
        <v>1794</v>
      </c>
      <c r="T69" s="70"/>
      <c r="U69" s="70" t="s">
        <v>2137</v>
      </c>
      <c r="V69" s="70"/>
    </row>
    <row r="70" spans="1:22" ht="15.75" customHeight="1">
      <c r="A70" s="66">
        <v>17325</v>
      </c>
      <c r="B70" s="67">
        <f t="shared" ca="1" si="0"/>
        <v>79.042749807838661</v>
      </c>
      <c r="C70" s="68" t="str">
        <f t="shared" ca="1" si="1"/>
        <v>79 years, 0 months</v>
      </c>
      <c r="D70" s="69">
        <v>9449309256</v>
      </c>
      <c r="E70" s="69">
        <v>19470607</v>
      </c>
      <c r="F70" s="70"/>
      <c r="G70" s="70" t="s">
        <v>2138</v>
      </c>
      <c r="H70" s="70" t="s">
        <v>2139</v>
      </c>
      <c r="I70" s="70" t="s">
        <v>2140</v>
      </c>
      <c r="J70" s="70" t="s">
        <v>1262</v>
      </c>
      <c r="K70" s="70" t="s">
        <v>1263</v>
      </c>
      <c r="L70" s="70" t="s">
        <v>2141</v>
      </c>
      <c r="M70" s="70" t="s">
        <v>2142</v>
      </c>
      <c r="N70" s="70" t="s">
        <v>2122</v>
      </c>
      <c r="O70" s="70" t="s">
        <v>1862</v>
      </c>
      <c r="P70" s="70"/>
      <c r="Q70" s="69">
        <v>30835518</v>
      </c>
      <c r="R70" s="70"/>
      <c r="S70" s="70" t="s">
        <v>1794</v>
      </c>
      <c r="T70" s="70"/>
      <c r="U70" s="70" t="s">
        <v>2143</v>
      </c>
      <c r="V70" s="70"/>
    </row>
    <row r="71" spans="1:22" ht="15.75" customHeight="1">
      <c r="A71" s="66">
        <v>17417</v>
      </c>
      <c r="B71" s="67">
        <f t="shared" ca="1" si="0"/>
        <v>78.790695013318114</v>
      </c>
      <c r="C71" s="68" t="str">
        <f t="shared" ca="1" si="1"/>
        <v>78 years, 9 months</v>
      </c>
      <c r="D71" s="69">
        <v>9449303800</v>
      </c>
      <c r="E71" s="69">
        <v>19470907</v>
      </c>
      <c r="F71" s="70"/>
      <c r="G71" s="70" t="s">
        <v>2144</v>
      </c>
      <c r="H71" s="70"/>
      <c r="I71" s="70" t="s">
        <v>2145</v>
      </c>
      <c r="J71" s="70" t="s">
        <v>1422</v>
      </c>
      <c r="K71" s="70" t="s">
        <v>1932</v>
      </c>
      <c r="L71" s="70"/>
      <c r="M71" s="70" t="s">
        <v>2146</v>
      </c>
      <c r="N71" s="70"/>
      <c r="O71" s="70" t="s">
        <v>1819</v>
      </c>
      <c r="P71" s="70" t="s">
        <v>1793</v>
      </c>
      <c r="Q71" s="69">
        <v>20166746</v>
      </c>
      <c r="R71" s="70"/>
      <c r="S71" s="70" t="s">
        <v>1794</v>
      </c>
      <c r="T71" s="70"/>
      <c r="U71" s="70" t="s">
        <v>2147</v>
      </c>
      <c r="V71" s="70"/>
    </row>
    <row r="72" spans="1:22" ht="15.75" customHeight="1">
      <c r="A72" s="66">
        <v>17437</v>
      </c>
      <c r="B72" s="67">
        <f t="shared" ca="1" si="0"/>
        <v>78.735900492770156</v>
      </c>
      <c r="C72" s="68" t="str">
        <f t="shared" ca="1" si="1"/>
        <v>78 years, 8 months</v>
      </c>
      <c r="D72" s="69">
        <v>9449307539</v>
      </c>
      <c r="E72" s="69">
        <v>19470927</v>
      </c>
      <c r="F72" s="70"/>
      <c r="G72" s="70" t="s">
        <v>2148</v>
      </c>
      <c r="H72" s="70" t="s">
        <v>2149</v>
      </c>
      <c r="I72" s="70" t="s">
        <v>2150</v>
      </c>
      <c r="J72" s="70" t="s">
        <v>1391</v>
      </c>
      <c r="K72" s="70" t="s">
        <v>1263</v>
      </c>
      <c r="L72" s="70"/>
      <c r="M72" s="70" t="s">
        <v>2151</v>
      </c>
      <c r="N72" s="70" t="s">
        <v>2055</v>
      </c>
      <c r="O72" s="70" t="s">
        <v>1807</v>
      </c>
      <c r="P72" s="70" t="s">
        <v>1793</v>
      </c>
      <c r="Q72" s="69">
        <v>7363257</v>
      </c>
      <c r="R72" s="70"/>
      <c r="S72" s="70" t="s">
        <v>1794</v>
      </c>
      <c r="T72" s="70"/>
      <c r="U72" s="70" t="s">
        <v>2152</v>
      </c>
      <c r="V72" s="70"/>
    </row>
    <row r="73" spans="1:22" ht="15.75" customHeight="1">
      <c r="A73" s="66">
        <v>17639</v>
      </c>
      <c r="B73" s="67">
        <f t="shared" ca="1" si="0"/>
        <v>78.18247583523592</v>
      </c>
      <c r="C73" s="68" t="str">
        <f t="shared" ca="1" si="1"/>
        <v>78 years, 2 months</v>
      </c>
      <c r="D73" s="73">
        <v>9449307628</v>
      </c>
      <c r="E73" s="73">
        <v>19480416</v>
      </c>
      <c r="F73" s="74"/>
      <c r="G73" s="70" t="s">
        <v>2153</v>
      </c>
      <c r="H73" s="70" t="s">
        <v>2154</v>
      </c>
      <c r="I73" s="70" t="s">
        <v>2155</v>
      </c>
      <c r="J73" s="70" t="s">
        <v>1391</v>
      </c>
      <c r="K73" s="70" t="s">
        <v>1932</v>
      </c>
      <c r="L73" s="70"/>
      <c r="M73" s="70" t="s">
        <v>2156</v>
      </c>
      <c r="N73" s="70" t="s">
        <v>1973</v>
      </c>
      <c r="O73" s="70" t="s">
        <v>1807</v>
      </c>
      <c r="P73" s="70" t="s">
        <v>1793</v>
      </c>
      <c r="Q73" s="69">
        <v>17363313</v>
      </c>
      <c r="R73" s="70"/>
      <c r="S73" s="70" t="s">
        <v>1794</v>
      </c>
      <c r="T73" s="70"/>
      <c r="U73" s="70" t="s">
        <v>2157</v>
      </c>
      <c r="V73" s="70" t="s">
        <v>2158</v>
      </c>
    </row>
    <row r="74" spans="1:22" ht="15.75" customHeight="1">
      <c r="A74" s="66">
        <v>17653</v>
      </c>
      <c r="B74" s="67">
        <f t="shared" ca="1" si="0"/>
        <v>78.144119670852348</v>
      </c>
      <c r="C74" s="68" t="str">
        <f t="shared" ca="1" si="1"/>
        <v>78 years, 1 months</v>
      </c>
      <c r="D74" s="69">
        <v>9449304130</v>
      </c>
      <c r="E74" s="69">
        <v>19480430</v>
      </c>
      <c r="F74" s="70"/>
      <c r="G74" s="70" t="s">
        <v>2159</v>
      </c>
      <c r="H74" s="70" t="s">
        <v>2160</v>
      </c>
      <c r="I74" s="70" t="s">
        <v>2161</v>
      </c>
      <c r="J74" s="70" t="s">
        <v>1391</v>
      </c>
      <c r="K74" s="70" t="s">
        <v>1263</v>
      </c>
      <c r="L74" s="70"/>
      <c r="M74" s="70" t="s">
        <v>2162</v>
      </c>
      <c r="N74" s="70"/>
      <c r="O74" s="70" t="s">
        <v>1792</v>
      </c>
      <c r="P74" s="70" t="s">
        <v>1793</v>
      </c>
      <c r="Q74" s="69">
        <v>17338054</v>
      </c>
      <c r="R74" s="70"/>
      <c r="S74" s="70" t="s">
        <v>1794</v>
      </c>
      <c r="T74" s="70"/>
      <c r="U74" s="70" t="s">
        <v>2163</v>
      </c>
      <c r="V74" s="70"/>
    </row>
    <row r="75" spans="1:22" ht="15.75" customHeight="1">
      <c r="A75" s="66">
        <v>17744</v>
      </c>
      <c r="B75" s="67">
        <f t="shared" ca="1" si="0"/>
        <v>77.894804602359201</v>
      </c>
      <c r="C75" s="68" t="str">
        <f t="shared" ca="1" si="1"/>
        <v>77 years, 10 months</v>
      </c>
      <c r="D75" s="69">
        <v>9449307156</v>
      </c>
      <c r="E75" s="69">
        <v>19480730</v>
      </c>
      <c r="F75" s="70"/>
      <c r="G75" s="70" t="s">
        <v>2164</v>
      </c>
      <c r="H75" s="70" t="s">
        <v>2165</v>
      </c>
      <c r="I75" s="70" t="s">
        <v>2166</v>
      </c>
      <c r="J75" s="70" t="s">
        <v>1422</v>
      </c>
      <c r="K75" s="70" t="s">
        <v>1932</v>
      </c>
      <c r="L75" s="70"/>
      <c r="M75" s="70" t="s">
        <v>2167</v>
      </c>
      <c r="N75" s="70"/>
      <c r="O75" s="70" t="s">
        <v>1807</v>
      </c>
      <c r="P75" s="70" t="s">
        <v>1793</v>
      </c>
      <c r="Q75" s="69">
        <v>7360843</v>
      </c>
      <c r="R75" s="70"/>
      <c r="S75" s="70" t="s">
        <v>1794</v>
      </c>
      <c r="T75" s="70"/>
      <c r="U75" s="70" t="s">
        <v>2168</v>
      </c>
      <c r="V75" s="70"/>
    </row>
    <row r="76" spans="1:22" ht="15.75" customHeight="1">
      <c r="A76" s="66">
        <v>17800</v>
      </c>
      <c r="B76" s="67">
        <f t="shared" ca="1" si="0"/>
        <v>77.741379944824956</v>
      </c>
      <c r="C76" s="68" t="str">
        <f t="shared" ca="1" si="1"/>
        <v>77 years, 8 months</v>
      </c>
      <c r="D76" s="69">
        <v>9449309264</v>
      </c>
      <c r="E76" s="69">
        <v>19480924</v>
      </c>
      <c r="F76" s="70"/>
      <c r="G76" s="70" t="s">
        <v>2169</v>
      </c>
      <c r="H76" s="70" t="s">
        <v>2170</v>
      </c>
      <c r="I76" s="70" t="s">
        <v>2004</v>
      </c>
      <c r="J76" s="70" t="s">
        <v>1422</v>
      </c>
      <c r="K76" s="70" t="s">
        <v>1285</v>
      </c>
      <c r="L76" s="70" t="s">
        <v>2171</v>
      </c>
      <c r="M76" s="70" t="s">
        <v>2172</v>
      </c>
      <c r="N76" s="70" t="s">
        <v>2122</v>
      </c>
      <c r="O76" s="70" t="s">
        <v>1862</v>
      </c>
      <c r="P76" s="70" t="s">
        <v>1793</v>
      </c>
      <c r="Q76" s="69">
        <v>18358443</v>
      </c>
      <c r="R76" s="70"/>
      <c r="S76" s="70" t="s">
        <v>1794</v>
      </c>
      <c r="T76" s="70"/>
      <c r="U76" s="70" t="s">
        <v>2173</v>
      </c>
      <c r="V76" s="70"/>
    </row>
    <row r="77" spans="1:22" ht="15.75" customHeight="1">
      <c r="A77" s="66">
        <v>17814</v>
      </c>
      <c r="B77" s="67">
        <f t="shared" ca="1" si="0"/>
        <v>77.703023780441399</v>
      </c>
      <c r="C77" s="68" t="str">
        <f t="shared" ca="1" si="1"/>
        <v>77 years, 8 months</v>
      </c>
      <c r="D77" s="69">
        <v>9449308497</v>
      </c>
      <c r="E77" s="69">
        <v>19481008</v>
      </c>
      <c r="F77" s="70"/>
      <c r="G77" s="70" t="s">
        <v>2174</v>
      </c>
      <c r="H77" s="70"/>
      <c r="I77" s="70" t="s">
        <v>1942</v>
      </c>
      <c r="J77" s="70" t="s">
        <v>1262</v>
      </c>
      <c r="K77" s="70" t="s">
        <v>1263</v>
      </c>
      <c r="L77" s="70" t="s">
        <v>2175</v>
      </c>
      <c r="M77" s="70" t="s">
        <v>2176</v>
      </c>
      <c r="N77" s="70"/>
      <c r="O77" s="70" t="s">
        <v>2177</v>
      </c>
      <c r="P77" s="70"/>
      <c r="Q77" s="69">
        <v>32602784</v>
      </c>
      <c r="R77" s="70"/>
      <c r="S77" s="70" t="s">
        <v>1794</v>
      </c>
      <c r="T77" s="70"/>
      <c r="U77" s="70" t="s">
        <v>2178</v>
      </c>
      <c r="V77" s="70"/>
    </row>
    <row r="78" spans="1:22" ht="15.75" customHeight="1">
      <c r="A78" s="66">
        <v>17857</v>
      </c>
      <c r="B78" s="67">
        <f t="shared" ca="1" si="0"/>
        <v>77.585215561263311</v>
      </c>
      <c r="C78" s="68" t="str">
        <f t="shared" ca="1" si="1"/>
        <v>77 years, 7 months</v>
      </c>
      <c r="D78" s="69">
        <v>9449306443</v>
      </c>
      <c r="E78" s="69">
        <v>19481120</v>
      </c>
      <c r="F78" s="70"/>
      <c r="G78" s="70" t="s">
        <v>2179</v>
      </c>
      <c r="H78" s="70" t="s">
        <v>2180</v>
      </c>
      <c r="I78" s="70" t="s">
        <v>2181</v>
      </c>
      <c r="J78" s="70" t="s">
        <v>1391</v>
      </c>
      <c r="K78" s="70" t="s">
        <v>1263</v>
      </c>
      <c r="L78" s="70" t="s">
        <v>2182</v>
      </c>
      <c r="M78" s="70" t="s">
        <v>2183</v>
      </c>
      <c r="N78" s="70" t="s">
        <v>2184</v>
      </c>
      <c r="O78" s="70" t="s">
        <v>1906</v>
      </c>
      <c r="P78" s="70"/>
      <c r="Q78" s="69">
        <v>17358276</v>
      </c>
      <c r="R78" s="70"/>
      <c r="S78" s="70" t="s">
        <v>1794</v>
      </c>
      <c r="T78" s="70"/>
      <c r="U78" s="70" t="s">
        <v>2185</v>
      </c>
      <c r="V78" s="70"/>
    </row>
    <row r="79" spans="1:22" ht="15.75" customHeight="1">
      <c r="A79" s="66">
        <v>17906</v>
      </c>
      <c r="B79" s="67">
        <f t="shared" ca="1" si="0"/>
        <v>77.450968985920852</v>
      </c>
      <c r="C79" s="68" t="str">
        <f t="shared" ca="1" si="1"/>
        <v>77 years, 5 months</v>
      </c>
      <c r="D79" s="69">
        <v>9449303509</v>
      </c>
      <c r="E79" s="69">
        <v>19490108</v>
      </c>
      <c r="F79" s="70"/>
      <c r="G79" s="70" t="s">
        <v>2186</v>
      </c>
      <c r="H79" s="70"/>
      <c r="I79" s="70" t="s">
        <v>2187</v>
      </c>
      <c r="J79" s="70" t="s">
        <v>1422</v>
      </c>
      <c r="K79" s="70" t="s">
        <v>1285</v>
      </c>
      <c r="L79" s="70"/>
      <c r="M79" s="70" t="s">
        <v>2188</v>
      </c>
      <c r="N79" s="70"/>
      <c r="O79" s="70" t="s">
        <v>1845</v>
      </c>
      <c r="P79" s="70"/>
      <c r="Q79" s="69">
        <v>16406373</v>
      </c>
      <c r="R79" s="70"/>
      <c r="S79" s="70" t="s">
        <v>1794</v>
      </c>
      <c r="T79" s="70"/>
      <c r="U79" s="70" t="s">
        <v>2189</v>
      </c>
      <c r="V79" s="70"/>
    </row>
    <row r="80" spans="1:22" ht="15.75" customHeight="1">
      <c r="A80" s="66">
        <v>17910</v>
      </c>
      <c r="B80" s="67">
        <f t="shared" ca="1" si="0"/>
        <v>77.440010081811252</v>
      </c>
      <c r="C80" s="68" t="str">
        <f t="shared" ca="1" si="1"/>
        <v>77 years, 5 months</v>
      </c>
      <c r="D80" s="69">
        <v>9449306354</v>
      </c>
      <c r="E80" s="69">
        <v>19490112</v>
      </c>
      <c r="F80" s="70"/>
      <c r="G80" s="70" t="s">
        <v>2190</v>
      </c>
      <c r="H80" s="70" t="s">
        <v>2191</v>
      </c>
      <c r="I80" s="70" t="s">
        <v>2192</v>
      </c>
      <c r="J80" s="70" t="s">
        <v>1391</v>
      </c>
      <c r="K80" s="70" t="s">
        <v>1263</v>
      </c>
      <c r="L80" s="70" t="s">
        <v>2193</v>
      </c>
      <c r="M80" s="70" t="s">
        <v>2194</v>
      </c>
      <c r="N80" s="70" t="s">
        <v>2184</v>
      </c>
      <c r="O80" s="70" t="s">
        <v>1906</v>
      </c>
      <c r="P80" s="70" t="s">
        <v>1793</v>
      </c>
      <c r="Q80" s="69">
        <v>29934266</v>
      </c>
      <c r="R80" s="70"/>
      <c r="S80" s="70" t="s">
        <v>1794</v>
      </c>
      <c r="T80" s="70"/>
      <c r="U80" s="70" t="s">
        <v>2195</v>
      </c>
      <c r="V80" s="70"/>
    </row>
    <row r="81" spans="1:22" ht="15.75" customHeight="1">
      <c r="A81" s="66">
        <v>17932</v>
      </c>
      <c r="B81" s="67">
        <f t="shared" ca="1" si="0"/>
        <v>77.379736109208523</v>
      </c>
      <c r="C81" s="68" t="str">
        <f t="shared" ca="1" si="1"/>
        <v>77 years, 4 months</v>
      </c>
      <c r="D81" s="69">
        <v>9449304947</v>
      </c>
      <c r="E81" s="69">
        <v>19490203</v>
      </c>
      <c r="F81" s="70"/>
      <c r="G81" s="70" t="s">
        <v>2196</v>
      </c>
      <c r="H81" s="70"/>
      <c r="I81" s="70" t="s">
        <v>2197</v>
      </c>
      <c r="J81" s="70" t="s">
        <v>1422</v>
      </c>
      <c r="K81" s="70" t="s">
        <v>1285</v>
      </c>
      <c r="L81" s="70"/>
      <c r="M81" s="70" t="s">
        <v>2198</v>
      </c>
      <c r="N81" s="70"/>
      <c r="O81" s="70" t="s">
        <v>1800</v>
      </c>
      <c r="P81" s="70" t="s">
        <v>1793</v>
      </c>
      <c r="Q81" s="69">
        <v>7332928</v>
      </c>
      <c r="R81" s="70"/>
      <c r="S81" s="70" t="s">
        <v>1794</v>
      </c>
      <c r="T81" s="70"/>
      <c r="U81" s="70" t="s">
        <v>2199</v>
      </c>
      <c r="V81" s="70"/>
    </row>
    <row r="82" spans="1:22" ht="15.75" customHeight="1">
      <c r="A82" s="66">
        <v>18068</v>
      </c>
      <c r="B82" s="67">
        <f t="shared" ca="1" si="0"/>
        <v>77.007133369482489</v>
      </c>
      <c r="C82" s="68" t="str">
        <f t="shared" ca="1" si="1"/>
        <v>77 years, 0 months</v>
      </c>
      <c r="D82" s="69">
        <v>9449304734</v>
      </c>
      <c r="E82" s="69">
        <v>19490619</v>
      </c>
      <c r="F82" s="70"/>
      <c r="G82" s="70" t="s">
        <v>2200</v>
      </c>
      <c r="H82" s="70" t="s">
        <v>2201</v>
      </c>
      <c r="I82" s="70" t="s">
        <v>2202</v>
      </c>
      <c r="J82" s="70" t="s">
        <v>1422</v>
      </c>
      <c r="K82" s="70" t="s">
        <v>1285</v>
      </c>
      <c r="L82" s="70"/>
      <c r="M82" s="70" t="s">
        <v>2203</v>
      </c>
      <c r="N82" s="70"/>
      <c r="O82" s="70" t="s">
        <v>1800</v>
      </c>
      <c r="P82" s="70" t="s">
        <v>1793</v>
      </c>
      <c r="Q82" s="69">
        <v>7331035</v>
      </c>
      <c r="R82" s="70"/>
      <c r="S82" s="70" t="s">
        <v>1794</v>
      </c>
      <c r="T82" s="70"/>
      <c r="U82" s="70" t="s">
        <v>2204</v>
      </c>
      <c r="V82" s="70"/>
    </row>
    <row r="83" spans="1:22" ht="15.75" customHeight="1">
      <c r="A83" s="66">
        <v>18082</v>
      </c>
      <c r="B83" s="67">
        <f t="shared" ca="1" si="0"/>
        <v>76.968777205098931</v>
      </c>
      <c r="C83" s="68" t="str">
        <f t="shared" ca="1" si="1"/>
        <v>76 years, 11 months</v>
      </c>
      <c r="D83" s="69">
        <v>9449307857</v>
      </c>
      <c r="E83" s="69">
        <v>19490703</v>
      </c>
      <c r="F83" s="70"/>
      <c r="G83" s="70" t="s">
        <v>2205</v>
      </c>
      <c r="H83" s="70" t="s">
        <v>2206</v>
      </c>
      <c r="I83" s="70" t="s">
        <v>2207</v>
      </c>
      <c r="J83" s="70" t="s">
        <v>1262</v>
      </c>
      <c r="K83" s="70" t="s">
        <v>1263</v>
      </c>
      <c r="L83" s="70"/>
      <c r="M83" s="70" t="s">
        <v>2208</v>
      </c>
      <c r="N83" s="70"/>
      <c r="O83" s="70" t="s">
        <v>1812</v>
      </c>
      <c r="P83" s="70" t="s">
        <v>1793</v>
      </c>
      <c r="Q83" s="69">
        <v>7377748</v>
      </c>
      <c r="R83" s="70"/>
      <c r="S83" s="70" t="s">
        <v>1794</v>
      </c>
      <c r="T83" s="70"/>
      <c r="U83" s="70" t="s">
        <v>2209</v>
      </c>
      <c r="V83" s="70"/>
    </row>
    <row r="84" spans="1:22" ht="15.75" customHeight="1">
      <c r="A84" s="66">
        <v>18092</v>
      </c>
      <c r="B84" s="67">
        <f t="shared" ca="1" si="0"/>
        <v>76.941379944824959</v>
      </c>
      <c r="C84" s="68" t="str">
        <f t="shared" ca="1" si="1"/>
        <v>76 years, 11 months</v>
      </c>
      <c r="D84" s="69">
        <v>9449307571</v>
      </c>
      <c r="E84" s="69">
        <v>19490713</v>
      </c>
      <c r="F84" s="70"/>
      <c r="G84" s="70" t="s">
        <v>2210</v>
      </c>
      <c r="H84" s="70"/>
      <c r="I84" s="70" t="s">
        <v>2211</v>
      </c>
      <c r="J84" s="70" t="s">
        <v>1391</v>
      </c>
      <c r="K84" s="70" t="s">
        <v>1263</v>
      </c>
      <c r="L84" s="70" t="s">
        <v>2212</v>
      </c>
      <c r="M84" s="70" t="s">
        <v>2213</v>
      </c>
      <c r="N84" s="70" t="s">
        <v>1973</v>
      </c>
      <c r="O84" s="70" t="s">
        <v>1807</v>
      </c>
      <c r="P84" s="70" t="s">
        <v>1793</v>
      </c>
      <c r="Q84" s="69">
        <v>17363122</v>
      </c>
      <c r="R84" s="70"/>
      <c r="S84" s="70" t="s">
        <v>1794</v>
      </c>
      <c r="T84" s="70"/>
      <c r="U84" s="70" t="s">
        <v>2214</v>
      </c>
      <c r="V84" s="70"/>
    </row>
    <row r="85" spans="1:22" ht="15.75" customHeight="1">
      <c r="A85" s="66">
        <v>18119</v>
      </c>
      <c r="B85" s="67">
        <f t="shared" ca="1" si="0"/>
        <v>76.86740734208523</v>
      </c>
      <c r="C85" s="68" t="str">
        <f t="shared" ca="1" si="1"/>
        <v>76 years, 10 months</v>
      </c>
      <c r="D85" s="69">
        <v>9449310556</v>
      </c>
      <c r="E85" s="69">
        <v>19490809</v>
      </c>
      <c r="F85" s="70"/>
      <c r="G85" s="70" t="s">
        <v>2215</v>
      </c>
      <c r="H85" s="70" t="s">
        <v>2216</v>
      </c>
      <c r="I85" s="70" t="s">
        <v>2217</v>
      </c>
      <c r="J85" s="70" t="s">
        <v>1422</v>
      </c>
      <c r="K85" s="70" t="s">
        <v>1285</v>
      </c>
      <c r="L85" s="70"/>
      <c r="M85" s="70" t="s">
        <v>2218</v>
      </c>
      <c r="N85" s="70"/>
      <c r="O85" s="70" t="s">
        <v>1800</v>
      </c>
      <c r="P85" s="70" t="s">
        <v>1793</v>
      </c>
      <c r="Q85" s="69">
        <v>7332951</v>
      </c>
      <c r="R85" s="70"/>
      <c r="S85" s="70" t="s">
        <v>1794</v>
      </c>
      <c r="T85" s="70"/>
      <c r="U85" s="70" t="s">
        <v>2219</v>
      </c>
      <c r="V85" s="70"/>
    </row>
    <row r="86" spans="1:22" ht="15.75" customHeight="1">
      <c r="A86" s="66">
        <v>18126</v>
      </c>
      <c r="B86" s="67">
        <f t="shared" ca="1" si="0"/>
        <v>76.848229259893444</v>
      </c>
      <c r="C86" s="68" t="str">
        <f t="shared" ca="1" si="1"/>
        <v>76 years, 10 months</v>
      </c>
      <c r="D86" s="69">
        <v>9449305447</v>
      </c>
      <c r="E86" s="69">
        <v>19490816</v>
      </c>
      <c r="F86" s="70"/>
      <c r="G86" s="70" t="s">
        <v>2220</v>
      </c>
      <c r="H86" s="70" t="s">
        <v>2221</v>
      </c>
      <c r="I86" s="70" t="s">
        <v>2222</v>
      </c>
      <c r="J86" s="70" t="s">
        <v>1314</v>
      </c>
      <c r="K86" s="70" t="s">
        <v>1263</v>
      </c>
      <c r="L86" s="70"/>
      <c r="M86" s="70" t="s">
        <v>2223</v>
      </c>
      <c r="N86" s="70"/>
      <c r="O86" s="70" t="s">
        <v>1800</v>
      </c>
      <c r="P86" s="70" t="s">
        <v>1793</v>
      </c>
      <c r="Q86" s="69">
        <v>7338390</v>
      </c>
      <c r="R86" s="70"/>
      <c r="S86" s="70" t="s">
        <v>1794</v>
      </c>
      <c r="T86" s="70"/>
      <c r="U86" s="70" t="s">
        <v>2224</v>
      </c>
      <c r="V86" s="70"/>
    </row>
    <row r="87" spans="1:22" ht="15.75" customHeight="1">
      <c r="A87" s="66">
        <v>18148</v>
      </c>
      <c r="B87" s="67">
        <f t="shared" ca="1" si="0"/>
        <v>76.787955287290714</v>
      </c>
      <c r="C87" s="68" t="str">
        <f t="shared" ca="1" si="1"/>
        <v>76 years, 9 months</v>
      </c>
      <c r="D87" s="69">
        <v>9449303584</v>
      </c>
      <c r="E87" s="69">
        <v>19490907</v>
      </c>
      <c r="F87" s="70"/>
      <c r="G87" s="70" t="s">
        <v>2225</v>
      </c>
      <c r="H87" s="70"/>
      <c r="I87" s="70" t="s">
        <v>2226</v>
      </c>
      <c r="J87" s="70" t="s">
        <v>1422</v>
      </c>
      <c r="K87" s="70" t="s">
        <v>1932</v>
      </c>
      <c r="L87" s="70"/>
      <c r="M87" s="70" t="s">
        <v>2227</v>
      </c>
      <c r="N87" s="70" t="s">
        <v>1818</v>
      </c>
      <c r="O87" s="70" t="s">
        <v>1819</v>
      </c>
      <c r="P87" s="70" t="s">
        <v>1793</v>
      </c>
      <c r="Q87" s="69">
        <v>7293033</v>
      </c>
      <c r="R87" s="70"/>
      <c r="S87" s="70" t="s">
        <v>1794</v>
      </c>
      <c r="T87" s="70"/>
      <c r="U87" s="70" t="s">
        <v>2228</v>
      </c>
      <c r="V87" s="70"/>
    </row>
    <row r="88" spans="1:22" ht="15.75" customHeight="1">
      <c r="A88" s="66">
        <v>18340</v>
      </c>
      <c r="B88" s="67">
        <f t="shared" ca="1" si="0"/>
        <v>76.261927890030435</v>
      </c>
      <c r="C88" s="68" t="str">
        <f t="shared" ca="1" si="1"/>
        <v>76 years, 3 months</v>
      </c>
      <c r="D88" s="69">
        <v>9449308047</v>
      </c>
      <c r="E88" s="69">
        <v>19500318</v>
      </c>
      <c r="F88" s="70"/>
      <c r="G88" s="70" t="s">
        <v>2229</v>
      </c>
      <c r="H88" s="70" t="s">
        <v>2230</v>
      </c>
      <c r="I88" s="70" t="s">
        <v>2231</v>
      </c>
      <c r="J88" s="70" t="s">
        <v>1422</v>
      </c>
      <c r="K88" s="70" t="s">
        <v>1285</v>
      </c>
      <c r="L88" s="70"/>
      <c r="M88" s="70" t="s">
        <v>2232</v>
      </c>
      <c r="N88" s="70"/>
      <c r="O88" s="70" t="s">
        <v>2132</v>
      </c>
      <c r="P88" s="70" t="s">
        <v>1793</v>
      </c>
      <c r="Q88" s="69">
        <v>7395987</v>
      </c>
      <c r="R88" s="70"/>
      <c r="S88" s="70" t="s">
        <v>1794</v>
      </c>
      <c r="T88" s="70"/>
      <c r="U88" s="70" t="s">
        <v>2233</v>
      </c>
      <c r="V88" s="70"/>
    </row>
    <row r="89" spans="1:22" ht="15.75" customHeight="1">
      <c r="A89" s="66">
        <v>18414</v>
      </c>
      <c r="B89" s="67">
        <f t="shared" ca="1" si="0"/>
        <v>76.059188164003046</v>
      </c>
      <c r="C89" s="68" t="str">
        <f t="shared" ca="1" si="1"/>
        <v>76 years, 0 months</v>
      </c>
      <c r="D89" s="69">
        <v>9449306184</v>
      </c>
      <c r="E89" s="69">
        <v>19500531</v>
      </c>
      <c r="F89" s="70"/>
      <c r="G89" s="70" t="s">
        <v>2234</v>
      </c>
      <c r="H89" s="70" t="s">
        <v>2235</v>
      </c>
      <c r="I89" s="70" t="s">
        <v>2236</v>
      </c>
      <c r="J89" s="70" t="s">
        <v>1262</v>
      </c>
      <c r="K89" s="70" t="s">
        <v>1932</v>
      </c>
      <c r="L89" s="70"/>
      <c r="M89" s="70" t="s">
        <v>2237</v>
      </c>
      <c r="N89" s="70"/>
      <c r="O89" s="70" t="s">
        <v>1906</v>
      </c>
      <c r="P89" s="70" t="s">
        <v>1793</v>
      </c>
      <c r="Q89" s="69">
        <v>7353086</v>
      </c>
      <c r="R89" s="70"/>
      <c r="S89" s="70" t="s">
        <v>1794</v>
      </c>
      <c r="T89" s="70"/>
      <c r="U89" s="70" t="s">
        <v>2238</v>
      </c>
      <c r="V89" s="70"/>
    </row>
    <row r="90" spans="1:22" ht="15.75" customHeight="1">
      <c r="A90" s="66">
        <v>18421</v>
      </c>
      <c r="B90" s="67">
        <f t="shared" ca="1" si="0"/>
        <v>76.040010081811261</v>
      </c>
      <c r="C90" s="68" t="str">
        <f t="shared" ca="1" si="1"/>
        <v>76 years, 0 months</v>
      </c>
      <c r="D90" s="73">
        <v>9449310718</v>
      </c>
      <c r="E90" s="69">
        <v>19500607</v>
      </c>
      <c r="F90" s="70"/>
      <c r="G90" s="70" t="s">
        <v>2239</v>
      </c>
      <c r="H90" s="70" t="s">
        <v>2240</v>
      </c>
      <c r="I90" s="70" t="s">
        <v>2241</v>
      </c>
      <c r="J90" s="70" t="s">
        <v>1422</v>
      </c>
      <c r="K90" s="70" t="s">
        <v>1285</v>
      </c>
      <c r="L90" s="70"/>
      <c r="M90" s="70" t="s">
        <v>2242</v>
      </c>
      <c r="N90" s="70" t="s">
        <v>1973</v>
      </c>
      <c r="O90" s="70" t="s">
        <v>1807</v>
      </c>
      <c r="P90" s="70" t="s">
        <v>1793</v>
      </c>
      <c r="Q90" s="69">
        <v>17363785</v>
      </c>
      <c r="R90" s="70" t="s">
        <v>1730</v>
      </c>
      <c r="S90" s="70" t="s">
        <v>1794</v>
      </c>
      <c r="T90" s="70"/>
      <c r="U90" s="70" t="s">
        <v>2243</v>
      </c>
      <c r="V90" s="70"/>
    </row>
    <row r="91" spans="1:22" ht="15.75" customHeight="1">
      <c r="A91" s="66">
        <v>18422</v>
      </c>
      <c r="B91" s="67">
        <f t="shared" ca="1" si="0"/>
        <v>76.037270355783861</v>
      </c>
      <c r="C91" s="68" t="str">
        <f t="shared" ca="1" si="1"/>
        <v>76 years, 0 months</v>
      </c>
      <c r="D91" s="69">
        <v>9449307067</v>
      </c>
      <c r="E91" s="69">
        <v>19500608</v>
      </c>
      <c r="F91" s="70"/>
      <c r="G91" s="70" t="s">
        <v>2244</v>
      </c>
      <c r="H91" s="70" t="s">
        <v>2245</v>
      </c>
      <c r="I91" s="70" t="s">
        <v>2246</v>
      </c>
      <c r="J91" s="70" t="s">
        <v>1314</v>
      </c>
      <c r="K91" s="70" t="s">
        <v>1263</v>
      </c>
      <c r="L91" s="70"/>
      <c r="M91" s="70" t="s">
        <v>2247</v>
      </c>
      <c r="N91" s="70"/>
      <c r="O91" s="70" t="s">
        <v>1807</v>
      </c>
      <c r="P91" s="70" t="s">
        <v>1793</v>
      </c>
      <c r="Q91" s="69">
        <v>17361160</v>
      </c>
      <c r="R91" s="70"/>
      <c r="S91" s="70" t="s">
        <v>1794</v>
      </c>
      <c r="T91" s="70"/>
      <c r="U91" s="70" t="s">
        <v>2248</v>
      </c>
      <c r="V91" s="70"/>
    </row>
    <row r="92" spans="1:22" ht="15.75" customHeight="1">
      <c r="A92" s="66">
        <v>18549</v>
      </c>
      <c r="B92" s="67">
        <f t="shared" ca="1" si="0"/>
        <v>75.689325150304413</v>
      </c>
      <c r="C92" s="68" t="str">
        <f t="shared" ca="1" si="1"/>
        <v>75 years, 8 months</v>
      </c>
      <c r="D92" s="69">
        <v>9449307768</v>
      </c>
      <c r="E92" s="69">
        <v>19501013</v>
      </c>
      <c r="F92" s="70"/>
      <c r="G92" s="70" t="s">
        <v>2249</v>
      </c>
      <c r="H92" s="70" t="s">
        <v>2250</v>
      </c>
      <c r="I92" s="70" t="s">
        <v>2251</v>
      </c>
      <c r="J92" s="70" t="s">
        <v>1422</v>
      </c>
      <c r="K92" s="70" t="s">
        <v>1285</v>
      </c>
      <c r="L92" s="70"/>
      <c r="M92" s="70" t="s">
        <v>2252</v>
      </c>
      <c r="N92" s="70" t="s">
        <v>1973</v>
      </c>
      <c r="O92" s="70" t="s">
        <v>1807</v>
      </c>
      <c r="P92" s="70" t="s">
        <v>1793</v>
      </c>
      <c r="Q92" s="69">
        <v>7365134</v>
      </c>
      <c r="R92" s="70"/>
      <c r="S92" s="70" t="s">
        <v>1794</v>
      </c>
      <c r="T92" s="70"/>
      <c r="U92" s="70" t="s">
        <v>2253</v>
      </c>
      <c r="V92" s="70"/>
    </row>
    <row r="93" spans="1:22" ht="15.75" customHeight="1">
      <c r="A93" s="66">
        <v>18753</v>
      </c>
      <c r="B93" s="67">
        <f t="shared" ca="1" si="0"/>
        <v>75.130421040715362</v>
      </c>
      <c r="C93" s="68" t="str">
        <f t="shared" ca="1" si="1"/>
        <v>75 years, 1 months</v>
      </c>
      <c r="D93" s="69">
        <v>9449308101</v>
      </c>
      <c r="E93" s="69">
        <v>19510505</v>
      </c>
      <c r="F93" s="70"/>
      <c r="G93" s="70" t="s">
        <v>2254</v>
      </c>
      <c r="H93" s="70" t="s">
        <v>2255</v>
      </c>
      <c r="I93" s="70" t="s">
        <v>2256</v>
      </c>
      <c r="J93" s="70" t="s">
        <v>1391</v>
      </c>
      <c r="K93" s="70" t="s">
        <v>1263</v>
      </c>
      <c r="L93" s="70"/>
      <c r="M93" s="70" t="s">
        <v>2257</v>
      </c>
      <c r="N93" s="70"/>
      <c r="O93" s="70" t="s">
        <v>2132</v>
      </c>
      <c r="P93" s="70" t="s">
        <v>1793</v>
      </c>
      <c r="Q93" s="69">
        <v>7396734</v>
      </c>
      <c r="R93" s="70"/>
      <c r="S93" s="70" t="s">
        <v>1794</v>
      </c>
      <c r="T93" s="70"/>
      <c r="U93" s="70" t="s">
        <v>2258</v>
      </c>
      <c r="V93" s="70"/>
    </row>
    <row r="94" spans="1:22" ht="15.75" customHeight="1">
      <c r="A94" s="66">
        <v>18800</v>
      </c>
      <c r="B94" s="67">
        <f t="shared" ca="1" si="0"/>
        <v>75.001653917427703</v>
      </c>
      <c r="C94" s="68" t="str">
        <f t="shared" ca="1" si="1"/>
        <v>75 years, 0 months</v>
      </c>
      <c r="D94" s="69">
        <v>9449307113</v>
      </c>
      <c r="E94" s="69">
        <v>19510621</v>
      </c>
      <c r="F94" s="70"/>
      <c r="G94" s="70" t="s">
        <v>2259</v>
      </c>
      <c r="H94" s="70" t="s">
        <v>2260</v>
      </c>
      <c r="I94" s="70" t="s">
        <v>2261</v>
      </c>
      <c r="J94" s="70" t="s">
        <v>1391</v>
      </c>
      <c r="K94" s="70" t="s">
        <v>1263</v>
      </c>
      <c r="L94" s="70"/>
      <c r="M94" s="70" t="s">
        <v>2262</v>
      </c>
      <c r="N94" s="70"/>
      <c r="O94" s="70" t="s">
        <v>1807</v>
      </c>
      <c r="P94" s="70" t="s">
        <v>1793</v>
      </c>
      <c r="Q94" s="69">
        <v>7360628</v>
      </c>
      <c r="R94" s="70"/>
      <c r="S94" s="70" t="s">
        <v>1794</v>
      </c>
      <c r="T94" s="70"/>
      <c r="U94" s="70" t="s">
        <v>2263</v>
      </c>
      <c r="V94" s="70"/>
    </row>
    <row r="95" spans="1:22" ht="15.75" customHeight="1">
      <c r="A95" s="66">
        <v>19031</v>
      </c>
      <c r="B95" s="67">
        <f t="shared" ca="1" si="0"/>
        <v>74.368777205098937</v>
      </c>
      <c r="C95" s="68" t="str">
        <f t="shared" ca="1" si="1"/>
        <v>74 years, 4 months</v>
      </c>
      <c r="D95" s="69">
        <v>9449307350</v>
      </c>
      <c r="E95" s="69">
        <v>19520207</v>
      </c>
      <c r="F95" s="70"/>
      <c r="G95" s="70" t="s">
        <v>2264</v>
      </c>
      <c r="H95" s="70" t="s">
        <v>2265</v>
      </c>
      <c r="I95" s="70" t="s">
        <v>2266</v>
      </c>
      <c r="J95" s="70" t="s">
        <v>1262</v>
      </c>
      <c r="K95" s="70" t="s">
        <v>1263</v>
      </c>
      <c r="L95" s="70"/>
      <c r="M95" s="70" t="s">
        <v>2267</v>
      </c>
      <c r="N95" s="70"/>
      <c r="O95" s="70" t="s">
        <v>1807</v>
      </c>
      <c r="P95" s="70" t="s">
        <v>1793</v>
      </c>
      <c r="Q95" s="69">
        <v>7361635</v>
      </c>
      <c r="R95" s="70"/>
      <c r="S95" s="70" t="s">
        <v>1794</v>
      </c>
      <c r="T95" s="70"/>
      <c r="U95" s="70" t="s">
        <v>2268</v>
      </c>
      <c r="V95" s="70"/>
    </row>
    <row r="96" spans="1:22" ht="15.75" customHeight="1">
      <c r="A96" s="66">
        <v>19062</v>
      </c>
      <c r="B96" s="67">
        <f t="shared" ca="1" si="0"/>
        <v>74.283845698249621</v>
      </c>
      <c r="C96" s="68" t="str">
        <f t="shared" ca="1" si="1"/>
        <v>74 years, 3 months</v>
      </c>
      <c r="D96" s="69">
        <v>9449304270</v>
      </c>
      <c r="E96" s="69">
        <v>19520309</v>
      </c>
      <c r="F96" s="70"/>
      <c r="G96" s="70" t="s">
        <v>2269</v>
      </c>
      <c r="H96" s="70"/>
      <c r="I96" s="70" t="s">
        <v>2270</v>
      </c>
      <c r="J96" s="70" t="s">
        <v>1262</v>
      </c>
      <c r="K96" s="70" t="s">
        <v>1263</v>
      </c>
      <c r="L96" s="70"/>
      <c r="M96" s="70" t="s">
        <v>2271</v>
      </c>
      <c r="N96" s="70"/>
      <c r="O96" s="70" t="s">
        <v>1792</v>
      </c>
      <c r="P96" s="70" t="s">
        <v>1793</v>
      </c>
      <c r="Q96" s="69">
        <v>21204356</v>
      </c>
      <c r="R96" s="70"/>
      <c r="S96" s="70" t="s">
        <v>1794</v>
      </c>
      <c r="T96" s="70"/>
      <c r="U96" s="70" t="s">
        <v>2272</v>
      </c>
      <c r="V96" s="70"/>
    </row>
    <row r="97" spans="1:22" ht="15.75" customHeight="1">
      <c r="A97" s="66">
        <v>19120</v>
      </c>
      <c r="B97" s="67">
        <f t="shared" ca="1" si="0"/>
        <v>74.124941588660576</v>
      </c>
      <c r="C97" s="68" t="str">
        <f t="shared" ca="1" si="1"/>
        <v>74 years, 1 months</v>
      </c>
      <c r="D97" s="69">
        <v>9449308179</v>
      </c>
      <c r="E97" s="69">
        <v>19520506</v>
      </c>
      <c r="F97" s="70"/>
      <c r="G97" s="70" t="s">
        <v>2273</v>
      </c>
      <c r="H97" s="70" t="s">
        <v>1877</v>
      </c>
      <c r="I97" s="70" t="s">
        <v>2274</v>
      </c>
      <c r="J97" s="70" t="s">
        <v>1391</v>
      </c>
      <c r="K97" s="70" t="s">
        <v>1263</v>
      </c>
      <c r="L97" s="70"/>
      <c r="M97" s="70" t="s">
        <v>2275</v>
      </c>
      <c r="N97" s="70"/>
      <c r="O97" s="70" t="s">
        <v>2132</v>
      </c>
      <c r="P97" s="70" t="s">
        <v>1793</v>
      </c>
      <c r="Q97" s="69">
        <v>7397496</v>
      </c>
      <c r="R97" s="70"/>
      <c r="S97" s="70" t="s">
        <v>1794</v>
      </c>
      <c r="T97" s="70"/>
      <c r="U97" s="70" t="s">
        <v>2276</v>
      </c>
      <c r="V97" s="70"/>
    </row>
    <row r="98" spans="1:22" ht="15.75" customHeight="1">
      <c r="A98" s="66">
        <v>19337</v>
      </c>
      <c r="B98" s="67">
        <f t="shared" ca="1" si="0"/>
        <v>73.530421040715368</v>
      </c>
      <c r="C98" s="68" t="str">
        <f t="shared" ca="1" si="1"/>
        <v>73 years, 6 months</v>
      </c>
      <c r="D98" s="69">
        <v>9449305102</v>
      </c>
      <c r="E98" s="69">
        <v>19521209</v>
      </c>
      <c r="F98" s="70"/>
      <c r="G98" s="70" t="s">
        <v>2277</v>
      </c>
      <c r="H98" s="70"/>
      <c r="I98" s="70" t="s">
        <v>2278</v>
      </c>
      <c r="J98" s="70" t="s">
        <v>1262</v>
      </c>
      <c r="K98" s="70" t="s">
        <v>1932</v>
      </c>
      <c r="L98" s="70" t="s">
        <v>2279</v>
      </c>
      <c r="M98" s="70" t="s">
        <v>2280</v>
      </c>
      <c r="N98" s="70"/>
      <c r="O98" s="70" t="s">
        <v>1800</v>
      </c>
      <c r="P98" s="70" t="s">
        <v>1793</v>
      </c>
      <c r="Q98" s="69">
        <v>17350827</v>
      </c>
      <c r="R98" s="70"/>
      <c r="S98" s="70" t="s">
        <v>1794</v>
      </c>
      <c r="T98" s="70"/>
      <c r="U98" s="70" t="s">
        <v>2281</v>
      </c>
      <c r="V98" s="70"/>
    </row>
    <row r="99" spans="1:22" ht="15.75" customHeight="1">
      <c r="A99" s="66">
        <v>20136</v>
      </c>
      <c r="B99" s="67">
        <f t="shared" ca="1" si="0"/>
        <v>71.341379944824951</v>
      </c>
      <c r="C99" s="68" t="str">
        <f t="shared" ca="1" si="1"/>
        <v>71 years, 4 months</v>
      </c>
      <c r="D99" s="69">
        <v>9449309329</v>
      </c>
      <c r="E99" s="69">
        <v>19550216</v>
      </c>
      <c r="F99" s="70"/>
      <c r="G99" s="70" t="s">
        <v>2282</v>
      </c>
      <c r="H99" s="70"/>
      <c r="I99" s="70" t="s">
        <v>2283</v>
      </c>
      <c r="J99" s="70" t="s">
        <v>1391</v>
      </c>
      <c r="K99" s="70" t="s">
        <v>1263</v>
      </c>
      <c r="L99" s="70" t="s">
        <v>2284</v>
      </c>
      <c r="M99" s="70" t="s">
        <v>2285</v>
      </c>
      <c r="N99" s="70" t="s">
        <v>1918</v>
      </c>
      <c r="O99" s="70" t="s">
        <v>1862</v>
      </c>
      <c r="P99" s="70" t="s">
        <v>1793</v>
      </c>
      <c r="Q99" s="69">
        <v>18358821</v>
      </c>
      <c r="R99" s="70"/>
      <c r="S99" s="70" t="s">
        <v>1794</v>
      </c>
      <c r="T99" s="70"/>
      <c r="U99" s="70" t="s">
        <v>2286</v>
      </c>
      <c r="V99" s="70"/>
    </row>
    <row r="100" spans="1:22" ht="15.75" customHeight="1">
      <c r="A100" s="66">
        <v>20323</v>
      </c>
      <c r="B100" s="67">
        <f t="shared" ca="1" si="0"/>
        <v>70.829051177701672</v>
      </c>
      <c r="C100" s="68" t="str">
        <f t="shared" ca="1" si="1"/>
        <v>70 years, 9 months</v>
      </c>
      <c r="D100" s="69">
        <v>9449305684</v>
      </c>
      <c r="E100" s="69">
        <v>19550822</v>
      </c>
      <c r="F100" s="70"/>
      <c r="G100" s="70" t="s">
        <v>2287</v>
      </c>
      <c r="H100" s="70" t="s">
        <v>2288</v>
      </c>
      <c r="I100" s="70" t="s">
        <v>2289</v>
      </c>
      <c r="J100" s="70" t="s">
        <v>1391</v>
      </c>
      <c r="K100" s="70" t="s">
        <v>1263</v>
      </c>
      <c r="L100" s="70"/>
      <c r="M100" s="70" t="s">
        <v>2290</v>
      </c>
      <c r="N100" s="70"/>
      <c r="O100" s="70" t="s">
        <v>1800</v>
      </c>
      <c r="P100" s="70" t="s">
        <v>1793</v>
      </c>
      <c r="Q100" s="69">
        <v>7340304</v>
      </c>
      <c r="R100" s="70"/>
      <c r="S100" s="70" t="s">
        <v>1794</v>
      </c>
      <c r="T100" s="70"/>
      <c r="U100" s="70" t="s">
        <v>2291</v>
      </c>
      <c r="V100" s="70"/>
    </row>
    <row r="101" spans="1:22" ht="15.75" customHeight="1">
      <c r="A101" s="66">
        <v>20545</v>
      </c>
      <c r="B101" s="67">
        <f t="shared" ca="1" si="0"/>
        <v>70.220831999619477</v>
      </c>
      <c r="C101" s="68" t="str">
        <f t="shared" ca="1" si="1"/>
        <v>70 years, 2 months</v>
      </c>
      <c r="D101" s="69">
        <v>9449307393</v>
      </c>
      <c r="E101" s="69">
        <v>19560331</v>
      </c>
      <c r="F101" s="70"/>
      <c r="G101" s="70" t="s">
        <v>2292</v>
      </c>
      <c r="H101" s="70" t="s">
        <v>2293</v>
      </c>
      <c r="I101" s="70" t="s">
        <v>2294</v>
      </c>
      <c r="J101" s="70" t="s">
        <v>1422</v>
      </c>
      <c r="K101" s="70" t="s">
        <v>1285</v>
      </c>
      <c r="L101" s="70" t="s">
        <v>2295</v>
      </c>
      <c r="M101" s="70" t="s">
        <v>2296</v>
      </c>
      <c r="N101" s="70"/>
      <c r="O101" s="70" t="s">
        <v>1807</v>
      </c>
      <c r="P101" s="70" t="s">
        <v>1793</v>
      </c>
      <c r="Q101" s="69">
        <v>17361968</v>
      </c>
      <c r="R101" s="70"/>
      <c r="S101" s="70" t="s">
        <v>1794</v>
      </c>
      <c r="T101" s="70"/>
      <c r="U101" s="70" t="s">
        <v>2297</v>
      </c>
      <c r="V101" s="70"/>
    </row>
    <row r="102" spans="1:22" ht="15.75" customHeight="1">
      <c r="A102" s="66">
        <v>20772</v>
      </c>
      <c r="B102" s="67">
        <f t="shared" ca="1" si="0"/>
        <v>69.598914191400297</v>
      </c>
      <c r="C102" s="68" t="str">
        <f t="shared" ca="1" si="1"/>
        <v>69 years, 7 months</v>
      </c>
      <c r="D102" s="69">
        <v>9449304904</v>
      </c>
      <c r="E102" s="69">
        <v>19561113</v>
      </c>
      <c r="F102" s="70"/>
      <c r="G102" s="70" t="s">
        <v>2298</v>
      </c>
      <c r="H102" s="70" t="s">
        <v>2299</v>
      </c>
      <c r="I102" s="70" t="s">
        <v>2300</v>
      </c>
      <c r="J102" s="70" t="s">
        <v>1391</v>
      </c>
      <c r="K102" s="70" t="s">
        <v>1263</v>
      </c>
      <c r="L102" s="70"/>
      <c r="M102" s="70" t="s">
        <v>2301</v>
      </c>
      <c r="N102" s="70"/>
      <c r="O102" s="70" t="s">
        <v>1800</v>
      </c>
      <c r="P102" s="70" t="s">
        <v>1793</v>
      </c>
      <c r="Q102" s="69">
        <v>7332640</v>
      </c>
      <c r="R102" s="70"/>
      <c r="S102" s="70" t="s">
        <v>1794</v>
      </c>
      <c r="T102" s="70"/>
      <c r="U102" s="70" t="s">
        <v>2302</v>
      </c>
      <c r="V102" s="70"/>
    </row>
    <row r="103" spans="1:22" ht="15.75" customHeight="1">
      <c r="A103" s="66">
        <v>21023</v>
      </c>
      <c r="B103" s="67">
        <f t="shared" ca="1" si="0"/>
        <v>68.911242958523587</v>
      </c>
      <c r="C103" s="68" t="str">
        <f t="shared" ca="1" si="1"/>
        <v>68 years, 10 months</v>
      </c>
      <c r="D103" s="69">
        <v>9449306737</v>
      </c>
      <c r="E103" s="69">
        <v>19570722</v>
      </c>
      <c r="F103" s="70"/>
      <c r="G103" s="70" t="s">
        <v>2303</v>
      </c>
      <c r="H103" s="70" t="s">
        <v>2304</v>
      </c>
      <c r="I103" s="70" t="s">
        <v>2305</v>
      </c>
      <c r="J103" s="70" t="s">
        <v>1391</v>
      </c>
      <c r="K103" s="70" t="s">
        <v>2016</v>
      </c>
      <c r="L103" s="70"/>
      <c r="M103" s="70" t="s">
        <v>2306</v>
      </c>
      <c r="N103" s="70"/>
      <c r="O103" s="70" t="s">
        <v>1834</v>
      </c>
      <c r="P103" s="70"/>
      <c r="Q103" s="69">
        <v>7358417</v>
      </c>
      <c r="R103" s="70"/>
      <c r="S103" s="70" t="s">
        <v>1794</v>
      </c>
      <c r="T103" s="70"/>
      <c r="U103" s="70" t="s">
        <v>2307</v>
      </c>
      <c r="V103" s="70"/>
    </row>
    <row r="104" spans="1:22" ht="15.75" customHeight="1">
      <c r="A104" s="66">
        <v>21449</v>
      </c>
      <c r="B104" s="67">
        <f t="shared" ca="1" si="0"/>
        <v>67.744119670852356</v>
      </c>
      <c r="C104" s="68" t="str">
        <f t="shared" ca="1" si="1"/>
        <v>67 years, 8 months</v>
      </c>
      <c r="D104" s="69">
        <v>9449305285</v>
      </c>
      <c r="E104" s="69">
        <v>19580921</v>
      </c>
      <c r="F104" s="70"/>
      <c r="G104" s="70" t="s">
        <v>2308</v>
      </c>
      <c r="H104" s="70"/>
      <c r="I104" s="70" t="s">
        <v>2309</v>
      </c>
      <c r="J104" s="70" t="s">
        <v>1422</v>
      </c>
      <c r="K104" s="70" t="s">
        <v>1285</v>
      </c>
      <c r="L104" s="70" t="s">
        <v>2310</v>
      </c>
      <c r="M104" s="70" t="s">
        <v>2311</v>
      </c>
      <c r="N104" s="70" t="s">
        <v>2312</v>
      </c>
      <c r="O104" s="70" t="s">
        <v>1800</v>
      </c>
      <c r="P104" s="70" t="s">
        <v>1793</v>
      </c>
      <c r="Q104" s="69">
        <v>17351198</v>
      </c>
      <c r="R104" s="70"/>
      <c r="S104" s="70" t="s">
        <v>1794</v>
      </c>
      <c r="T104" s="70"/>
      <c r="U104" s="70" t="s">
        <v>2313</v>
      </c>
      <c r="V104" s="70"/>
    </row>
    <row r="105" spans="1:22" ht="15.75" customHeight="1">
      <c r="A105" s="66">
        <v>21599</v>
      </c>
      <c r="B105" s="67">
        <f t="shared" ca="1" si="0"/>
        <v>67.333160766742765</v>
      </c>
      <c r="C105" s="68" t="str">
        <f t="shared" ca="1" si="1"/>
        <v>67 years, 3 months</v>
      </c>
      <c r="D105" s="69">
        <v>9449309094</v>
      </c>
      <c r="E105" s="69">
        <v>19590218</v>
      </c>
      <c r="F105" s="70"/>
      <c r="G105" s="70" t="s">
        <v>2314</v>
      </c>
      <c r="H105" s="70" t="s">
        <v>2315</v>
      </c>
      <c r="I105" s="70" t="s">
        <v>2316</v>
      </c>
      <c r="J105" s="70" t="s">
        <v>1391</v>
      </c>
      <c r="K105" s="70" t="s">
        <v>2016</v>
      </c>
      <c r="L105" s="70"/>
      <c r="M105" s="70" t="s">
        <v>2317</v>
      </c>
      <c r="N105" s="70"/>
      <c r="O105" s="70" t="s">
        <v>1862</v>
      </c>
      <c r="P105" s="70" t="s">
        <v>1793</v>
      </c>
      <c r="Q105" s="69">
        <v>9574757</v>
      </c>
      <c r="R105" s="70"/>
      <c r="S105" s="70" t="s">
        <v>1794</v>
      </c>
      <c r="T105" s="70"/>
      <c r="U105" s="70" t="s">
        <v>2318</v>
      </c>
      <c r="V105" s="70"/>
    </row>
    <row r="106" spans="1:22" ht="15.75" customHeight="1">
      <c r="A106" s="66">
        <v>21606</v>
      </c>
      <c r="B106" s="67">
        <f t="shared" ca="1" si="0"/>
        <v>67.313982684550979</v>
      </c>
      <c r="C106" s="68" t="str">
        <f t="shared" ca="1" si="1"/>
        <v>67 years, 3 months</v>
      </c>
      <c r="D106" s="69">
        <v>9449307474</v>
      </c>
      <c r="E106" s="69">
        <v>19590225</v>
      </c>
      <c r="F106" s="70"/>
      <c r="G106" s="70" t="s">
        <v>2319</v>
      </c>
      <c r="H106" s="70" t="s">
        <v>2320</v>
      </c>
      <c r="I106" s="70" t="s">
        <v>2321</v>
      </c>
      <c r="J106" s="70" t="s">
        <v>1422</v>
      </c>
      <c r="K106" s="70" t="s">
        <v>1285</v>
      </c>
      <c r="L106" s="70"/>
      <c r="M106" s="70" t="s">
        <v>2322</v>
      </c>
      <c r="N106" s="70" t="s">
        <v>2055</v>
      </c>
      <c r="O106" s="70" t="s">
        <v>1807</v>
      </c>
      <c r="P106" s="70" t="s">
        <v>1793</v>
      </c>
      <c r="Q106" s="69">
        <v>7362185</v>
      </c>
      <c r="R106" s="70"/>
      <c r="S106" s="70" t="s">
        <v>1794</v>
      </c>
      <c r="T106" s="70"/>
      <c r="U106" s="70" t="s">
        <v>2323</v>
      </c>
      <c r="V106" s="70"/>
    </row>
    <row r="107" spans="1:22" ht="15.75" customHeight="1">
      <c r="A107" s="66">
        <v>21782</v>
      </c>
      <c r="B107" s="67">
        <f t="shared" ca="1" si="0"/>
        <v>66.831790903729072</v>
      </c>
      <c r="C107" s="68" t="str">
        <f t="shared" ca="1" si="1"/>
        <v>66 years, 9 months</v>
      </c>
      <c r="D107" s="69">
        <v>9449303703</v>
      </c>
      <c r="E107" s="69">
        <v>19590820</v>
      </c>
      <c r="F107" s="70"/>
      <c r="G107" s="70" t="s">
        <v>2324</v>
      </c>
      <c r="H107" s="70" t="s">
        <v>2325</v>
      </c>
      <c r="I107" s="70" t="s">
        <v>2326</v>
      </c>
      <c r="J107" s="70" t="s">
        <v>1422</v>
      </c>
      <c r="K107" s="70" t="s">
        <v>1285</v>
      </c>
      <c r="L107" s="70"/>
      <c r="M107" s="70" t="s">
        <v>2327</v>
      </c>
      <c r="N107" s="70" t="s">
        <v>1818</v>
      </c>
      <c r="O107" s="70" t="s">
        <v>1819</v>
      </c>
      <c r="P107" s="70" t="s">
        <v>1793</v>
      </c>
      <c r="Q107" s="69">
        <v>7294294</v>
      </c>
      <c r="R107" s="70"/>
      <c r="S107" s="70" t="s">
        <v>1794</v>
      </c>
      <c r="T107" s="70"/>
      <c r="U107" s="70" t="s">
        <v>2328</v>
      </c>
      <c r="V107" s="70"/>
    </row>
    <row r="108" spans="1:22" ht="15.75" customHeight="1">
      <c r="A108" s="66">
        <v>22342</v>
      </c>
      <c r="B108" s="67">
        <f t="shared" ca="1" si="0"/>
        <v>65.297544328386607</v>
      </c>
      <c r="C108" s="68" t="str">
        <f t="shared" ca="1" si="1"/>
        <v>65 years, 3 months</v>
      </c>
      <c r="D108" s="69">
        <v>9449306869</v>
      </c>
      <c r="E108" s="69">
        <v>19610302</v>
      </c>
      <c r="F108" s="70"/>
      <c r="G108" s="70" t="s">
        <v>2329</v>
      </c>
      <c r="H108" s="70" t="s">
        <v>2330</v>
      </c>
      <c r="I108" s="70" t="s">
        <v>2331</v>
      </c>
      <c r="J108" s="70" t="s">
        <v>1262</v>
      </c>
      <c r="K108" s="70" t="s">
        <v>2016</v>
      </c>
      <c r="L108" s="70"/>
      <c r="M108" s="70" t="s">
        <v>2332</v>
      </c>
      <c r="N108" s="70"/>
      <c r="O108" s="70" t="s">
        <v>1834</v>
      </c>
      <c r="P108" s="70" t="s">
        <v>1793</v>
      </c>
      <c r="Q108" s="69">
        <v>17360381</v>
      </c>
      <c r="R108" s="70"/>
      <c r="S108" s="70" t="s">
        <v>1794</v>
      </c>
      <c r="T108" s="70"/>
      <c r="U108" s="70" t="s">
        <v>2333</v>
      </c>
      <c r="V108" s="70"/>
    </row>
    <row r="109" spans="1:22" ht="15.75" customHeight="1">
      <c r="A109" s="66">
        <v>22615</v>
      </c>
      <c r="B109" s="67">
        <f t="shared" ca="1" si="0"/>
        <v>64.549599122907154</v>
      </c>
      <c r="C109" s="68" t="str">
        <f t="shared" ca="1" si="1"/>
        <v>64 years, 6 months</v>
      </c>
      <c r="D109" s="69">
        <v>9449309620</v>
      </c>
      <c r="E109" s="69">
        <v>19611130</v>
      </c>
      <c r="F109" s="70"/>
      <c r="G109" s="70" t="s">
        <v>2334</v>
      </c>
      <c r="H109" s="70" t="s">
        <v>2335</v>
      </c>
      <c r="I109" s="70" t="s">
        <v>2336</v>
      </c>
      <c r="J109" s="70" t="s">
        <v>1422</v>
      </c>
      <c r="K109" s="70" t="s">
        <v>1285</v>
      </c>
      <c r="L109" s="70"/>
      <c r="M109" s="70" t="s">
        <v>2337</v>
      </c>
      <c r="N109" s="70"/>
      <c r="O109" s="70" t="s">
        <v>1886</v>
      </c>
      <c r="P109" s="70" t="s">
        <v>1793</v>
      </c>
      <c r="Q109" s="69">
        <v>9719748</v>
      </c>
      <c r="R109" s="70"/>
      <c r="S109" s="70" t="s">
        <v>1794</v>
      </c>
      <c r="T109" s="70"/>
      <c r="U109" s="70" t="s">
        <v>2338</v>
      </c>
      <c r="V109" s="70"/>
    </row>
    <row r="110" spans="1:22" ht="15.75" customHeight="1">
      <c r="A110" s="66">
        <v>22631</v>
      </c>
      <c r="B110" s="67">
        <f t="shared" ca="1" si="0"/>
        <v>64.505763506468796</v>
      </c>
      <c r="C110" s="68" t="str">
        <f t="shared" ca="1" si="1"/>
        <v>64 years, 6 months</v>
      </c>
      <c r="D110" s="69">
        <v>9449309515</v>
      </c>
      <c r="E110" s="69">
        <v>19611216</v>
      </c>
      <c r="F110" s="70"/>
      <c r="G110" s="70" t="s">
        <v>2339</v>
      </c>
      <c r="H110" s="70" t="s">
        <v>2340</v>
      </c>
      <c r="I110" s="70" t="s">
        <v>2341</v>
      </c>
      <c r="J110" s="70" t="s">
        <v>1391</v>
      </c>
      <c r="K110" s="70" t="s">
        <v>1263</v>
      </c>
      <c r="L110" s="70"/>
      <c r="M110" s="70" t="s">
        <v>2342</v>
      </c>
      <c r="N110" s="70" t="s">
        <v>2343</v>
      </c>
      <c r="O110" s="70" t="s">
        <v>2344</v>
      </c>
      <c r="P110" s="70" t="s">
        <v>1793</v>
      </c>
      <c r="Q110" s="69">
        <v>22575451</v>
      </c>
      <c r="R110" s="70"/>
      <c r="S110" s="70" t="s">
        <v>1794</v>
      </c>
      <c r="T110" s="70"/>
      <c r="U110" s="70" t="s">
        <v>2345</v>
      </c>
      <c r="V110" s="70"/>
    </row>
    <row r="111" spans="1:22" ht="15.75" customHeight="1">
      <c r="A111" s="66">
        <v>22805</v>
      </c>
      <c r="B111" s="67">
        <f t="shared" ca="1" si="0"/>
        <v>64.029051177701675</v>
      </c>
      <c r="C111" s="68" t="str">
        <f t="shared" ca="1" si="1"/>
        <v>64 years, 0 months</v>
      </c>
      <c r="D111" s="69">
        <v>9449309469</v>
      </c>
      <c r="E111" s="69">
        <v>19620608</v>
      </c>
      <c r="F111" s="70"/>
      <c r="G111" s="70" t="s">
        <v>2346</v>
      </c>
      <c r="H111" s="70" t="s">
        <v>2347</v>
      </c>
      <c r="I111" s="70" t="s">
        <v>2348</v>
      </c>
      <c r="J111" s="70" t="s">
        <v>1262</v>
      </c>
      <c r="K111" s="70" t="s">
        <v>1263</v>
      </c>
      <c r="L111" s="70" t="s">
        <v>2349</v>
      </c>
      <c r="M111" s="70" t="s">
        <v>2049</v>
      </c>
      <c r="N111" s="70" t="s">
        <v>2350</v>
      </c>
      <c r="O111" s="70" t="s">
        <v>1862</v>
      </c>
      <c r="P111" s="70" t="s">
        <v>1793</v>
      </c>
      <c r="Q111" s="69">
        <v>24376160</v>
      </c>
      <c r="R111" s="70"/>
      <c r="S111" s="70" t="s">
        <v>1794</v>
      </c>
      <c r="T111" s="70"/>
      <c r="U111" s="70" t="s">
        <v>2351</v>
      </c>
      <c r="V111" s="70"/>
    </row>
    <row r="112" spans="1:22" ht="15.75" customHeight="1">
      <c r="A112" s="66">
        <v>22898</v>
      </c>
      <c r="B112" s="67">
        <f t="shared" ca="1" si="0"/>
        <v>63.774256657153721</v>
      </c>
      <c r="C112" s="68" t="str">
        <f t="shared" ca="1" si="1"/>
        <v>63 years, 9 months</v>
      </c>
      <c r="D112" s="69">
        <v>9449309027</v>
      </c>
      <c r="E112" s="69">
        <v>19620909</v>
      </c>
      <c r="F112" s="70"/>
      <c r="G112" s="70" t="s">
        <v>2352</v>
      </c>
      <c r="H112" s="70" t="s">
        <v>2353</v>
      </c>
      <c r="I112" s="70" t="s">
        <v>2354</v>
      </c>
      <c r="J112" s="70" t="s">
        <v>1422</v>
      </c>
      <c r="K112" s="70" t="s">
        <v>1285</v>
      </c>
      <c r="L112" s="70" t="s">
        <v>2355</v>
      </c>
      <c r="M112" s="70" t="s">
        <v>2356</v>
      </c>
      <c r="N112" s="70" t="s">
        <v>1989</v>
      </c>
      <c r="O112" s="70" t="s">
        <v>1862</v>
      </c>
      <c r="P112" s="70" t="s">
        <v>1793</v>
      </c>
      <c r="Q112" s="69">
        <v>18357720</v>
      </c>
      <c r="R112" s="70"/>
      <c r="S112" s="70" t="s">
        <v>1794</v>
      </c>
      <c r="T112" s="70"/>
      <c r="U112" s="70" t="s">
        <v>2357</v>
      </c>
      <c r="V112" s="70"/>
    </row>
    <row r="113" spans="1:22" ht="15.75" customHeight="1">
      <c r="A113" s="66">
        <v>22940</v>
      </c>
      <c r="B113" s="67">
        <f t="shared" ca="1" si="0"/>
        <v>63.659188164003041</v>
      </c>
      <c r="C113" s="68" t="str">
        <f t="shared" ca="1" si="1"/>
        <v>63 years, 7 months</v>
      </c>
      <c r="D113" s="69">
        <v>9449306818</v>
      </c>
      <c r="E113" s="69">
        <v>19621021</v>
      </c>
      <c r="F113" s="70"/>
      <c r="G113" s="70" t="s">
        <v>2358</v>
      </c>
      <c r="H113" s="70" t="s">
        <v>2359</v>
      </c>
      <c r="I113" s="70" t="s">
        <v>2360</v>
      </c>
      <c r="J113" s="70" t="s">
        <v>1391</v>
      </c>
      <c r="K113" s="70" t="s">
        <v>1263</v>
      </c>
      <c r="L113" s="70" t="s">
        <v>2361</v>
      </c>
      <c r="M113" s="70" t="s">
        <v>2362</v>
      </c>
      <c r="N113" s="70"/>
      <c r="O113" s="70" t="s">
        <v>1834</v>
      </c>
      <c r="P113" s="70" t="s">
        <v>1793</v>
      </c>
      <c r="Q113" s="69">
        <v>17360270</v>
      </c>
      <c r="R113" s="70"/>
      <c r="S113" s="70" t="s">
        <v>1794</v>
      </c>
      <c r="T113" s="70"/>
      <c r="U113" s="70" t="s">
        <v>2363</v>
      </c>
      <c r="V113" s="70"/>
    </row>
    <row r="114" spans="1:22" ht="15.75" customHeight="1">
      <c r="A114" s="66">
        <v>23918</v>
      </c>
      <c r="B114" s="67">
        <f t="shared" ca="1" si="0"/>
        <v>60.979736109208517</v>
      </c>
      <c r="C114" s="68" t="str">
        <f t="shared" ca="1" si="1"/>
        <v>60 years, 11 months</v>
      </c>
      <c r="D114" s="75">
        <v>9449306109</v>
      </c>
      <c r="E114" s="69">
        <v>19650625</v>
      </c>
      <c r="F114" s="70"/>
      <c r="G114" s="70" t="s">
        <v>2364</v>
      </c>
      <c r="H114" s="70"/>
      <c r="I114" s="70" t="s">
        <v>2365</v>
      </c>
      <c r="J114" s="70" t="s">
        <v>1422</v>
      </c>
      <c r="K114" s="70" t="s">
        <v>1285</v>
      </c>
      <c r="L114" s="70"/>
      <c r="M114" s="70" t="s">
        <v>2366</v>
      </c>
      <c r="N114" s="70"/>
      <c r="O114" s="70" t="s">
        <v>1906</v>
      </c>
      <c r="P114" s="70" t="s">
        <v>1793</v>
      </c>
      <c r="Q114" s="69">
        <v>17357305</v>
      </c>
      <c r="R114" s="70"/>
      <c r="S114" s="70" t="s">
        <v>1794</v>
      </c>
      <c r="T114" s="70"/>
      <c r="U114" s="70" t="s">
        <v>2367</v>
      </c>
      <c r="V114" s="70"/>
    </row>
    <row r="115" spans="1:22" ht="15.75" customHeight="1">
      <c r="A115" s="66">
        <v>23991</v>
      </c>
      <c r="B115" s="67">
        <f t="shared" ca="1" si="0"/>
        <v>60.779736109208521</v>
      </c>
      <c r="C115" s="68" t="str">
        <f t="shared" ca="1" si="1"/>
        <v>60 years, 9 months</v>
      </c>
      <c r="D115" s="69">
        <v>9449303401</v>
      </c>
      <c r="E115" s="69">
        <v>19650906</v>
      </c>
      <c r="F115" s="70"/>
      <c r="G115" s="70" t="s">
        <v>2368</v>
      </c>
      <c r="H115" s="70" t="s">
        <v>2369</v>
      </c>
      <c r="I115" s="70" t="s">
        <v>2370</v>
      </c>
      <c r="J115" s="70" t="s">
        <v>1422</v>
      </c>
      <c r="K115" s="70" t="s">
        <v>1285</v>
      </c>
      <c r="L115" s="70"/>
      <c r="M115" s="70" t="s">
        <v>2371</v>
      </c>
      <c r="N115" s="70" t="s">
        <v>2079</v>
      </c>
      <c r="O115" s="70" t="s">
        <v>1845</v>
      </c>
      <c r="P115" s="70"/>
      <c r="Q115" s="69">
        <v>23874432</v>
      </c>
      <c r="R115" s="70"/>
      <c r="S115" s="70" t="s">
        <v>1794</v>
      </c>
      <c r="T115" s="70"/>
      <c r="U115" s="70" t="s">
        <v>2372</v>
      </c>
      <c r="V115" s="70"/>
    </row>
    <row r="116" spans="1:22" ht="15.75" customHeight="1">
      <c r="A116" s="66">
        <v>24062</v>
      </c>
      <c r="B116" s="67">
        <f t="shared" ca="1" si="0"/>
        <v>60.585215561263311</v>
      </c>
      <c r="C116" s="68" t="str">
        <f t="shared" ca="1" si="1"/>
        <v>60 years, 7 months</v>
      </c>
      <c r="D116" s="69">
        <v>9449306850</v>
      </c>
      <c r="E116" s="69">
        <v>19651116</v>
      </c>
      <c r="F116" s="70"/>
      <c r="G116" s="70" t="s">
        <v>2373</v>
      </c>
      <c r="H116" s="70"/>
      <c r="I116" s="70" t="s">
        <v>2374</v>
      </c>
      <c r="J116" s="70" t="s">
        <v>1422</v>
      </c>
      <c r="K116" s="70" t="s">
        <v>1285</v>
      </c>
      <c r="L116" s="70" t="s">
        <v>2375</v>
      </c>
      <c r="M116" s="70" t="s">
        <v>2376</v>
      </c>
      <c r="N116" s="70"/>
      <c r="O116" s="70" t="s">
        <v>1834</v>
      </c>
      <c r="P116" s="70" t="s">
        <v>1793</v>
      </c>
      <c r="Q116" s="69">
        <v>17360356</v>
      </c>
      <c r="R116" s="70"/>
      <c r="S116" s="70" t="s">
        <v>1794</v>
      </c>
      <c r="T116" s="70"/>
      <c r="U116" s="70" t="s">
        <v>2377</v>
      </c>
      <c r="V116" s="70"/>
    </row>
    <row r="117" spans="1:22" ht="15.75" customHeight="1">
      <c r="A117" s="66">
        <v>24078</v>
      </c>
      <c r="B117" s="67">
        <f t="shared" ca="1" si="0"/>
        <v>60.541379944824961</v>
      </c>
      <c r="C117" s="68" t="str">
        <f t="shared" ca="1" si="1"/>
        <v>60 years, 6 months</v>
      </c>
      <c r="D117" s="69">
        <v>9449308489</v>
      </c>
      <c r="E117" s="69">
        <v>19651202</v>
      </c>
      <c r="F117" s="70"/>
      <c r="G117" s="70" t="s">
        <v>2378</v>
      </c>
      <c r="H117" s="70" t="s">
        <v>2379</v>
      </c>
      <c r="I117" s="70" t="s">
        <v>2380</v>
      </c>
      <c r="J117" s="70" t="s">
        <v>1422</v>
      </c>
      <c r="K117" s="70" t="s">
        <v>1285</v>
      </c>
      <c r="L117" s="70"/>
      <c r="M117" s="70" t="s">
        <v>2381</v>
      </c>
      <c r="N117" s="70"/>
      <c r="O117" s="70" t="s">
        <v>2177</v>
      </c>
      <c r="P117" s="70" t="s">
        <v>1793</v>
      </c>
      <c r="Q117" s="69">
        <v>7400720</v>
      </c>
      <c r="R117" s="70"/>
      <c r="S117" s="70" t="s">
        <v>1794</v>
      </c>
      <c r="T117" s="70"/>
      <c r="U117" s="70" t="s">
        <v>2382</v>
      </c>
      <c r="V117" s="70"/>
    </row>
    <row r="118" spans="1:22" ht="15.75" customHeight="1">
      <c r="A118" s="66">
        <v>24486</v>
      </c>
      <c r="B118" s="67">
        <f t="shared" ca="1" si="0"/>
        <v>59.423571725646873</v>
      </c>
      <c r="C118" s="68" t="str">
        <f t="shared" ca="1" si="1"/>
        <v>59 years, 5 months</v>
      </c>
      <c r="D118" s="69">
        <v>9449309663</v>
      </c>
      <c r="E118" s="69">
        <v>19670114</v>
      </c>
      <c r="F118" s="70"/>
      <c r="G118" s="70" t="s">
        <v>2383</v>
      </c>
      <c r="H118" s="70"/>
      <c r="I118" s="70" t="s">
        <v>2384</v>
      </c>
      <c r="J118" s="70" t="s">
        <v>1422</v>
      </c>
      <c r="K118" s="70" t="s">
        <v>1285</v>
      </c>
      <c r="L118" s="70"/>
      <c r="M118" s="70" t="s">
        <v>2385</v>
      </c>
      <c r="N118" s="70"/>
      <c r="O118" s="70" t="s">
        <v>1886</v>
      </c>
      <c r="P118" s="70" t="s">
        <v>1793</v>
      </c>
      <c r="Q118" s="69">
        <v>9720224</v>
      </c>
      <c r="R118" s="70"/>
      <c r="S118" s="70" t="s">
        <v>1794</v>
      </c>
      <c r="T118" s="70"/>
      <c r="U118" s="70" t="s">
        <v>2386</v>
      </c>
      <c r="V118" s="70"/>
    </row>
    <row r="119" spans="1:22" ht="15.75" customHeight="1">
      <c r="A119" s="66">
        <v>24721</v>
      </c>
      <c r="B119" s="67">
        <f t="shared" ca="1" si="0"/>
        <v>58.779736109208521</v>
      </c>
      <c r="C119" s="68" t="str">
        <f t="shared" ca="1" si="1"/>
        <v>58 years, 9 months</v>
      </c>
      <c r="D119" s="69">
        <v>9449303746</v>
      </c>
      <c r="E119" s="69">
        <v>19670906</v>
      </c>
      <c r="F119" s="70"/>
      <c r="G119" s="70" t="s">
        <v>2387</v>
      </c>
      <c r="H119" s="70" t="s">
        <v>2388</v>
      </c>
      <c r="I119" s="70" t="s">
        <v>2389</v>
      </c>
      <c r="J119" s="70" t="s">
        <v>1391</v>
      </c>
      <c r="K119" s="70" t="s">
        <v>2016</v>
      </c>
      <c r="L119" s="70"/>
      <c r="M119" s="70" t="s">
        <v>2390</v>
      </c>
      <c r="N119" s="70"/>
      <c r="O119" s="70" t="s">
        <v>1819</v>
      </c>
      <c r="P119" s="70" t="s">
        <v>1793</v>
      </c>
      <c r="Q119" s="69">
        <v>7294343</v>
      </c>
      <c r="R119" s="70"/>
      <c r="S119" s="70" t="s">
        <v>1794</v>
      </c>
      <c r="T119" s="70"/>
      <c r="U119" s="70" t="s">
        <v>2391</v>
      </c>
      <c r="V119" s="70"/>
    </row>
    <row r="120" spans="1:22" ht="15.75" customHeight="1">
      <c r="A120" s="66">
        <v>24722</v>
      </c>
      <c r="B120" s="67">
        <f t="shared" ca="1" si="0"/>
        <v>58.776996383181121</v>
      </c>
      <c r="C120" s="68" t="str">
        <f t="shared" ca="1" si="1"/>
        <v>58 years, 9 months</v>
      </c>
      <c r="D120" s="69">
        <v>9449307288</v>
      </c>
      <c r="E120" s="69">
        <v>19670907</v>
      </c>
      <c r="F120" s="70"/>
      <c r="G120" s="70" t="s">
        <v>1301</v>
      </c>
      <c r="H120" s="70"/>
      <c r="I120" s="70" t="s">
        <v>2392</v>
      </c>
      <c r="J120" s="70" t="s">
        <v>1422</v>
      </c>
      <c r="K120" s="70" t="s">
        <v>1285</v>
      </c>
      <c r="L120" s="70"/>
      <c r="M120" s="70" t="s">
        <v>2393</v>
      </c>
      <c r="N120" s="70"/>
      <c r="O120" s="70" t="s">
        <v>1807</v>
      </c>
      <c r="P120" s="70" t="s">
        <v>1793</v>
      </c>
      <c r="Q120" s="69">
        <v>7361546</v>
      </c>
      <c r="R120" s="70"/>
      <c r="S120" s="70" t="s">
        <v>1794</v>
      </c>
      <c r="T120" s="70"/>
      <c r="U120" s="70" t="s">
        <v>2394</v>
      </c>
      <c r="V120" s="70"/>
    </row>
    <row r="121" spans="1:22" ht="15.75" customHeight="1">
      <c r="A121" s="66">
        <v>24868</v>
      </c>
      <c r="B121" s="67">
        <f t="shared" ca="1" si="0"/>
        <v>58.376996383181122</v>
      </c>
      <c r="C121" s="68" t="str">
        <f t="shared" ca="1" si="1"/>
        <v>58 years, 4 months</v>
      </c>
      <c r="D121" s="69">
        <v>9449309418</v>
      </c>
      <c r="E121" s="69">
        <v>19680131</v>
      </c>
      <c r="F121" s="70"/>
      <c r="G121" s="70" t="s">
        <v>2395</v>
      </c>
      <c r="H121" s="70" t="s">
        <v>2396</v>
      </c>
      <c r="I121" s="70" t="s">
        <v>2397</v>
      </c>
      <c r="J121" s="70" t="s">
        <v>1314</v>
      </c>
      <c r="K121" s="70" t="s">
        <v>1263</v>
      </c>
      <c r="L121" s="70" t="s">
        <v>2398</v>
      </c>
      <c r="M121" s="70" t="s">
        <v>2399</v>
      </c>
      <c r="N121" s="70" t="s">
        <v>2400</v>
      </c>
      <c r="O121" s="70" t="s">
        <v>1862</v>
      </c>
      <c r="P121" s="70" t="s">
        <v>1793</v>
      </c>
      <c r="Q121" s="69">
        <v>20524814</v>
      </c>
      <c r="R121" s="70"/>
      <c r="S121" s="70" t="s">
        <v>1794</v>
      </c>
      <c r="T121" s="70"/>
      <c r="U121" s="70" t="s">
        <v>2401</v>
      </c>
      <c r="V121" s="70"/>
    </row>
    <row r="122" spans="1:22" ht="15.75" customHeight="1">
      <c r="A122" s="66">
        <v>25348</v>
      </c>
      <c r="B122" s="67">
        <f t="shared" ca="1" si="0"/>
        <v>57.061927890030439</v>
      </c>
      <c r="C122" s="68" t="str">
        <f t="shared" ca="1" si="1"/>
        <v>57 years, 0 months</v>
      </c>
      <c r="D122" s="69">
        <v>9449307741</v>
      </c>
      <c r="E122" s="69">
        <v>19690525</v>
      </c>
      <c r="F122" s="70"/>
      <c r="G122" s="70" t="s">
        <v>2402</v>
      </c>
      <c r="H122" s="70" t="s">
        <v>2403</v>
      </c>
      <c r="I122" s="70" t="s">
        <v>2404</v>
      </c>
      <c r="J122" s="70" t="s">
        <v>1262</v>
      </c>
      <c r="K122" s="70" t="s">
        <v>2016</v>
      </c>
      <c r="L122" s="70"/>
      <c r="M122" s="70" t="s">
        <v>2405</v>
      </c>
      <c r="N122" s="70" t="s">
        <v>1973</v>
      </c>
      <c r="O122" s="70" t="s">
        <v>1807</v>
      </c>
      <c r="P122" s="70"/>
      <c r="Q122" s="69">
        <v>32566789</v>
      </c>
      <c r="R122" s="70"/>
      <c r="S122" s="70" t="s">
        <v>1794</v>
      </c>
      <c r="T122" s="70"/>
      <c r="U122" s="70" t="s">
        <v>2406</v>
      </c>
      <c r="V122" s="70"/>
    </row>
    <row r="123" spans="1:22" ht="15.75" customHeight="1">
      <c r="A123" s="66">
        <v>25569</v>
      </c>
      <c r="B123" s="67">
        <f t="shared" ca="1" si="0"/>
        <v>56.456448437975645</v>
      </c>
      <c r="C123" s="68" t="str">
        <f t="shared" ca="1" si="1"/>
        <v>56 years, 5 months</v>
      </c>
      <c r="D123" s="69">
        <v>9449310033</v>
      </c>
      <c r="E123" s="69">
        <v>19700101</v>
      </c>
      <c r="F123" s="69">
        <v>20100101</v>
      </c>
      <c r="G123" s="70" t="s">
        <v>2407</v>
      </c>
      <c r="H123" s="70"/>
      <c r="I123" s="70" t="s">
        <v>2408</v>
      </c>
      <c r="J123" s="70" t="s">
        <v>1422</v>
      </c>
      <c r="K123" s="70" t="s">
        <v>1285</v>
      </c>
      <c r="L123" s="70" t="s">
        <v>2409</v>
      </c>
      <c r="M123" s="70" t="s">
        <v>1928</v>
      </c>
      <c r="N123" s="70"/>
      <c r="O123" s="70" t="s">
        <v>1800</v>
      </c>
      <c r="P123" s="70" t="s">
        <v>1793</v>
      </c>
      <c r="Q123" s="69">
        <v>24566750</v>
      </c>
      <c r="R123" s="70"/>
      <c r="S123" s="70" t="s">
        <v>1794</v>
      </c>
      <c r="T123" s="70"/>
      <c r="U123" s="70" t="s">
        <v>2410</v>
      </c>
      <c r="V123" s="70"/>
    </row>
    <row r="124" spans="1:22" ht="15.75" customHeight="1">
      <c r="A124" s="66">
        <v>25918</v>
      </c>
      <c r="B124" s="67">
        <f t="shared" ca="1" si="0"/>
        <v>55.500284054413996</v>
      </c>
      <c r="C124" s="68" t="str">
        <f t="shared" ca="1" si="1"/>
        <v>55 years, 6 months</v>
      </c>
      <c r="D124" s="69">
        <v>9449310327</v>
      </c>
      <c r="E124" s="69">
        <v>19701216</v>
      </c>
      <c r="F124" s="70"/>
      <c r="G124" s="70" t="s">
        <v>2411</v>
      </c>
      <c r="H124" s="70"/>
      <c r="I124" s="70" t="s">
        <v>2412</v>
      </c>
      <c r="J124" s="70" t="s">
        <v>1262</v>
      </c>
      <c r="K124" s="70" t="s">
        <v>1263</v>
      </c>
      <c r="L124" s="69">
        <v>49</v>
      </c>
      <c r="M124" s="70" t="s">
        <v>2413</v>
      </c>
      <c r="N124" s="70" t="s">
        <v>2414</v>
      </c>
      <c r="O124" s="70" t="s">
        <v>1648</v>
      </c>
      <c r="P124" s="70" t="s">
        <v>2415</v>
      </c>
      <c r="Q124" s="69">
        <v>17357814</v>
      </c>
      <c r="R124" s="70"/>
      <c r="S124" s="70" t="s">
        <v>1794</v>
      </c>
      <c r="T124" s="70"/>
      <c r="U124" s="70" t="s">
        <v>2416</v>
      </c>
      <c r="V124" s="70"/>
    </row>
    <row r="125" spans="1:22" ht="15.75" customHeight="1">
      <c r="A125" s="66">
        <v>26077</v>
      </c>
      <c r="B125" s="67">
        <f t="shared" ca="1" si="0"/>
        <v>55.064667616057832</v>
      </c>
      <c r="C125" s="68" t="str">
        <f t="shared" ca="1" si="1"/>
        <v>55 years, 0 months</v>
      </c>
      <c r="D125" s="69">
        <v>9449307784</v>
      </c>
      <c r="E125" s="69">
        <v>19710524</v>
      </c>
      <c r="F125" s="70"/>
      <c r="G125" s="70" t="s">
        <v>2417</v>
      </c>
      <c r="H125" s="70" t="s">
        <v>2418</v>
      </c>
      <c r="I125" s="70" t="s">
        <v>2419</v>
      </c>
      <c r="J125" s="70" t="s">
        <v>1391</v>
      </c>
      <c r="K125" s="70" t="s">
        <v>1263</v>
      </c>
      <c r="L125" s="70"/>
      <c r="M125" s="70" t="s">
        <v>2420</v>
      </c>
      <c r="N125" s="70" t="s">
        <v>1973</v>
      </c>
      <c r="O125" s="70" t="s">
        <v>1807</v>
      </c>
      <c r="P125" s="70"/>
      <c r="Q125" s="69">
        <v>7365556</v>
      </c>
      <c r="R125" s="70"/>
      <c r="S125" s="70" t="s">
        <v>1794</v>
      </c>
      <c r="T125" s="70"/>
      <c r="U125" s="70" t="s">
        <v>2421</v>
      </c>
      <c r="V125" s="70"/>
    </row>
    <row r="126" spans="1:22" ht="15.75" customHeight="1">
      <c r="A126" s="66">
        <v>26561</v>
      </c>
      <c r="B126" s="67">
        <f t="shared" ca="1" si="0"/>
        <v>53.738640218797563</v>
      </c>
      <c r="C126" s="68" t="str">
        <f t="shared" ca="1" si="1"/>
        <v>53 years, 8 months</v>
      </c>
      <c r="D126" s="69">
        <v>9449310076</v>
      </c>
      <c r="E126" s="69">
        <v>19720919</v>
      </c>
      <c r="F126" s="70"/>
      <c r="G126" s="70" t="s">
        <v>2422</v>
      </c>
      <c r="H126" s="70" t="s">
        <v>2423</v>
      </c>
      <c r="I126" s="70" t="s">
        <v>2424</v>
      </c>
      <c r="J126" s="70" t="s">
        <v>1262</v>
      </c>
      <c r="K126" s="70" t="s">
        <v>1263</v>
      </c>
      <c r="L126" s="70"/>
      <c r="M126" s="70" t="s">
        <v>2425</v>
      </c>
      <c r="N126" s="70"/>
      <c r="O126" s="70" t="s">
        <v>1792</v>
      </c>
      <c r="P126" s="70" t="s">
        <v>1793</v>
      </c>
      <c r="Q126" s="69">
        <v>7297776</v>
      </c>
      <c r="R126" s="70"/>
      <c r="S126" s="70" t="s">
        <v>1794</v>
      </c>
      <c r="T126" s="70"/>
      <c r="U126" s="70" t="s">
        <v>2416</v>
      </c>
      <c r="V126" s="70" t="s">
        <v>2426</v>
      </c>
    </row>
    <row r="127" spans="1:22" ht="15.75" customHeight="1">
      <c r="A127" s="66">
        <v>26561</v>
      </c>
      <c r="B127" s="67">
        <f t="shared" ca="1" si="0"/>
        <v>53.738640218797563</v>
      </c>
      <c r="C127" s="68" t="str">
        <f t="shared" ca="1" si="1"/>
        <v>53 years, 8 months</v>
      </c>
      <c r="D127" s="69">
        <v>9449310068</v>
      </c>
      <c r="E127" s="69">
        <v>19720919</v>
      </c>
      <c r="F127" s="70"/>
      <c r="G127" s="70" t="s">
        <v>2427</v>
      </c>
      <c r="H127" s="70" t="s">
        <v>2428</v>
      </c>
      <c r="I127" s="70" t="s">
        <v>2424</v>
      </c>
      <c r="J127" s="70" t="s">
        <v>1314</v>
      </c>
      <c r="K127" s="70" t="s">
        <v>1263</v>
      </c>
      <c r="L127" s="70"/>
      <c r="M127" s="70" t="s">
        <v>2429</v>
      </c>
      <c r="N127" s="70"/>
      <c r="O127" s="70" t="s">
        <v>1819</v>
      </c>
      <c r="P127" s="70" t="s">
        <v>1793</v>
      </c>
      <c r="Q127" s="69">
        <v>7296732</v>
      </c>
      <c r="R127" s="70"/>
      <c r="S127" s="70" t="s">
        <v>1794</v>
      </c>
      <c r="T127" s="70"/>
      <c r="U127" s="70" t="s">
        <v>2430</v>
      </c>
      <c r="V127" s="70"/>
    </row>
    <row r="128" spans="1:22" ht="15.75" customHeight="1">
      <c r="A128" s="66">
        <v>26561</v>
      </c>
      <c r="B128" s="67">
        <f t="shared" ca="1" si="0"/>
        <v>53.738640218797563</v>
      </c>
      <c r="C128" s="68" t="str">
        <f t="shared" ca="1" si="1"/>
        <v>53 years, 8 months</v>
      </c>
      <c r="D128" s="69">
        <v>9449310041</v>
      </c>
      <c r="E128" s="69">
        <v>19720919</v>
      </c>
      <c r="F128" s="70"/>
      <c r="G128" s="70" t="s">
        <v>2427</v>
      </c>
      <c r="H128" s="70" t="s">
        <v>2431</v>
      </c>
      <c r="I128" s="70" t="s">
        <v>2424</v>
      </c>
      <c r="J128" s="70" t="s">
        <v>1314</v>
      </c>
      <c r="K128" s="70" t="s">
        <v>1263</v>
      </c>
      <c r="L128" s="70"/>
      <c r="M128" s="70" t="s">
        <v>2432</v>
      </c>
      <c r="N128" s="70"/>
      <c r="O128" s="70" t="s">
        <v>1819</v>
      </c>
      <c r="P128" s="70" t="s">
        <v>1793</v>
      </c>
      <c r="Q128" s="69">
        <v>7295324</v>
      </c>
      <c r="R128" s="70"/>
      <c r="S128" s="70" t="s">
        <v>1794</v>
      </c>
      <c r="T128" s="70"/>
      <c r="U128" s="70" t="s">
        <v>2433</v>
      </c>
      <c r="V128" s="70"/>
    </row>
    <row r="129" spans="1:22" ht="15.75" customHeight="1">
      <c r="A129" s="66">
        <v>26665</v>
      </c>
      <c r="B129" s="67">
        <f t="shared" ca="1" si="0"/>
        <v>53.453708711948245</v>
      </c>
      <c r="C129" s="68" t="str">
        <f t="shared" ca="1" si="1"/>
        <v>53 years, 5 months</v>
      </c>
      <c r="D129" s="69">
        <v>9449310629</v>
      </c>
      <c r="E129" s="69">
        <v>19730101</v>
      </c>
      <c r="F129" s="69">
        <v>20101001</v>
      </c>
      <c r="G129" s="70" t="s">
        <v>2434</v>
      </c>
      <c r="H129" s="70" t="s">
        <v>2435</v>
      </c>
      <c r="I129" s="70" t="s">
        <v>2436</v>
      </c>
      <c r="J129" s="70" t="s">
        <v>1422</v>
      </c>
      <c r="K129" s="70" t="s">
        <v>1285</v>
      </c>
      <c r="L129" s="70"/>
      <c r="M129" s="70" t="s">
        <v>2437</v>
      </c>
      <c r="N129" s="70" t="s">
        <v>2055</v>
      </c>
      <c r="O129" s="70" t="s">
        <v>1807</v>
      </c>
      <c r="P129" s="70" t="s">
        <v>1793</v>
      </c>
      <c r="Q129" s="69">
        <v>7363228</v>
      </c>
      <c r="R129" s="70"/>
      <c r="S129" s="70" t="s">
        <v>1794</v>
      </c>
      <c r="T129" s="70"/>
      <c r="U129" s="70" t="s">
        <v>2438</v>
      </c>
      <c r="V129" s="70"/>
    </row>
    <row r="130" spans="1:22" ht="15.75" customHeight="1">
      <c r="A130" s="66">
        <v>26957</v>
      </c>
      <c r="B130" s="67">
        <f t="shared" ca="1" si="0"/>
        <v>52.653708711948248</v>
      </c>
      <c r="C130" s="68" t="str">
        <f t="shared" ca="1" si="1"/>
        <v>52 years, 7 months</v>
      </c>
      <c r="D130" s="69">
        <v>9449310084</v>
      </c>
      <c r="E130" s="69">
        <v>19731020</v>
      </c>
      <c r="F130" s="70"/>
      <c r="G130" s="70" t="s">
        <v>2439</v>
      </c>
      <c r="H130" s="70" t="s">
        <v>2440</v>
      </c>
      <c r="I130" s="70" t="s">
        <v>2441</v>
      </c>
      <c r="J130" s="70" t="s">
        <v>1422</v>
      </c>
      <c r="K130" s="70" t="s">
        <v>1285</v>
      </c>
      <c r="L130" s="70"/>
      <c r="M130" s="70" t="s">
        <v>2442</v>
      </c>
      <c r="N130" s="70"/>
      <c r="O130" s="70" t="s">
        <v>1792</v>
      </c>
      <c r="P130" s="70" t="s">
        <v>1793</v>
      </c>
      <c r="Q130" s="69">
        <v>27907816</v>
      </c>
      <c r="R130" s="70"/>
      <c r="S130" s="70" t="s">
        <v>1794</v>
      </c>
      <c r="T130" s="70"/>
      <c r="U130" s="70" t="s">
        <v>2443</v>
      </c>
      <c r="V130" s="70"/>
    </row>
    <row r="131" spans="1:22" ht="15.75" customHeight="1">
      <c r="A131" s="66">
        <v>27067</v>
      </c>
      <c r="B131" s="67">
        <f t="shared" ca="1" si="0"/>
        <v>52.352338848934544</v>
      </c>
      <c r="C131" s="68" t="str">
        <f t="shared" ca="1" si="1"/>
        <v>52 years, 4 months</v>
      </c>
      <c r="D131" s="69">
        <v>9449304939</v>
      </c>
      <c r="E131" s="69">
        <v>19740207</v>
      </c>
      <c r="F131" s="70"/>
      <c r="G131" s="70" t="s">
        <v>2444</v>
      </c>
      <c r="H131" s="70" t="s">
        <v>2445</v>
      </c>
      <c r="I131" s="70" t="s">
        <v>2446</v>
      </c>
      <c r="J131" s="70" t="s">
        <v>1422</v>
      </c>
      <c r="K131" s="70" t="s">
        <v>2016</v>
      </c>
      <c r="L131" s="70"/>
      <c r="M131" s="70" t="s">
        <v>2447</v>
      </c>
      <c r="N131" s="70"/>
      <c r="O131" s="70" t="s">
        <v>1800</v>
      </c>
      <c r="P131" s="70" t="s">
        <v>1793</v>
      </c>
      <c r="Q131" s="69">
        <v>7332910</v>
      </c>
      <c r="R131" s="70"/>
      <c r="S131" s="70" t="s">
        <v>1794</v>
      </c>
      <c r="T131" s="70"/>
      <c r="U131" s="70" t="s">
        <v>2448</v>
      </c>
      <c r="V131" s="70"/>
    </row>
    <row r="132" spans="1:22" ht="15.75" customHeight="1">
      <c r="A132" s="66">
        <v>27120</v>
      </c>
      <c r="B132" s="67">
        <f t="shared" ca="1" si="0"/>
        <v>52.207133369482492</v>
      </c>
      <c r="C132" s="68" t="str">
        <f t="shared" ca="1" si="1"/>
        <v>52 years, 2 months</v>
      </c>
      <c r="D132" s="69">
        <v>9449310092</v>
      </c>
      <c r="E132" s="69">
        <v>19740401</v>
      </c>
      <c r="F132" s="70"/>
      <c r="G132" s="70" t="s">
        <v>2449</v>
      </c>
      <c r="H132" s="70" t="s">
        <v>2450</v>
      </c>
      <c r="I132" s="70" t="s">
        <v>2451</v>
      </c>
      <c r="J132" s="70" t="s">
        <v>1314</v>
      </c>
      <c r="K132" s="70" t="s">
        <v>1263</v>
      </c>
      <c r="L132" s="70"/>
      <c r="M132" s="70" t="s">
        <v>2452</v>
      </c>
      <c r="N132" s="70"/>
      <c r="O132" s="70" t="s">
        <v>1792</v>
      </c>
      <c r="P132" s="70" t="s">
        <v>1793</v>
      </c>
      <c r="Q132" s="69">
        <v>7298226</v>
      </c>
      <c r="R132" s="70"/>
      <c r="S132" s="70" t="s">
        <v>1794</v>
      </c>
      <c r="T132" s="70"/>
      <c r="U132" s="70" t="s">
        <v>2453</v>
      </c>
      <c r="V132" s="70"/>
    </row>
    <row r="133" spans="1:22" ht="15.75" customHeight="1">
      <c r="A133" s="66">
        <v>27154</v>
      </c>
      <c r="B133" s="67">
        <f t="shared" ca="1" si="0"/>
        <v>52.113982684550983</v>
      </c>
      <c r="C133" s="68" t="str">
        <f t="shared" ca="1" si="1"/>
        <v>52 years, 1 months</v>
      </c>
      <c r="D133" s="69">
        <v>9449310106</v>
      </c>
      <c r="E133" s="69">
        <v>19740505</v>
      </c>
      <c r="F133" s="70"/>
      <c r="G133" s="70" t="s">
        <v>2454</v>
      </c>
      <c r="H133" s="70" t="s">
        <v>2455</v>
      </c>
      <c r="I133" s="70" t="s">
        <v>2456</v>
      </c>
      <c r="J133" s="70" t="s">
        <v>1422</v>
      </c>
      <c r="K133" s="70" t="s">
        <v>1285</v>
      </c>
      <c r="L133" s="70"/>
      <c r="M133" s="70" t="s">
        <v>2457</v>
      </c>
      <c r="N133" s="70"/>
      <c r="O133" s="70" t="s">
        <v>1800</v>
      </c>
      <c r="P133" s="70" t="s">
        <v>1793</v>
      </c>
      <c r="Q133" s="69">
        <v>7331375</v>
      </c>
      <c r="R133" s="70"/>
      <c r="S133" s="70" t="s">
        <v>1794</v>
      </c>
      <c r="T133" s="70"/>
      <c r="U133" s="70" t="s">
        <v>2458</v>
      </c>
      <c r="V133" s="70"/>
    </row>
    <row r="134" spans="1:22" ht="15.75" customHeight="1">
      <c r="A134" s="66">
        <v>27181</v>
      </c>
      <c r="B134" s="67">
        <f t="shared" ca="1" si="0"/>
        <v>52.040010081811261</v>
      </c>
      <c r="C134" s="68" t="str">
        <f t="shared" ca="1" si="1"/>
        <v>52 years, 0 months</v>
      </c>
      <c r="D134" s="69">
        <v>9449310114</v>
      </c>
      <c r="E134" s="69">
        <v>19740601</v>
      </c>
      <c r="F134" s="70"/>
      <c r="G134" s="70" t="s">
        <v>2459</v>
      </c>
      <c r="H134" s="70" t="s">
        <v>2460</v>
      </c>
      <c r="I134" s="70" t="s">
        <v>2461</v>
      </c>
      <c r="J134" s="70" t="s">
        <v>1262</v>
      </c>
      <c r="K134" s="70" t="s">
        <v>1263</v>
      </c>
      <c r="L134" s="70"/>
      <c r="M134" s="70" t="s">
        <v>2462</v>
      </c>
      <c r="N134" s="70"/>
      <c r="O134" s="70" t="s">
        <v>1800</v>
      </c>
      <c r="P134" s="70" t="s">
        <v>1793</v>
      </c>
      <c r="Q134" s="69">
        <v>17349526</v>
      </c>
      <c r="R134" s="70"/>
      <c r="S134" s="70" t="s">
        <v>1794</v>
      </c>
      <c r="T134" s="70"/>
      <c r="U134" s="70" t="s">
        <v>2463</v>
      </c>
      <c r="V134" s="70"/>
    </row>
    <row r="135" spans="1:22" ht="15.75" customHeight="1">
      <c r="A135" s="66">
        <v>27210</v>
      </c>
      <c r="B135" s="67">
        <f t="shared" ca="1" si="0"/>
        <v>51.960558027016738</v>
      </c>
      <c r="C135" s="68" t="str">
        <f t="shared" ca="1" si="1"/>
        <v>51 years, 11 months</v>
      </c>
      <c r="D135" s="69">
        <v>9449310122</v>
      </c>
      <c r="E135" s="69">
        <v>19740630</v>
      </c>
      <c r="F135" s="70"/>
      <c r="G135" s="70" t="s">
        <v>2464</v>
      </c>
      <c r="H135" s="70" t="s">
        <v>2465</v>
      </c>
      <c r="I135" s="70" t="s">
        <v>2466</v>
      </c>
      <c r="J135" s="70" t="s">
        <v>1262</v>
      </c>
      <c r="K135" s="70" t="s">
        <v>1263</v>
      </c>
      <c r="L135" s="70"/>
      <c r="M135" s="70" t="s">
        <v>2467</v>
      </c>
      <c r="N135" s="70"/>
      <c r="O135" s="70" t="s">
        <v>1800</v>
      </c>
      <c r="P135" s="70" t="s">
        <v>1793</v>
      </c>
      <c r="Q135" s="69">
        <v>7331943</v>
      </c>
      <c r="R135" s="70"/>
      <c r="S135" s="70" t="s">
        <v>1794</v>
      </c>
      <c r="T135" s="70"/>
      <c r="U135" s="70" t="s">
        <v>2468</v>
      </c>
      <c r="V135" s="70"/>
    </row>
    <row r="136" spans="1:22" ht="15.75" customHeight="1">
      <c r="A136" s="66">
        <v>27211</v>
      </c>
      <c r="B136" s="67">
        <f t="shared" ca="1" si="0"/>
        <v>51.957818300989338</v>
      </c>
      <c r="C136" s="68" t="str">
        <f t="shared" ca="1" si="1"/>
        <v>51 years, 11 months</v>
      </c>
      <c r="D136" s="69">
        <v>9449310130</v>
      </c>
      <c r="E136" s="69">
        <v>19740701</v>
      </c>
      <c r="F136" s="70"/>
      <c r="G136" s="70" t="s">
        <v>2459</v>
      </c>
      <c r="H136" s="70"/>
      <c r="I136" s="70" t="s">
        <v>2469</v>
      </c>
      <c r="J136" s="70" t="s">
        <v>1262</v>
      </c>
      <c r="K136" s="70" t="s">
        <v>1263</v>
      </c>
      <c r="L136" s="70"/>
      <c r="M136" s="70" t="s">
        <v>2470</v>
      </c>
      <c r="N136" s="70"/>
      <c r="O136" s="70" t="s">
        <v>1800</v>
      </c>
      <c r="P136" s="70" t="s">
        <v>1793</v>
      </c>
      <c r="Q136" s="69">
        <v>7332231</v>
      </c>
      <c r="R136" s="70"/>
      <c r="S136" s="70" t="s">
        <v>1794</v>
      </c>
      <c r="T136" s="70"/>
      <c r="U136" s="70" t="s">
        <v>2471</v>
      </c>
      <c r="V136" s="70"/>
    </row>
    <row r="137" spans="1:22" ht="15.75" customHeight="1">
      <c r="A137" s="66">
        <v>27240</v>
      </c>
      <c r="B137" s="67">
        <f t="shared" ca="1" si="0"/>
        <v>51.878366246194823</v>
      </c>
      <c r="C137" s="68" t="str">
        <f t="shared" ca="1" si="1"/>
        <v>51 years, 10 months</v>
      </c>
      <c r="D137" s="69">
        <v>9449310149</v>
      </c>
      <c r="E137" s="69">
        <v>19740730</v>
      </c>
      <c r="F137" s="70"/>
      <c r="G137" s="70" t="s">
        <v>2472</v>
      </c>
      <c r="H137" s="70"/>
      <c r="I137" s="70" t="s">
        <v>2473</v>
      </c>
      <c r="J137" s="70" t="s">
        <v>1262</v>
      </c>
      <c r="K137" s="70" t="s">
        <v>1263</v>
      </c>
      <c r="L137" s="70"/>
      <c r="M137" s="70" t="s">
        <v>2474</v>
      </c>
      <c r="N137" s="70"/>
      <c r="O137" s="70" t="s">
        <v>1800</v>
      </c>
      <c r="P137" s="70" t="s">
        <v>1793</v>
      </c>
      <c r="Q137" s="69">
        <v>7334566</v>
      </c>
      <c r="R137" s="70"/>
      <c r="S137" s="70" t="s">
        <v>1794</v>
      </c>
      <c r="T137" s="70"/>
      <c r="U137" s="70" t="s">
        <v>2475</v>
      </c>
      <c r="V137" s="70"/>
    </row>
    <row r="138" spans="1:22" ht="15.75" customHeight="1">
      <c r="A138" s="66">
        <v>28147</v>
      </c>
      <c r="B138" s="67">
        <f t="shared" ca="1" si="0"/>
        <v>49.393434739345508</v>
      </c>
      <c r="C138" s="68" t="str">
        <f t="shared" ca="1" si="1"/>
        <v>49 years, 4 months</v>
      </c>
      <c r="D138" s="69">
        <v>9449307075</v>
      </c>
      <c r="E138" s="69">
        <v>19770122</v>
      </c>
      <c r="F138" s="70"/>
      <c r="G138" s="70" t="s">
        <v>2476</v>
      </c>
      <c r="H138" s="70" t="s">
        <v>2477</v>
      </c>
      <c r="I138" s="70" t="s">
        <v>2478</v>
      </c>
      <c r="J138" s="70" t="s">
        <v>1262</v>
      </c>
      <c r="K138" s="70" t="s">
        <v>1263</v>
      </c>
      <c r="L138" s="70"/>
      <c r="M138" s="70" t="s">
        <v>2479</v>
      </c>
      <c r="N138" s="70"/>
      <c r="O138" s="70" t="s">
        <v>1807</v>
      </c>
      <c r="P138" s="70" t="s">
        <v>1793</v>
      </c>
      <c r="Q138" s="69">
        <v>21972838</v>
      </c>
      <c r="R138" s="70"/>
      <c r="S138" s="70" t="s">
        <v>1794</v>
      </c>
      <c r="T138" s="70"/>
      <c r="U138" s="70" t="s">
        <v>2480</v>
      </c>
      <c r="V138" s="70"/>
    </row>
    <row r="139" spans="1:22" ht="15.75" customHeight="1">
      <c r="A139" s="66">
        <v>28278</v>
      </c>
      <c r="B139" s="67">
        <f t="shared" ca="1" si="0"/>
        <v>49.034530629756468</v>
      </c>
      <c r="C139" s="68" t="str">
        <f t="shared" ca="1" si="1"/>
        <v>49 years, 0 months</v>
      </c>
      <c r="D139" s="69">
        <v>9449310688</v>
      </c>
      <c r="E139" s="69">
        <v>19770602</v>
      </c>
      <c r="F139" s="69">
        <v>20110101</v>
      </c>
      <c r="G139" s="70" t="s">
        <v>2481</v>
      </c>
      <c r="H139" s="70" t="s">
        <v>2482</v>
      </c>
      <c r="I139" s="70" t="s">
        <v>2483</v>
      </c>
      <c r="J139" s="70" t="s">
        <v>1314</v>
      </c>
      <c r="K139" s="70" t="s">
        <v>1263</v>
      </c>
      <c r="L139" s="70"/>
      <c r="M139" s="70" t="s">
        <v>2484</v>
      </c>
      <c r="N139" s="70"/>
      <c r="O139" s="70" t="s">
        <v>1800</v>
      </c>
      <c r="P139" s="70" t="s">
        <v>1793</v>
      </c>
      <c r="Q139" s="69">
        <v>7330948</v>
      </c>
      <c r="R139" s="70"/>
      <c r="S139" s="70" t="s">
        <v>1794</v>
      </c>
      <c r="T139" s="70"/>
      <c r="U139" s="70" t="s">
        <v>2485</v>
      </c>
      <c r="V139" s="70"/>
    </row>
    <row r="140" spans="1:22" ht="15.75" customHeight="1">
      <c r="A140" s="66">
        <v>28514</v>
      </c>
      <c r="B140" s="67">
        <f t="shared" ca="1" si="0"/>
        <v>48.387955287290708</v>
      </c>
      <c r="C140" s="68" t="str">
        <f t="shared" ca="1" si="1"/>
        <v>48 years, 4 months</v>
      </c>
      <c r="D140" s="69">
        <v>9449310548</v>
      </c>
      <c r="E140" s="69">
        <v>19780124</v>
      </c>
      <c r="F140" s="69">
        <v>20101225</v>
      </c>
      <c r="G140" s="70" t="s">
        <v>2486</v>
      </c>
      <c r="H140" s="70" t="s">
        <v>2487</v>
      </c>
      <c r="I140" s="70" t="s">
        <v>2488</v>
      </c>
      <c r="J140" s="70" t="s">
        <v>1422</v>
      </c>
      <c r="K140" s="70" t="s">
        <v>1932</v>
      </c>
      <c r="L140" s="70" t="s">
        <v>2489</v>
      </c>
      <c r="M140" s="70" t="s">
        <v>2490</v>
      </c>
      <c r="N140" s="70"/>
      <c r="O140" s="70" t="s">
        <v>1807</v>
      </c>
      <c r="P140" s="70"/>
      <c r="Q140" s="69">
        <v>30873418</v>
      </c>
      <c r="R140" s="70"/>
      <c r="S140" s="70" t="s">
        <v>1794</v>
      </c>
      <c r="T140" s="70"/>
      <c r="U140" s="70" t="s">
        <v>2491</v>
      </c>
      <c r="V140" s="70"/>
    </row>
    <row r="141" spans="1:22" ht="15.75" customHeight="1">
      <c r="A141" s="66">
        <v>28737</v>
      </c>
      <c r="B141" s="67">
        <f t="shared" ca="1" si="0"/>
        <v>47.776996383181121</v>
      </c>
      <c r="C141" s="68" t="str">
        <f t="shared" ca="1" si="1"/>
        <v>47 years, 9 months</v>
      </c>
      <c r="D141" s="69">
        <v>9449309930</v>
      </c>
      <c r="E141" s="69">
        <v>19780904</v>
      </c>
      <c r="F141" s="70"/>
      <c r="G141" s="70" t="s">
        <v>2492</v>
      </c>
      <c r="H141" s="70" t="s">
        <v>2493</v>
      </c>
      <c r="I141" s="70" t="s">
        <v>2494</v>
      </c>
      <c r="J141" s="70" t="s">
        <v>1391</v>
      </c>
      <c r="K141" s="70" t="s">
        <v>1263</v>
      </c>
      <c r="L141" s="70" t="s">
        <v>2495</v>
      </c>
      <c r="M141" s="70" t="s">
        <v>2496</v>
      </c>
      <c r="N141" s="70"/>
      <c r="O141" s="70" t="s">
        <v>1886</v>
      </c>
      <c r="P141" s="70" t="s">
        <v>1793</v>
      </c>
      <c r="Q141" s="69">
        <v>18811436</v>
      </c>
      <c r="R141" s="70"/>
      <c r="S141" s="70" t="s">
        <v>1794</v>
      </c>
      <c r="T141" s="70"/>
      <c r="U141" s="70" t="s">
        <v>2497</v>
      </c>
      <c r="V141" s="70"/>
    </row>
    <row r="142" spans="1:22" ht="15.75" customHeight="1">
      <c r="A142" s="66">
        <v>28863</v>
      </c>
      <c r="B142" s="67">
        <f t="shared" ca="1" si="0"/>
        <v>47.431790903729066</v>
      </c>
      <c r="C142" s="68" t="str">
        <f t="shared" ca="1" si="1"/>
        <v>47 years, 5 months</v>
      </c>
      <c r="D142" s="69">
        <v>9449308918</v>
      </c>
      <c r="E142" s="69">
        <v>19790108</v>
      </c>
      <c r="F142" s="70"/>
      <c r="G142" s="70" t="s">
        <v>2498</v>
      </c>
      <c r="H142" s="70"/>
      <c r="I142" s="70" t="s">
        <v>2499</v>
      </c>
      <c r="J142" s="70" t="s">
        <v>1422</v>
      </c>
      <c r="K142" s="70" t="s">
        <v>1285</v>
      </c>
      <c r="L142" s="70"/>
      <c r="M142" s="70" t="s">
        <v>2500</v>
      </c>
      <c r="N142" s="70"/>
      <c r="O142" s="70" t="s">
        <v>1862</v>
      </c>
      <c r="P142" s="70" t="s">
        <v>1793</v>
      </c>
      <c r="Q142" s="69">
        <v>9572740</v>
      </c>
      <c r="R142" s="70"/>
      <c r="S142" s="70" t="s">
        <v>1794</v>
      </c>
      <c r="T142" s="70"/>
      <c r="U142" s="70" t="s">
        <v>2501</v>
      </c>
      <c r="V142" s="70"/>
    </row>
    <row r="143" spans="1:22" ht="15.75" customHeight="1">
      <c r="A143" s="66">
        <v>28998</v>
      </c>
      <c r="B143" s="67">
        <f t="shared" ca="1" si="0"/>
        <v>47.061927890030439</v>
      </c>
      <c r="C143" s="68" t="str">
        <f t="shared" ca="1" si="1"/>
        <v>47 years, 0 months</v>
      </c>
      <c r="D143" s="69">
        <v>9449308217</v>
      </c>
      <c r="E143" s="69">
        <v>19790523</v>
      </c>
      <c r="F143" s="70"/>
      <c r="G143" s="70" t="s">
        <v>2502</v>
      </c>
      <c r="H143" s="70" t="s">
        <v>2503</v>
      </c>
      <c r="I143" s="70" t="s">
        <v>2504</v>
      </c>
      <c r="J143" s="70" t="s">
        <v>1391</v>
      </c>
      <c r="K143" s="70" t="s">
        <v>1263</v>
      </c>
      <c r="L143" s="70"/>
      <c r="M143" s="70" t="s">
        <v>2505</v>
      </c>
      <c r="N143" s="70"/>
      <c r="O143" s="70" t="s">
        <v>2132</v>
      </c>
      <c r="P143" s="70" t="s">
        <v>1793</v>
      </c>
      <c r="Q143" s="69">
        <v>17376876</v>
      </c>
      <c r="R143" s="70"/>
      <c r="S143" s="70" t="s">
        <v>1794</v>
      </c>
      <c r="T143" s="70"/>
      <c r="U143" s="70" t="s">
        <v>2506</v>
      </c>
      <c r="V143" s="70"/>
    </row>
    <row r="144" spans="1:22" ht="15.75" customHeight="1">
      <c r="A144" s="66">
        <v>29063</v>
      </c>
      <c r="B144" s="67">
        <f t="shared" ca="1" si="0"/>
        <v>46.883845698249615</v>
      </c>
      <c r="C144" s="68" t="str">
        <f t="shared" ca="1" si="1"/>
        <v>46 years, 10 months</v>
      </c>
      <c r="D144" s="69">
        <v>9449305765</v>
      </c>
      <c r="E144" s="69">
        <v>19790727</v>
      </c>
      <c r="F144" s="70"/>
      <c r="G144" s="70" t="s">
        <v>2507</v>
      </c>
      <c r="H144" s="70"/>
      <c r="I144" s="70" t="s">
        <v>2508</v>
      </c>
      <c r="J144" s="70" t="s">
        <v>1422</v>
      </c>
      <c r="K144" s="70" t="s">
        <v>1285</v>
      </c>
      <c r="L144" s="70"/>
      <c r="M144" s="70" t="s">
        <v>2509</v>
      </c>
      <c r="N144" s="70"/>
      <c r="O144" s="70" t="s">
        <v>1800</v>
      </c>
      <c r="P144" s="70" t="s">
        <v>1793</v>
      </c>
      <c r="Q144" s="69">
        <v>7341424</v>
      </c>
      <c r="R144" s="70"/>
      <c r="S144" s="70" t="s">
        <v>1794</v>
      </c>
      <c r="T144" s="70"/>
      <c r="U144" s="70" t="s">
        <v>2510</v>
      </c>
      <c r="V144" s="70"/>
    </row>
    <row r="145" spans="1:22" ht="15.75" customHeight="1">
      <c r="A145" s="66">
        <v>29154</v>
      </c>
      <c r="B145" s="67">
        <f t="shared" ca="1" si="0"/>
        <v>46.634530629756462</v>
      </c>
      <c r="C145" s="68" t="str">
        <f t="shared" ca="1" si="1"/>
        <v>46 years, 7 months</v>
      </c>
      <c r="D145" s="69">
        <v>9449304564</v>
      </c>
      <c r="E145" s="69">
        <v>19791026</v>
      </c>
      <c r="F145" s="70"/>
      <c r="G145" s="70" t="s">
        <v>2511</v>
      </c>
      <c r="H145" s="70" t="s">
        <v>2512</v>
      </c>
      <c r="I145" s="70" t="s">
        <v>2513</v>
      </c>
      <c r="J145" s="70" t="s">
        <v>1391</v>
      </c>
      <c r="K145" s="70" t="s">
        <v>1263</v>
      </c>
      <c r="L145" s="70"/>
      <c r="M145" s="70" t="s">
        <v>2514</v>
      </c>
      <c r="N145" s="70"/>
      <c r="O145" s="70" t="s">
        <v>1800</v>
      </c>
      <c r="P145" s="70" t="s">
        <v>1793</v>
      </c>
      <c r="Q145" s="69">
        <v>7329265</v>
      </c>
      <c r="R145" s="70"/>
      <c r="S145" s="70" t="s">
        <v>1794</v>
      </c>
      <c r="T145" s="70"/>
      <c r="U145" s="70" t="s">
        <v>2515</v>
      </c>
      <c r="V145" s="70"/>
    </row>
    <row r="146" spans="1:22" ht="15.75" customHeight="1">
      <c r="A146" s="66">
        <v>29831</v>
      </c>
      <c r="B146" s="67">
        <f t="shared" ca="1" si="0"/>
        <v>44.779736109208521</v>
      </c>
      <c r="C146" s="68" t="str">
        <f t="shared" ca="1" si="1"/>
        <v>44 years, 9 months</v>
      </c>
      <c r="D146" s="69">
        <v>9449308829</v>
      </c>
      <c r="E146" s="69">
        <v>19810902</v>
      </c>
      <c r="F146" s="70"/>
      <c r="G146" s="70" t="s">
        <v>2516</v>
      </c>
      <c r="H146" s="70" t="s">
        <v>2517</v>
      </c>
      <c r="I146" s="70" t="s">
        <v>2518</v>
      </c>
      <c r="J146" s="70" t="s">
        <v>1391</v>
      </c>
      <c r="K146" s="70" t="s">
        <v>1263</v>
      </c>
      <c r="L146" s="70"/>
      <c r="M146" s="70" t="s">
        <v>2519</v>
      </c>
      <c r="N146" s="70"/>
      <c r="O146" s="70" t="s">
        <v>1862</v>
      </c>
      <c r="P146" s="70" t="s">
        <v>1793</v>
      </c>
      <c r="Q146" s="69">
        <v>9571426</v>
      </c>
      <c r="R146" s="70"/>
      <c r="S146" s="70" t="s">
        <v>1794</v>
      </c>
      <c r="T146" s="70"/>
      <c r="U146" s="70" t="s">
        <v>2520</v>
      </c>
      <c r="V146" s="70"/>
    </row>
    <row r="147" spans="1:22" ht="15.75" customHeight="1">
      <c r="A147" s="66">
        <v>29915</v>
      </c>
      <c r="B147" s="67">
        <f t="shared" ca="1" si="0"/>
        <v>44.549599122907146</v>
      </c>
      <c r="C147" s="68" t="str">
        <f t="shared" ca="1" si="1"/>
        <v>44 years, 6 months</v>
      </c>
      <c r="D147" s="69">
        <v>9449308322</v>
      </c>
      <c r="E147" s="69">
        <v>19811125</v>
      </c>
      <c r="F147" s="70"/>
      <c r="G147" s="70" t="s">
        <v>2521</v>
      </c>
      <c r="H147" s="70" t="s">
        <v>2330</v>
      </c>
      <c r="I147" s="70" t="s">
        <v>2522</v>
      </c>
      <c r="J147" s="70" t="s">
        <v>1391</v>
      </c>
      <c r="K147" s="70" t="s">
        <v>1263</v>
      </c>
      <c r="L147" s="70"/>
      <c r="M147" s="70" t="s">
        <v>2523</v>
      </c>
      <c r="N147" s="70"/>
      <c r="O147" s="70" t="s">
        <v>2524</v>
      </c>
      <c r="P147" s="70" t="s">
        <v>1793</v>
      </c>
      <c r="Q147" s="69">
        <v>17378840</v>
      </c>
      <c r="R147" s="70"/>
      <c r="S147" s="70" t="s">
        <v>1794</v>
      </c>
      <c r="T147" s="70"/>
      <c r="U147" s="70" t="s">
        <v>2525</v>
      </c>
      <c r="V147" s="70"/>
    </row>
    <row r="148" spans="1:22" ht="15.75" customHeight="1">
      <c r="A148" s="66">
        <v>29968</v>
      </c>
      <c r="B148" s="67">
        <f t="shared" ca="1" si="0"/>
        <v>44.404393643455094</v>
      </c>
      <c r="C148" s="68" t="str">
        <f t="shared" ca="1" si="1"/>
        <v>44 years, 4 months</v>
      </c>
      <c r="D148" s="69">
        <v>9449306001</v>
      </c>
      <c r="E148" s="69">
        <v>19820117</v>
      </c>
      <c r="F148" s="70"/>
      <c r="G148" s="70" t="s">
        <v>2526</v>
      </c>
      <c r="H148" s="70"/>
      <c r="I148" s="70" t="s">
        <v>2527</v>
      </c>
      <c r="J148" s="70" t="s">
        <v>1391</v>
      </c>
      <c r="K148" s="70" t="s">
        <v>2016</v>
      </c>
      <c r="L148" s="70"/>
      <c r="M148" s="70" t="s">
        <v>2528</v>
      </c>
      <c r="N148" s="70"/>
      <c r="O148" s="70" t="s">
        <v>1800</v>
      </c>
      <c r="P148" s="70" t="s">
        <v>1793</v>
      </c>
      <c r="Q148" s="69">
        <v>7344672</v>
      </c>
      <c r="R148" s="70"/>
      <c r="S148" s="70" t="s">
        <v>1794</v>
      </c>
      <c r="T148" s="70"/>
      <c r="U148" s="70" t="s">
        <v>2064</v>
      </c>
      <c r="V148" s="70"/>
    </row>
    <row r="149" spans="1:22" ht="15.75" customHeight="1">
      <c r="A149" s="66">
        <v>30096</v>
      </c>
      <c r="B149" s="67">
        <f t="shared" ca="1" si="0"/>
        <v>44.053708711948246</v>
      </c>
      <c r="C149" s="68" t="str">
        <f t="shared" ca="1" si="1"/>
        <v>44 years, 0 months</v>
      </c>
      <c r="D149" s="75">
        <v>9449310378</v>
      </c>
      <c r="E149" s="69">
        <v>19820525</v>
      </c>
      <c r="F149" s="70"/>
      <c r="G149" s="70" t="s">
        <v>1930</v>
      </c>
      <c r="H149" s="70"/>
      <c r="I149" s="70" t="s">
        <v>2529</v>
      </c>
      <c r="J149" s="70" t="s">
        <v>1391</v>
      </c>
      <c r="K149" s="70" t="s">
        <v>2016</v>
      </c>
      <c r="L149" s="70" t="s">
        <v>2530</v>
      </c>
      <c r="M149" s="70" t="s">
        <v>2531</v>
      </c>
      <c r="N149" s="70" t="s">
        <v>2532</v>
      </c>
      <c r="O149" s="70" t="s">
        <v>1906</v>
      </c>
      <c r="P149" s="70"/>
      <c r="Q149" s="69">
        <v>23893680</v>
      </c>
      <c r="R149" s="70" t="s">
        <v>1730</v>
      </c>
      <c r="S149" s="70" t="s">
        <v>1794</v>
      </c>
      <c r="T149" s="70"/>
      <c r="U149" s="70" t="s">
        <v>2533</v>
      </c>
      <c r="V149" s="70"/>
    </row>
    <row r="150" spans="1:22" ht="15.75" customHeight="1">
      <c r="A150" s="66">
        <v>30130</v>
      </c>
      <c r="B150" s="67">
        <f t="shared" ca="1" si="0"/>
        <v>43.960558027016738</v>
      </c>
      <c r="C150" s="68" t="str">
        <f t="shared" ca="1" si="1"/>
        <v>43 years, 11 months</v>
      </c>
      <c r="D150" s="69">
        <v>9449304246</v>
      </c>
      <c r="E150" s="69">
        <v>19820628</v>
      </c>
      <c r="F150" s="70"/>
      <c r="G150" s="70" t="s">
        <v>2534</v>
      </c>
      <c r="H150" s="70"/>
      <c r="I150" s="70" t="s">
        <v>2535</v>
      </c>
      <c r="J150" s="70" t="s">
        <v>1391</v>
      </c>
      <c r="K150" s="70" t="s">
        <v>1263</v>
      </c>
      <c r="L150" s="70"/>
      <c r="M150" s="70" t="s">
        <v>2536</v>
      </c>
      <c r="N150" s="70"/>
      <c r="O150" s="70" t="s">
        <v>1792</v>
      </c>
      <c r="P150" s="70" t="s">
        <v>1793</v>
      </c>
      <c r="Q150" s="69">
        <v>17338148</v>
      </c>
      <c r="R150" s="70"/>
      <c r="S150" s="70" t="s">
        <v>1794</v>
      </c>
      <c r="T150" s="70"/>
      <c r="U150" s="70" t="s">
        <v>2537</v>
      </c>
      <c r="V150" s="70"/>
    </row>
    <row r="151" spans="1:22" ht="15.75" customHeight="1">
      <c r="A151" s="66">
        <v>30254</v>
      </c>
      <c r="B151" s="67">
        <f t="shared" ca="1" si="0"/>
        <v>43.620831999619476</v>
      </c>
      <c r="C151" s="68" t="str">
        <f t="shared" ca="1" si="1"/>
        <v>43 years, 7 months</v>
      </c>
      <c r="D151" s="69">
        <v>9449304343</v>
      </c>
      <c r="E151" s="69">
        <v>19821030</v>
      </c>
      <c r="F151" s="70"/>
      <c r="G151" s="70" t="s">
        <v>2538</v>
      </c>
      <c r="H151" s="70" t="s">
        <v>2539</v>
      </c>
      <c r="I151" s="70" t="s">
        <v>2540</v>
      </c>
      <c r="J151" s="70" t="s">
        <v>1262</v>
      </c>
      <c r="K151" s="70" t="s">
        <v>1263</v>
      </c>
      <c r="L151" s="70" t="s">
        <v>2541</v>
      </c>
      <c r="M151" s="70" t="s">
        <v>2542</v>
      </c>
      <c r="N151" s="70"/>
      <c r="O151" s="70" t="s">
        <v>1800</v>
      </c>
      <c r="P151" s="70" t="s">
        <v>1793</v>
      </c>
      <c r="Q151" s="69">
        <v>24566814</v>
      </c>
      <c r="R151" s="70"/>
      <c r="S151" s="70" t="s">
        <v>1794</v>
      </c>
      <c r="T151" s="70"/>
      <c r="U151" s="70" t="s">
        <v>2543</v>
      </c>
      <c r="V151" s="70"/>
    </row>
    <row r="152" spans="1:22" ht="15.75" customHeight="1">
      <c r="A152" s="66">
        <v>30385</v>
      </c>
      <c r="B152" s="67">
        <f t="shared" ca="1" si="0"/>
        <v>43.261927890030435</v>
      </c>
      <c r="C152" s="68" t="str">
        <f t="shared" ca="1" si="1"/>
        <v>43 years, 3 months</v>
      </c>
      <c r="D152" s="69">
        <v>9449307989</v>
      </c>
      <c r="E152" s="69">
        <v>19830310</v>
      </c>
      <c r="F152" s="70"/>
      <c r="G152" s="70" t="s">
        <v>2544</v>
      </c>
      <c r="H152" s="70" t="s">
        <v>2545</v>
      </c>
      <c r="I152" s="70" t="s">
        <v>2546</v>
      </c>
      <c r="J152" s="70" t="s">
        <v>1422</v>
      </c>
      <c r="K152" s="70" t="s">
        <v>1285</v>
      </c>
      <c r="L152" s="70" t="s">
        <v>2547</v>
      </c>
      <c r="M152" s="70" t="s">
        <v>2548</v>
      </c>
      <c r="N152" s="70"/>
      <c r="O152" s="70" t="s">
        <v>1812</v>
      </c>
      <c r="P152" s="70" t="s">
        <v>1793</v>
      </c>
      <c r="Q152" s="69">
        <v>21973714</v>
      </c>
      <c r="R152" s="70"/>
      <c r="S152" s="70" t="s">
        <v>1794</v>
      </c>
      <c r="T152" s="70"/>
      <c r="U152" s="70" t="s">
        <v>2549</v>
      </c>
      <c r="V152" s="70"/>
    </row>
    <row r="153" spans="1:22" ht="15.75" customHeight="1">
      <c r="A153" s="66">
        <v>30388</v>
      </c>
      <c r="B153" s="67">
        <f t="shared" ca="1" si="0"/>
        <v>43.253708711948242</v>
      </c>
      <c r="C153" s="68" t="str">
        <f t="shared" ca="1" si="1"/>
        <v>43 years, 3 months</v>
      </c>
      <c r="D153" s="69">
        <v>9449306532</v>
      </c>
      <c r="E153" s="69">
        <v>19830313</v>
      </c>
      <c r="F153" s="70"/>
      <c r="G153" s="70" t="s">
        <v>2550</v>
      </c>
      <c r="H153" s="70" t="s">
        <v>1924</v>
      </c>
      <c r="I153" s="70" t="s">
        <v>2551</v>
      </c>
      <c r="J153" s="70" t="s">
        <v>1314</v>
      </c>
      <c r="K153" s="70" t="s">
        <v>1263</v>
      </c>
      <c r="L153" s="70" t="s">
        <v>2552</v>
      </c>
      <c r="M153" s="70" t="s">
        <v>2553</v>
      </c>
      <c r="N153" s="70"/>
      <c r="O153" s="70" t="s">
        <v>1906</v>
      </c>
      <c r="P153" s="70" t="s">
        <v>1793</v>
      </c>
      <c r="Q153" s="69">
        <v>20170416</v>
      </c>
      <c r="R153" s="70"/>
      <c r="S153" s="70" t="s">
        <v>1794</v>
      </c>
      <c r="T153" s="70"/>
      <c r="U153" s="70" t="s">
        <v>2554</v>
      </c>
      <c r="V153" s="70"/>
    </row>
    <row r="154" spans="1:22" ht="15.75" customHeight="1">
      <c r="A154" s="66">
        <v>30436</v>
      </c>
      <c r="B154" s="67">
        <f t="shared" ca="1" si="0"/>
        <v>43.122201862633176</v>
      </c>
      <c r="C154" s="68" t="str">
        <f t="shared" ca="1" si="1"/>
        <v>43 years, 1 months</v>
      </c>
      <c r="D154" s="69">
        <v>9449308098</v>
      </c>
      <c r="E154" s="69">
        <v>19830430</v>
      </c>
      <c r="F154" s="70"/>
      <c r="G154" s="70" t="s">
        <v>2555</v>
      </c>
      <c r="H154" s="70" t="s">
        <v>2556</v>
      </c>
      <c r="I154" s="70" t="s">
        <v>2557</v>
      </c>
      <c r="J154" s="70" t="s">
        <v>1422</v>
      </c>
      <c r="K154" s="70" t="s">
        <v>1285</v>
      </c>
      <c r="L154" s="70" t="s">
        <v>2558</v>
      </c>
      <c r="M154" s="70" t="s">
        <v>2559</v>
      </c>
      <c r="N154" s="70"/>
      <c r="O154" s="70" t="s">
        <v>2132</v>
      </c>
      <c r="P154" s="70" t="s">
        <v>1793</v>
      </c>
      <c r="Q154" s="69">
        <v>17376581</v>
      </c>
      <c r="R154" s="70"/>
      <c r="S154" s="70" t="s">
        <v>1794</v>
      </c>
      <c r="T154" s="70"/>
      <c r="U154" s="70" t="s">
        <v>2560</v>
      </c>
      <c r="V154" s="70"/>
    </row>
    <row r="155" spans="1:22" ht="15.75" customHeight="1">
      <c r="A155" s="66">
        <v>30474</v>
      </c>
      <c r="B155" s="67">
        <f t="shared" ca="1" si="0"/>
        <v>43.018092273592082</v>
      </c>
      <c r="C155" s="68" t="str">
        <f t="shared" ca="1" si="1"/>
        <v>43 years, 0 months</v>
      </c>
      <c r="D155" s="69">
        <v>9449310505</v>
      </c>
      <c r="E155" s="69">
        <v>19830607</v>
      </c>
      <c r="F155" s="69">
        <v>20101225</v>
      </c>
      <c r="G155" s="70" t="s">
        <v>2561</v>
      </c>
      <c r="H155" s="70" t="s">
        <v>2562</v>
      </c>
      <c r="I155" s="70" t="s">
        <v>2563</v>
      </c>
      <c r="J155" s="70" t="s">
        <v>1391</v>
      </c>
      <c r="K155" s="70" t="s">
        <v>1263</v>
      </c>
      <c r="L155" s="70" t="s">
        <v>2564</v>
      </c>
      <c r="M155" s="70" t="s">
        <v>2565</v>
      </c>
      <c r="N155" s="70" t="s">
        <v>1806</v>
      </c>
      <c r="O155" s="70" t="s">
        <v>1807</v>
      </c>
      <c r="P155" s="70" t="s">
        <v>1793</v>
      </c>
      <c r="Q155" s="69">
        <v>17360790</v>
      </c>
      <c r="R155" s="70"/>
      <c r="S155" s="70" t="s">
        <v>1794</v>
      </c>
      <c r="T155" s="70"/>
      <c r="U155" s="70" t="s">
        <v>2566</v>
      </c>
      <c r="V155" s="70"/>
    </row>
    <row r="156" spans="1:22" ht="15.75" customHeight="1">
      <c r="A156" s="66">
        <v>30721</v>
      </c>
      <c r="B156" s="67">
        <f t="shared" ca="1" si="0"/>
        <v>42.341379944824958</v>
      </c>
      <c r="C156" s="68" t="str">
        <f t="shared" ca="1" si="1"/>
        <v>42 years, 4 months</v>
      </c>
      <c r="D156" s="69">
        <v>9449308330</v>
      </c>
      <c r="E156" s="69">
        <v>19840209</v>
      </c>
      <c r="F156" s="70"/>
      <c r="G156" s="70" t="s">
        <v>2567</v>
      </c>
      <c r="H156" s="70"/>
      <c r="I156" s="70" t="s">
        <v>2568</v>
      </c>
      <c r="J156" s="70" t="s">
        <v>1391</v>
      </c>
      <c r="K156" s="70" t="s">
        <v>1263</v>
      </c>
      <c r="L156" s="70"/>
      <c r="M156" s="70" t="s">
        <v>2569</v>
      </c>
      <c r="N156" s="70"/>
      <c r="O156" s="70" t="s">
        <v>2524</v>
      </c>
      <c r="P156" s="70" t="s">
        <v>1793</v>
      </c>
      <c r="Q156" s="69">
        <v>17378923</v>
      </c>
      <c r="R156" s="70"/>
      <c r="S156" s="70" t="s">
        <v>1794</v>
      </c>
      <c r="T156" s="70"/>
      <c r="U156" s="70" t="s">
        <v>2570</v>
      </c>
      <c r="V156" s="70"/>
    </row>
    <row r="157" spans="1:22" ht="15.75" customHeight="1">
      <c r="A157" s="66">
        <v>30880</v>
      </c>
      <c r="B157" s="67">
        <f t="shared" ca="1" si="0"/>
        <v>41.905763506468794</v>
      </c>
      <c r="C157" s="68" t="str">
        <f t="shared" ca="1" si="1"/>
        <v>41 years, 10 months</v>
      </c>
      <c r="D157" s="69">
        <v>9449308551</v>
      </c>
      <c r="E157" s="69">
        <v>19840717</v>
      </c>
      <c r="F157" s="70"/>
      <c r="G157" s="70" t="s">
        <v>2571</v>
      </c>
      <c r="H157" s="70" t="s">
        <v>2572</v>
      </c>
      <c r="I157" s="70" t="s">
        <v>2573</v>
      </c>
      <c r="J157" s="70" t="s">
        <v>1422</v>
      </c>
      <c r="K157" s="70" t="s">
        <v>2016</v>
      </c>
      <c r="L157" s="70" t="s">
        <v>2574</v>
      </c>
      <c r="M157" s="70" t="s">
        <v>2575</v>
      </c>
      <c r="N157" s="70" t="s">
        <v>2576</v>
      </c>
      <c r="O157" s="70" t="s">
        <v>2577</v>
      </c>
      <c r="P157" s="70" t="s">
        <v>1793</v>
      </c>
      <c r="Q157" s="69">
        <v>20522524</v>
      </c>
      <c r="R157" s="70"/>
      <c r="S157" s="70" t="s">
        <v>1794</v>
      </c>
      <c r="T157" s="70"/>
      <c r="U157" s="70" t="s">
        <v>2578</v>
      </c>
      <c r="V157" s="70"/>
    </row>
    <row r="158" spans="1:22" ht="15.75" customHeight="1">
      <c r="A158" s="66">
        <v>30893</v>
      </c>
      <c r="B158" s="67">
        <f t="shared" ca="1" si="0"/>
        <v>41.87014706811263</v>
      </c>
      <c r="C158" s="68" t="str">
        <f t="shared" ca="1" si="1"/>
        <v>41 years, 10 months</v>
      </c>
      <c r="D158" s="69">
        <v>9449305471</v>
      </c>
      <c r="E158" s="69">
        <v>19840730</v>
      </c>
      <c r="F158" s="70"/>
      <c r="G158" s="70" t="s">
        <v>2579</v>
      </c>
      <c r="H158" s="70" t="s">
        <v>2580</v>
      </c>
      <c r="I158" s="70" t="s">
        <v>2581</v>
      </c>
      <c r="J158" s="70" t="s">
        <v>1314</v>
      </c>
      <c r="K158" s="70" t="s">
        <v>2016</v>
      </c>
      <c r="L158" s="70"/>
      <c r="M158" s="70" t="s">
        <v>2582</v>
      </c>
      <c r="N158" s="70"/>
      <c r="O158" s="70" t="s">
        <v>1800</v>
      </c>
      <c r="P158" s="70" t="s">
        <v>1793</v>
      </c>
      <c r="Q158" s="69">
        <v>7338885</v>
      </c>
      <c r="R158" s="70"/>
      <c r="S158" s="70" t="s">
        <v>1794</v>
      </c>
      <c r="T158" s="70"/>
      <c r="U158" s="70" t="s">
        <v>2583</v>
      </c>
      <c r="V158" s="70"/>
    </row>
    <row r="159" spans="1:22" ht="15.75" customHeight="1">
      <c r="A159" s="66">
        <v>31085</v>
      </c>
      <c r="B159" s="67">
        <f t="shared" ca="1" si="0"/>
        <v>41.344119670852358</v>
      </c>
      <c r="C159" s="68" t="str">
        <f t="shared" ca="1" si="1"/>
        <v>41 years, 4 months</v>
      </c>
      <c r="D159" s="69">
        <v>9437139229</v>
      </c>
      <c r="E159" s="69">
        <v>19850207</v>
      </c>
      <c r="F159" s="70"/>
      <c r="G159" s="70" t="s">
        <v>2584</v>
      </c>
      <c r="H159" s="70"/>
      <c r="I159" s="70" t="s">
        <v>2585</v>
      </c>
      <c r="J159" s="70" t="s">
        <v>1422</v>
      </c>
      <c r="K159" s="70" t="s">
        <v>2016</v>
      </c>
      <c r="L159" s="70"/>
      <c r="M159" s="70" t="s">
        <v>2586</v>
      </c>
      <c r="N159" s="70"/>
      <c r="O159" s="70" t="s">
        <v>2587</v>
      </c>
      <c r="P159" s="70" t="s">
        <v>2588</v>
      </c>
      <c r="Q159" s="69">
        <v>5922630</v>
      </c>
      <c r="R159" s="70"/>
      <c r="S159" s="70"/>
      <c r="T159" s="70"/>
      <c r="U159" s="70" t="s">
        <v>2589</v>
      </c>
      <c r="V159" s="70"/>
    </row>
    <row r="160" spans="1:22" ht="15.75" customHeight="1">
      <c r="A160" s="66">
        <v>31142</v>
      </c>
      <c r="B160" s="67">
        <f t="shared" ca="1" si="0"/>
        <v>41.187955287290713</v>
      </c>
      <c r="C160" s="68" t="str">
        <f t="shared" ca="1" si="1"/>
        <v>41 years, 2 months</v>
      </c>
      <c r="D160" s="69">
        <v>9449304165</v>
      </c>
      <c r="E160" s="69">
        <v>19850405</v>
      </c>
      <c r="F160" s="70"/>
      <c r="G160" s="70" t="s">
        <v>2590</v>
      </c>
      <c r="H160" s="70"/>
      <c r="I160" s="70" t="s">
        <v>2591</v>
      </c>
      <c r="J160" s="70" t="s">
        <v>1391</v>
      </c>
      <c r="K160" s="70" t="s">
        <v>1263</v>
      </c>
      <c r="L160" s="70"/>
      <c r="M160" s="70" t="s">
        <v>2592</v>
      </c>
      <c r="N160" s="70"/>
      <c r="O160" s="70" t="s">
        <v>1792</v>
      </c>
      <c r="P160" s="70" t="s">
        <v>1793</v>
      </c>
      <c r="Q160" s="69">
        <v>7299237</v>
      </c>
      <c r="R160" s="70"/>
      <c r="S160" s="70" t="s">
        <v>1794</v>
      </c>
      <c r="T160" s="70"/>
      <c r="U160" s="70" t="s">
        <v>2593</v>
      </c>
      <c r="V160" s="70"/>
    </row>
    <row r="161" spans="1:22" ht="15.75" customHeight="1">
      <c r="A161" s="66">
        <v>31301</v>
      </c>
      <c r="B161" s="67">
        <f t="shared" ca="1" si="0"/>
        <v>40.752338848934549</v>
      </c>
      <c r="C161" s="68" t="str">
        <f t="shared" ca="1" si="1"/>
        <v>40 years, 9 months</v>
      </c>
      <c r="D161" s="69">
        <v>9449304009</v>
      </c>
      <c r="E161" s="69">
        <v>19850911</v>
      </c>
      <c r="F161" s="70"/>
      <c r="G161" s="70" t="s">
        <v>2594</v>
      </c>
      <c r="H161" s="70"/>
      <c r="I161" s="70" t="s">
        <v>2595</v>
      </c>
      <c r="J161" s="70" t="s">
        <v>1422</v>
      </c>
      <c r="K161" s="70" t="s">
        <v>1932</v>
      </c>
      <c r="L161" s="70"/>
      <c r="M161" s="70" t="s">
        <v>2596</v>
      </c>
      <c r="N161" s="70"/>
      <c r="O161" s="70" t="s">
        <v>1792</v>
      </c>
      <c r="P161" s="70" t="s">
        <v>1793</v>
      </c>
      <c r="Q161" s="69">
        <v>7297494</v>
      </c>
      <c r="R161" s="70"/>
      <c r="S161" s="70" t="s">
        <v>1794</v>
      </c>
      <c r="T161" s="70"/>
      <c r="U161" s="70" t="s">
        <v>2597</v>
      </c>
      <c r="V161" s="70"/>
    </row>
    <row r="162" spans="1:22" ht="15.75" customHeight="1">
      <c r="A162" s="66">
        <v>31333</v>
      </c>
      <c r="B162" s="67">
        <f t="shared" ca="1" si="0"/>
        <v>40.664667616057834</v>
      </c>
      <c r="C162" s="68" t="str">
        <f t="shared" ca="1" si="1"/>
        <v>40 years, 7 months</v>
      </c>
      <c r="D162" s="69">
        <v>9449307431</v>
      </c>
      <c r="E162" s="69">
        <v>19851013</v>
      </c>
      <c r="F162" s="70"/>
      <c r="G162" s="70" t="s">
        <v>2598</v>
      </c>
      <c r="H162" s="70" t="s">
        <v>2599</v>
      </c>
      <c r="I162" s="70" t="s">
        <v>2600</v>
      </c>
      <c r="J162" s="70" t="s">
        <v>1391</v>
      </c>
      <c r="K162" s="70" t="s">
        <v>1263</v>
      </c>
      <c r="L162" s="70"/>
      <c r="M162" s="70" t="s">
        <v>2601</v>
      </c>
      <c r="N162" s="70" t="s">
        <v>2055</v>
      </c>
      <c r="O162" s="70" t="s">
        <v>1807</v>
      </c>
      <c r="P162" s="70" t="s">
        <v>1793</v>
      </c>
      <c r="Q162" s="69">
        <v>7362039</v>
      </c>
      <c r="R162" s="70"/>
      <c r="S162" s="70" t="s">
        <v>1794</v>
      </c>
      <c r="T162" s="70"/>
      <c r="U162" s="70" t="s">
        <v>2602</v>
      </c>
      <c r="V162" s="70"/>
    </row>
    <row r="163" spans="1:22" ht="15.75" customHeight="1">
      <c r="A163" s="66">
        <v>31340</v>
      </c>
      <c r="B163" s="67">
        <f t="shared" ca="1" si="0"/>
        <v>40.645489533866055</v>
      </c>
      <c r="C163" s="68" t="str">
        <f t="shared" ca="1" si="1"/>
        <v>40 years, 7 months</v>
      </c>
      <c r="D163" s="69">
        <v>9449307865</v>
      </c>
      <c r="E163" s="69">
        <v>19851020</v>
      </c>
      <c r="F163" s="70"/>
      <c r="G163" s="70" t="s">
        <v>2603</v>
      </c>
      <c r="H163" s="70"/>
      <c r="I163" s="70" t="s">
        <v>2604</v>
      </c>
      <c r="J163" s="70" t="s">
        <v>1262</v>
      </c>
      <c r="K163" s="70" t="s">
        <v>1263</v>
      </c>
      <c r="L163" s="70"/>
      <c r="M163" s="70" t="s">
        <v>2605</v>
      </c>
      <c r="N163" s="70"/>
      <c r="O163" s="70" t="s">
        <v>1812</v>
      </c>
      <c r="P163" s="70" t="s">
        <v>1793</v>
      </c>
      <c r="Q163" s="69">
        <v>7377779</v>
      </c>
      <c r="R163" s="70"/>
      <c r="S163" s="70" t="s">
        <v>1794</v>
      </c>
      <c r="T163" s="70"/>
      <c r="U163" s="70" t="s">
        <v>2606</v>
      </c>
      <c r="V163" s="70"/>
    </row>
    <row r="164" spans="1:22" ht="15.75" customHeight="1">
      <c r="A164" s="66">
        <v>31388</v>
      </c>
      <c r="B164" s="67">
        <f t="shared" ca="1" si="0"/>
        <v>40.513982684550982</v>
      </c>
      <c r="C164" s="68" t="str">
        <f t="shared" ca="1" si="1"/>
        <v>40 years, 6 months</v>
      </c>
      <c r="D164" s="69">
        <v>9449303606</v>
      </c>
      <c r="E164" s="69">
        <v>19851207</v>
      </c>
      <c r="F164" s="70"/>
      <c r="G164" s="70" t="s">
        <v>2607</v>
      </c>
      <c r="H164" s="70"/>
      <c r="I164" s="70" t="s">
        <v>2608</v>
      </c>
      <c r="J164" s="70" t="s">
        <v>1422</v>
      </c>
      <c r="K164" s="70" t="s">
        <v>1285</v>
      </c>
      <c r="L164" s="70"/>
      <c r="M164" s="70" t="s">
        <v>2609</v>
      </c>
      <c r="N164" s="70" t="s">
        <v>1818</v>
      </c>
      <c r="O164" s="70" t="s">
        <v>1819</v>
      </c>
      <c r="P164" s="70" t="s">
        <v>1793</v>
      </c>
      <c r="Q164" s="69">
        <v>29783938</v>
      </c>
      <c r="R164" s="70"/>
      <c r="S164" s="70" t="s">
        <v>1794</v>
      </c>
      <c r="T164" s="70"/>
      <c r="U164" s="70" t="s">
        <v>2610</v>
      </c>
      <c r="V164" s="70"/>
    </row>
    <row r="165" spans="1:22" ht="15.75" customHeight="1">
      <c r="A165" s="66">
        <v>31406</v>
      </c>
      <c r="B165" s="67">
        <f t="shared" ca="1" si="0"/>
        <v>40.464667616057831</v>
      </c>
      <c r="C165" s="68" t="str">
        <f t="shared" ca="1" si="1"/>
        <v>40 years, 5 months</v>
      </c>
      <c r="D165" s="69">
        <v>9449309817</v>
      </c>
      <c r="E165" s="69">
        <v>19851225</v>
      </c>
      <c r="F165" s="70"/>
      <c r="G165" s="70" t="s">
        <v>2611</v>
      </c>
      <c r="H165" s="70"/>
      <c r="I165" s="70" t="s">
        <v>2612</v>
      </c>
      <c r="J165" s="70" t="s">
        <v>1422</v>
      </c>
      <c r="K165" s="70" t="s">
        <v>1285</v>
      </c>
      <c r="L165" s="70"/>
      <c r="M165" s="70" t="s">
        <v>2613</v>
      </c>
      <c r="N165" s="70"/>
      <c r="O165" s="70" t="s">
        <v>1886</v>
      </c>
      <c r="P165" s="70" t="s">
        <v>1793</v>
      </c>
      <c r="Q165" s="69">
        <v>9721570</v>
      </c>
      <c r="R165" s="70"/>
      <c r="S165" s="70" t="s">
        <v>1794</v>
      </c>
      <c r="T165" s="70"/>
      <c r="U165" s="70" t="s">
        <v>2614</v>
      </c>
      <c r="V165" s="70"/>
    </row>
    <row r="166" spans="1:22" ht="15.75" customHeight="1">
      <c r="A166" s="66">
        <v>31667</v>
      </c>
      <c r="B166" s="67">
        <f t="shared" ca="1" si="0"/>
        <v>39.749599122907149</v>
      </c>
      <c r="C166" s="68" t="str">
        <f t="shared" ca="1" si="1"/>
        <v>39 years, 8 months</v>
      </c>
      <c r="D166" s="69">
        <v>9449303363</v>
      </c>
      <c r="E166" s="69">
        <v>19860912</v>
      </c>
      <c r="F166" s="70"/>
      <c r="G166" s="70" t="s">
        <v>2615</v>
      </c>
      <c r="H166" s="70" t="s">
        <v>2616</v>
      </c>
      <c r="I166" s="70" t="s">
        <v>2617</v>
      </c>
      <c r="J166" s="70" t="s">
        <v>1314</v>
      </c>
      <c r="K166" s="70" t="s">
        <v>1263</v>
      </c>
      <c r="L166" s="70" t="s">
        <v>2618</v>
      </c>
      <c r="M166" s="70" t="s">
        <v>2619</v>
      </c>
      <c r="N166" s="70" t="s">
        <v>2620</v>
      </c>
      <c r="O166" s="70" t="s">
        <v>1862</v>
      </c>
      <c r="P166" s="70"/>
      <c r="Q166" s="69">
        <v>18359296</v>
      </c>
      <c r="R166" s="70"/>
      <c r="S166" s="70" t="s">
        <v>1794</v>
      </c>
      <c r="T166" s="70"/>
      <c r="U166" s="70" t="s">
        <v>2621</v>
      </c>
      <c r="V166" s="70"/>
    </row>
    <row r="167" spans="1:22" ht="15.75" customHeight="1">
      <c r="A167" s="66">
        <v>31742</v>
      </c>
      <c r="B167" s="67">
        <f t="shared" ca="1" si="0"/>
        <v>39.544119670852353</v>
      </c>
      <c r="C167" s="68" t="str">
        <f t="shared" ca="1" si="1"/>
        <v>39 years, 6 months</v>
      </c>
      <c r="D167" s="69">
        <v>9449303894</v>
      </c>
      <c r="E167" s="69">
        <v>19861126</v>
      </c>
      <c r="F167" s="70"/>
      <c r="G167" s="70" t="s">
        <v>2622</v>
      </c>
      <c r="H167" s="70" t="s">
        <v>2623</v>
      </c>
      <c r="I167" s="70" t="s">
        <v>2624</v>
      </c>
      <c r="J167" s="70" t="s">
        <v>1391</v>
      </c>
      <c r="K167" s="70" t="s">
        <v>1932</v>
      </c>
      <c r="L167" s="70"/>
      <c r="M167" s="70" t="s">
        <v>2625</v>
      </c>
      <c r="N167" s="70"/>
      <c r="O167" s="70" t="s">
        <v>1819</v>
      </c>
      <c r="P167" s="70" t="s">
        <v>1793</v>
      </c>
      <c r="Q167" s="69">
        <v>7295841</v>
      </c>
      <c r="R167" s="70"/>
      <c r="S167" s="70" t="s">
        <v>1794</v>
      </c>
      <c r="T167" s="70"/>
      <c r="U167" s="70" t="s">
        <v>2626</v>
      </c>
      <c r="V167" s="70"/>
    </row>
    <row r="168" spans="1:22" ht="15.75" customHeight="1">
      <c r="A168" s="66">
        <v>31898</v>
      </c>
      <c r="B168" s="67">
        <f t="shared" ca="1" si="0"/>
        <v>39.116722410578383</v>
      </c>
      <c r="C168" s="68" t="str">
        <f t="shared" ca="1" si="1"/>
        <v>39 years, 1 months</v>
      </c>
      <c r="D168" s="69">
        <v>9449304289</v>
      </c>
      <c r="E168" s="69">
        <v>19870501</v>
      </c>
      <c r="F168" s="70"/>
      <c r="G168" s="70" t="s">
        <v>2627</v>
      </c>
      <c r="H168" s="70"/>
      <c r="I168" s="70" t="s">
        <v>2628</v>
      </c>
      <c r="J168" s="70" t="s">
        <v>1391</v>
      </c>
      <c r="K168" s="70" t="s">
        <v>1263</v>
      </c>
      <c r="L168" s="70"/>
      <c r="M168" s="70" t="s">
        <v>2629</v>
      </c>
      <c r="N168" s="70" t="s">
        <v>1791</v>
      </c>
      <c r="O168" s="70" t="s">
        <v>1792</v>
      </c>
      <c r="P168" s="70"/>
      <c r="Q168" s="69">
        <v>20167202</v>
      </c>
      <c r="R168" s="70"/>
      <c r="S168" s="70" t="s">
        <v>1794</v>
      </c>
      <c r="T168" s="70"/>
      <c r="U168" s="70" t="s">
        <v>2630</v>
      </c>
      <c r="V168" s="70"/>
    </row>
    <row r="169" spans="1:22" ht="15.75" customHeight="1">
      <c r="A169" s="66">
        <v>32060</v>
      </c>
      <c r="B169" s="67">
        <f t="shared" ca="1" si="0"/>
        <v>38.672886794140027</v>
      </c>
      <c r="C169" s="68" t="str">
        <f t="shared" ca="1" si="1"/>
        <v>38 years, 8 months</v>
      </c>
      <c r="D169" s="69">
        <v>9449305897</v>
      </c>
      <c r="E169" s="69">
        <v>19871010</v>
      </c>
      <c r="F169" s="70"/>
      <c r="G169" s="70" t="s">
        <v>2631</v>
      </c>
      <c r="H169" s="70" t="s">
        <v>2632</v>
      </c>
      <c r="I169" s="70" t="s">
        <v>2633</v>
      </c>
      <c r="J169" s="70" t="s">
        <v>1422</v>
      </c>
      <c r="K169" s="70" t="s">
        <v>1285</v>
      </c>
      <c r="L169" s="70"/>
      <c r="M169" s="70" t="s">
        <v>2634</v>
      </c>
      <c r="N169" s="70"/>
      <c r="O169" s="70" t="s">
        <v>1800</v>
      </c>
      <c r="P169" s="70" t="s">
        <v>1793</v>
      </c>
      <c r="Q169" s="69">
        <v>7343264</v>
      </c>
      <c r="R169" s="70"/>
      <c r="S169" s="70" t="s">
        <v>1794</v>
      </c>
      <c r="T169" s="70"/>
      <c r="U169" s="70" t="s">
        <v>2635</v>
      </c>
      <c r="V169" s="70"/>
    </row>
    <row r="170" spans="1:22" ht="15.75" customHeight="1">
      <c r="A170" s="66">
        <v>32107</v>
      </c>
      <c r="B170" s="67">
        <f t="shared" ca="1" si="0"/>
        <v>38.544119670852353</v>
      </c>
      <c r="C170" s="68" t="str">
        <f t="shared" ca="1" si="1"/>
        <v>38 years, 6 months</v>
      </c>
      <c r="D170" s="69">
        <v>9449304378</v>
      </c>
      <c r="E170" s="69">
        <v>19871126</v>
      </c>
      <c r="F170" s="70"/>
      <c r="G170" s="70" t="s">
        <v>2636</v>
      </c>
      <c r="H170" s="70" t="s">
        <v>2637</v>
      </c>
      <c r="I170" s="70" t="s">
        <v>2638</v>
      </c>
      <c r="J170" s="70" t="s">
        <v>1422</v>
      </c>
      <c r="K170" s="70" t="s">
        <v>1285</v>
      </c>
      <c r="L170" s="70" t="s">
        <v>2639</v>
      </c>
      <c r="M170" s="70" t="s">
        <v>2640</v>
      </c>
      <c r="N170" s="70"/>
      <c r="O170" s="70" t="s">
        <v>1800</v>
      </c>
      <c r="P170" s="70"/>
      <c r="Q170" s="69">
        <v>31510977</v>
      </c>
      <c r="R170" s="70"/>
      <c r="S170" s="70" t="s">
        <v>1794</v>
      </c>
      <c r="T170" s="70"/>
      <c r="U170" s="70" t="s">
        <v>2641</v>
      </c>
      <c r="V170" s="70"/>
    </row>
    <row r="171" spans="1:22" ht="15.75" customHeight="1">
      <c r="A171" s="66">
        <v>32483</v>
      </c>
      <c r="B171" s="67">
        <f t="shared" ca="1" si="0"/>
        <v>37.513982684550982</v>
      </c>
      <c r="C171" s="68" t="str">
        <f t="shared" ca="1" si="1"/>
        <v>37 years, 6 months</v>
      </c>
      <c r="D171" s="69">
        <v>9449305250</v>
      </c>
      <c r="E171" s="69">
        <v>19881206</v>
      </c>
      <c r="F171" s="70"/>
      <c r="G171" s="70" t="s">
        <v>2642</v>
      </c>
      <c r="H171" s="70" t="s">
        <v>2643</v>
      </c>
      <c r="I171" s="70" t="s">
        <v>2644</v>
      </c>
      <c r="J171" s="70" t="s">
        <v>1391</v>
      </c>
      <c r="K171" s="70" t="s">
        <v>1932</v>
      </c>
      <c r="L171" s="70" t="s">
        <v>2645</v>
      </c>
      <c r="M171" s="70" t="s">
        <v>2646</v>
      </c>
      <c r="N171" s="70" t="s">
        <v>2312</v>
      </c>
      <c r="O171" s="70" t="s">
        <v>1800</v>
      </c>
      <c r="P171" s="70" t="s">
        <v>1793</v>
      </c>
      <c r="Q171" s="69">
        <v>24460430</v>
      </c>
      <c r="R171" s="70"/>
      <c r="S171" s="70" t="s">
        <v>1794</v>
      </c>
      <c r="T171" s="70"/>
      <c r="U171" s="70" t="s">
        <v>2647</v>
      </c>
      <c r="V171" s="70"/>
    </row>
    <row r="172" spans="1:22" ht="15.75" customHeight="1">
      <c r="A172" s="66">
        <v>33021</v>
      </c>
      <c r="B172" s="67">
        <f t="shared" ca="1" si="0"/>
        <v>36.040010081811261</v>
      </c>
      <c r="C172" s="68" t="str">
        <f t="shared" ca="1" si="1"/>
        <v>36 years, 0 months</v>
      </c>
      <c r="D172" s="69">
        <v>9449310386</v>
      </c>
      <c r="E172" s="69">
        <v>19900528</v>
      </c>
      <c r="F172" s="69">
        <v>20101220</v>
      </c>
      <c r="G172" s="70" t="s">
        <v>2648</v>
      </c>
      <c r="H172" s="70" t="s">
        <v>2649</v>
      </c>
      <c r="I172" s="70" t="s">
        <v>2650</v>
      </c>
      <c r="J172" s="70" t="s">
        <v>1262</v>
      </c>
      <c r="K172" s="70" t="s">
        <v>1932</v>
      </c>
      <c r="L172" s="70"/>
      <c r="M172" s="70" t="s">
        <v>2651</v>
      </c>
      <c r="N172" s="70" t="s">
        <v>2532</v>
      </c>
      <c r="O172" s="70" t="s">
        <v>1906</v>
      </c>
      <c r="P172" s="70"/>
      <c r="Q172" s="69">
        <v>7356078</v>
      </c>
      <c r="R172" s="70"/>
      <c r="S172" s="70" t="s">
        <v>1794</v>
      </c>
      <c r="T172" s="70"/>
      <c r="U172" s="70" t="s">
        <v>2652</v>
      </c>
      <c r="V172" s="70"/>
    </row>
    <row r="173" spans="1:22" ht="15.75" customHeight="1">
      <c r="A173" s="66">
        <v>33244</v>
      </c>
      <c r="B173" s="67">
        <f t="shared" ca="1" si="0"/>
        <v>35.429051177701666</v>
      </c>
      <c r="C173" s="68" t="str">
        <f t="shared" ca="1" si="1"/>
        <v>35 years, 5 months</v>
      </c>
      <c r="D173" s="69">
        <v>9449307024</v>
      </c>
      <c r="E173" s="69">
        <v>19910106</v>
      </c>
      <c r="F173" s="70"/>
      <c r="G173" s="70" t="s">
        <v>2653</v>
      </c>
      <c r="H173" s="70" t="s">
        <v>2654</v>
      </c>
      <c r="I173" s="70" t="s">
        <v>2655</v>
      </c>
      <c r="J173" s="70" t="s">
        <v>1391</v>
      </c>
      <c r="K173" s="70" t="s">
        <v>1263</v>
      </c>
      <c r="L173" s="70" t="s">
        <v>2656</v>
      </c>
      <c r="M173" s="70" t="s">
        <v>1790</v>
      </c>
      <c r="N173" s="70"/>
      <c r="O173" s="70" t="s">
        <v>1807</v>
      </c>
      <c r="P173" s="70" t="s">
        <v>1793</v>
      </c>
      <c r="Q173" s="69">
        <v>32248206</v>
      </c>
      <c r="R173" s="70"/>
      <c r="S173" s="70" t="s">
        <v>1794</v>
      </c>
      <c r="T173" s="70"/>
      <c r="U173" s="70" t="s">
        <v>2657</v>
      </c>
      <c r="V173" s="70"/>
    </row>
    <row r="174" spans="1:22" ht="15.75" customHeight="1">
      <c r="A174" s="66">
        <v>33249</v>
      </c>
      <c r="B174" s="67">
        <f t="shared" ca="1" si="0"/>
        <v>35.41535254756468</v>
      </c>
      <c r="C174" s="68" t="str">
        <f t="shared" ca="1" si="1"/>
        <v>35 years, 4 months</v>
      </c>
      <c r="D174" s="69">
        <v>9449305692</v>
      </c>
      <c r="E174" s="69">
        <v>19910111</v>
      </c>
      <c r="F174" s="70"/>
      <c r="G174" s="70" t="s">
        <v>2658</v>
      </c>
      <c r="H174" s="70" t="s">
        <v>2659</v>
      </c>
      <c r="I174" s="70" t="s">
        <v>2660</v>
      </c>
      <c r="J174" s="70" t="s">
        <v>1262</v>
      </c>
      <c r="K174" s="70" t="s">
        <v>1263</v>
      </c>
      <c r="L174" s="70" t="s">
        <v>2661</v>
      </c>
      <c r="M174" s="70" t="s">
        <v>2662</v>
      </c>
      <c r="N174" s="70"/>
      <c r="O174" s="70" t="s">
        <v>1800</v>
      </c>
      <c r="P174" s="70" t="s">
        <v>1793</v>
      </c>
      <c r="Q174" s="69">
        <v>23837914</v>
      </c>
      <c r="R174" s="70"/>
      <c r="S174" s="70" t="s">
        <v>1794</v>
      </c>
      <c r="T174" s="70"/>
      <c r="U174" s="70" t="s">
        <v>2663</v>
      </c>
      <c r="V174" s="70"/>
    </row>
    <row r="175" spans="1:22" ht="15.75" customHeight="1">
      <c r="A175" s="66">
        <v>33456</v>
      </c>
      <c r="B175" s="67">
        <f t="shared" ca="1" si="0"/>
        <v>34.848229259893451</v>
      </c>
      <c r="C175" s="68" t="str">
        <f t="shared" ca="1" si="1"/>
        <v>34 years, 10 months</v>
      </c>
      <c r="D175" s="75">
        <v>9449306699</v>
      </c>
      <c r="E175" s="69">
        <v>19910806</v>
      </c>
      <c r="F175" s="70"/>
      <c r="G175" s="70" t="s">
        <v>2664</v>
      </c>
      <c r="H175" s="70" t="s">
        <v>2665</v>
      </c>
      <c r="I175" s="70" t="s">
        <v>2666</v>
      </c>
      <c r="J175" s="70" t="s">
        <v>1391</v>
      </c>
      <c r="K175" s="70" t="s">
        <v>2016</v>
      </c>
      <c r="L175" s="70"/>
      <c r="M175" s="70" t="s">
        <v>2667</v>
      </c>
      <c r="N175" s="70"/>
      <c r="O175" s="70" t="s">
        <v>1834</v>
      </c>
      <c r="P175" s="70" t="s">
        <v>1793</v>
      </c>
      <c r="Q175" s="69">
        <v>7357887</v>
      </c>
      <c r="R175" s="70"/>
      <c r="S175" s="70" t="s">
        <v>1794</v>
      </c>
      <c r="T175" s="70"/>
      <c r="U175" s="70" t="s">
        <v>2668</v>
      </c>
      <c r="V175" s="70"/>
    </row>
    <row r="176" spans="1:22" ht="15.75" customHeight="1">
      <c r="A176" s="66">
        <v>33556</v>
      </c>
      <c r="B176" s="67">
        <f t="shared" ca="1" si="0"/>
        <v>34.574256657153725</v>
      </c>
      <c r="C176" s="68" t="str">
        <f t="shared" ca="1" si="1"/>
        <v>34 years, 6 months</v>
      </c>
      <c r="D176" s="69">
        <v>9449308136</v>
      </c>
      <c r="E176" s="69">
        <v>19911114</v>
      </c>
      <c r="F176" s="70"/>
      <c r="G176" s="70" t="s">
        <v>2669</v>
      </c>
      <c r="H176" s="70" t="s">
        <v>2670</v>
      </c>
      <c r="I176" s="70" t="s">
        <v>2671</v>
      </c>
      <c r="J176" s="70" t="s">
        <v>1262</v>
      </c>
      <c r="K176" s="70" t="s">
        <v>1263</v>
      </c>
      <c r="L176" s="70"/>
      <c r="M176" s="70" t="s">
        <v>2672</v>
      </c>
      <c r="N176" s="70"/>
      <c r="O176" s="70" t="s">
        <v>2132</v>
      </c>
      <c r="P176" s="70" t="s">
        <v>1793</v>
      </c>
      <c r="Q176" s="69">
        <v>7396899</v>
      </c>
      <c r="R176" s="70"/>
      <c r="S176" s="70" t="s">
        <v>1794</v>
      </c>
      <c r="T176" s="70"/>
      <c r="U176" s="70" t="s">
        <v>2673</v>
      </c>
      <c r="V176" s="70"/>
    </row>
    <row r="177" spans="1:22" ht="15.75" customHeight="1">
      <c r="A177" s="66">
        <v>33829</v>
      </c>
      <c r="B177" s="67">
        <f t="shared" ca="1" si="0"/>
        <v>33.826311451674272</v>
      </c>
      <c r="C177" s="68" t="str">
        <f t="shared" ca="1" si="1"/>
        <v>33 years, 9 months</v>
      </c>
      <c r="D177" s="69">
        <v>9449308756</v>
      </c>
      <c r="E177" s="69">
        <v>19920813</v>
      </c>
      <c r="F177" s="70"/>
      <c r="G177" s="70" t="s">
        <v>2674</v>
      </c>
      <c r="H177" s="70" t="s">
        <v>2335</v>
      </c>
      <c r="I177" s="70" t="s">
        <v>2675</v>
      </c>
      <c r="J177" s="70" t="s">
        <v>1422</v>
      </c>
      <c r="K177" s="70" t="s">
        <v>1285</v>
      </c>
      <c r="L177" s="70"/>
      <c r="M177" s="70" t="s">
        <v>2676</v>
      </c>
      <c r="N177" s="70" t="s">
        <v>2677</v>
      </c>
      <c r="O177" s="70" t="s">
        <v>2678</v>
      </c>
      <c r="P177" s="70" t="s">
        <v>1793</v>
      </c>
      <c r="Q177" s="69">
        <v>9571071</v>
      </c>
      <c r="R177" s="70"/>
      <c r="S177" s="70" t="s">
        <v>1794</v>
      </c>
      <c r="T177" s="70"/>
      <c r="U177" s="70" t="s">
        <v>2679</v>
      </c>
      <c r="V177" s="70"/>
    </row>
    <row r="178" spans="1:22" ht="15.75" customHeight="1">
      <c r="A178" s="66">
        <v>33834</v>
      </c>
      <c r="B178" s="67">
        <f t="shared" ca="1" si="0"/>
        <v>33.812612821537286</v>
      </c>
      <c r="C178" s="68" t="str">
        <f t="shared" ca="1" si="1"/>
        <v>33 years, 9 months</v>
      </c>
      <c r="D178" s="69">
        <v>9449305544</v>
      </c>
      <c r="E178" s="69">
        <v>19920818</v>
      </c>
      <c r="F178" s="70"/>
      <c r="G178" s="70" t="s">
        <v>2216</v>
      </c>
      <c r="H178" s="70"/>
      <c r="I178" s="70" t="s">
        <v>2680</v>
      </c>
      <c r="J178" s="70" t="s">
        <v>1262</v>
      </c>
      <c r="K178" s="70" t="s">
        <v>1263</v>
      </c>
      <c r="L178" s="70"/>
      <c r="M178" s="70" t="s">
        <v>2681</v>
      </c>
      <c r="N178" s="70"/>
      <c r="O178" s="70" t="s">
        <v>1800</v>
      </c>
      <c r="P178" s="70" t="s">
        <v>1793</v>
      </c>
      <c r="Q178" s="69">
        <v>7339558</v>
      </c>
      <c r="R178" s="70"/>
      <c r="S178" s="70" t="s">
        <v>1794</v>
      </c>
      <c r="T178" s="70"/>
      <c r="U178" s="70" t="s">
        <v>2682</v>
      </c>
      <c r="V178" s="70"/>
    </row>
    <row r="179" spans="1:22" ht="15.75" customHeight="1">
      <c r="A179" s="66">
        <v>33945</v>
      </c>
      <c r="B179" s="67">
        <f t="shared" ca="1" si="0"/>
        <v>33.508503232496189</v>
      </c>
      <c r="C179" s="68" t="str">
        <f t="shared" ca="1" si="1"/>
        <v>33 years, 6 months</v>
      </c>
      <c r="D179" s="69">
        <v>9449305412</v>
      </c>
      <c r="E179" s="69">
        <v>19921207</v>
      </c>
      <c r="F179" s="70"/>
      <c r="G179" s="70" t="s">
        <v>2683</v>
      </c>
      <c r="H179" s="70" t="s">
        <v>2312</v>
      </c>
      <c r="I179" s="70" t="s">
        <v>2684</v>
      </c>
      <c r="J179" s="70" t="s">
        <v>1422</v>
      </c>
      <c r="K179" s="70" t="s">
        <v>2016</v>
      </c>
      <c r="L179" s="70"/>
      <c r="M179" s="70" t="s">
        <v>2685</v>
      </c>
      <c r="N179" s="70"/>
      <c r="O179" s="70" t="s">
        <v>1800</v>
      </c>
      <c r="P179" s="70" t="s">
        <v>1793</v>
      </c>
      <c r="Q179" s="69">
        <v>7337445</v>
      </c>
      <c r="R179" s="70"/>
      <c r="S179" s="70" t="s">
        <v>1794</v>
      </c>
      <c r="T179" s="70"/>
      <c r="U179" s="70" t="s">
        <v>2686</v>
      </c>
      <c r="V179" s="70"/>
    </row>
    <row r="180" spans="1:22" ht="15.75" customHeight="1">
      <c r="A180" s="66">
        <v>33977</v>
      </c>
      <c r="B180" s="67">
        <f t="shared" ca="1" si="0"/>
        <v>33.42083199961948</v>
      </c>
      <c r="C180" s="68" t="str">
        <f t="shared" ca="1" si="1"/>
        <v>33 years, 5 months</v>
      </c>
      <c r="D180" s="69">
        <v>9449305145</v>
      </c>
      <c r="E180" s="69">
        <v>19930108</v>
      </c>
      <c r="F180" s="70"/>
      <c r="G180" s="70" t="s">
        <v>2687</v>
      </c>
      <c r="H180" s="70"/>
      <c r="I180" s="70" t="s">
        <v>2688</v>
      </c>
      <c r="J180" s="70" t="s">
        <v>1422</v>
      </c>
      <c r="K180" s="70" t="s">
        <v>1285</v>
      </c>
      <c r="L180" s="70"/>
      <c r="M180" s="70" t="s">
        <v>2689</v>
      </c>
      <c r="N180" s="70"/>
      <c r="O180" s="70" t="s">
        <v>1800</v>
      </c>
      <c r="P180" s="70" t="s">
        <v>1793</v>
      </c>
      <c r="Q180" s="69">
        <v>7334523</v>
      </c>
      <c r="R180" s="70"/>
      <c r="S180" s="70" t="s">
        <v>1794</v>
      </c>
      <c r="T180" s="70"/>
      <c r="U180" s="70" t="s">
        <v>2690</v>
      </c>
      <c r="V180" s="70"/>
    </row>
    <row r="181" spans="1:22" ht="15.75" customHeight="1">
      <c r="A181" s="66">
        <v>34180</v>
      </c>
      <c r="B181" s="67">
        <f t="shared" ca="1" si="0"/>
        <v>32.864667616057837</v>
      </c>
      <c r="C181" s="68" t="str">
        <f t="shared" ca="1" si="1"/>
        <v>32 years, 10 months</v>
      </c>
      <c r="D181" s="69">
        <v>9449309590</v>
      </c>
      <c r="E181" s="69">
        <v>19930730</v>
      </c>
      <c r="F181" s="70"/>
      <c r="G181" s="70" t="s">
        <v>2691</v>
      </c>
      <c r="H181" s="70"/>
      <c r="I181" s="70" t="s">
        <v>2692</v>
      </c>
      <c r="J181" s="70" t="s">
        <v>1422</v>
      </c>
      <c r="K181" s="70" t="s">
        <v>1285</v>
      </c>
      <c r="L181" s="70"/>
      <c r="M181" s="70" t="s">
        <v>2693</v>
      </c>
      <c r="N181" s="70"/>
      <c r="O181" s="70" t="s">
        <v>1886</v>
      </c>
      <c r="P181" s="70" t="s">
        <v>1793</v>
      </c>
      <c r="Q181" s="69">
        <v>9719604</v>
      </c>
      <c r="R181" s="70"/>
      <c r="S181" s="70" t="s">
        <v>1794</v>
      </c>
      <c r="T181" s="70"/>
      <c r="U181" s="70" t="s">
        <v>2694</v>
      </c>
      <c r="V181" s="70"/>
    </row>
    <row r="182" spans="1:22" ht="15.75" customHeight="1">
      <c r="A182" s="66">
        <v>34228</v>
      </c>
      <c r="B182" s="67">
        <f t="shared" ca="1" si="0"/>
        <v>32.733160766742763</v>
      </c>
      <c r="C182" s="68" t="str">
        <f t="shared" ca="1" si="1"/>
        <v>32 years, 8 months</v>
      </c>
      <c r="D182" s="69">
        <v>9449306664</v>
      </c>
      <c r="E182" s="69">
        <v>19930916</v>
      </c>
      <c r="F182" s="70"/>
      <c r="G182" s="70" t="s">
        <v>2695</v>
      </c>
      <c r="H182" s="70" t="s">
        <v>2696</v>
      </c>
      <c r="I182" s="70" t="s">
        <v>2697</v>
      </c>
      <c r="J182" s="70" t="s">
        <v>1391</v>
      </c>
      <c r="K182" s="70" t="s">
        <v>1263</v>
      </c>
      <c r="L182" s="70" t="s">
        <v>2698</v>
      </c>
      <c r="M182" s="70" t="s">
        <v>1958</v>
      </c>
      <c r="N182" s="70"/>
      <c r="O182" s="70" t="s">
        <v>1834</v>
      </c>
      <c r="P182" s="70" t="s">
        <v>1793</v>
      </c>
      <c r="Q182" s="69">
        <v>23680778</v>
      </c>
      <c r="R182" s="70"/>
      <c r="S182" s="70" t="s">
        <v>1794</v>
      </c>
      <c r="T182" s="70"/>
      <c r="U182" s="70" t="s">
        <v>2699</v>
      </c>
      <c r="V182" s="70"/>
    </row>
    <row r="183" spans="1:22" ht="15.75" customHeight="1">
      <c r="A183" s="66">
        <v>34256</v>
      </c>
      <c r="B183" s="67">
        <f t="shared" ca="1" si="0"/>
        <v>32.656448437975641</v>
      </c>
      <c r="C183" s="68" t="str">
        <f t="shared" ca="1" si="1"/>
        <v>32 years, 7 months</v>
      </c>
      <c r="D183" s="69">
        <v>9449305641</v>
      </c>
      <c r="E183" s="69">
        <v>19931014</v>
      </c>
      <c r="F183" s="70"/>
      <c r="G183" s="70" t="s">
        <v>2700</v>
      </c>
      <c r="H183" s="70" t="s">
        <v>2701</v>
      </c>
      <c r="I183" s="70" t="s">
        <v>2702</v>
      </c>
      <c r="J183" s="70" t="s">
        <v>1262</v>
      </c>
      <c r="K183" s="70" t="s">
        <v>1263</v>
      </c>
      <c r="L183" s="70" t="s">
        <v>2703</v>
      </c>
      <c r="M183" s="70" t="s">
        <v>2704</v>
      </c>
      <c r="N183" s="70"/>
      <c r="O183" s="70" t="s">
        <v>1800</v>
      </c>
      <c r="P183" s="70"/>
      <c r="Q183" s="69">
        <v>32602027</v>
      </c>
      <c r="R183" s="70"/>
      <c r="S183" s="70" t="s">
        <v>1794</v>
      </c>
      <c r="T183" s="70"/>
      <c r="U183" s="70" t="s">
        <v>2705</v>
      </c>
      <c r="V183" s="70"/>
    </row>
    <row r="184" spans="1:22" ht="15.75" customHeight="1">
      <c r="A184" s="66">
        <v>34300</v>
      </c>
      <c r="B184" s="67">
        <f t="shared" ca="1" si="0"/>
        <v>32.53590049277016</v>
      </c>
      <c r="C184" s="68" t="str">
        <f t="shared" ca="1" si="1"/>
        <v>32 years, 6 months</v>
      </c>
      <c r="D184" s="69">
        <v>9449305935</v>
      </c>
      <c r="E184" s="69">
        <v>19931127</v>
      </c>
      <c r="F184" s="70"/>
      <c r="G184" s="70" t="s">
        <v>2706</v>
      </c>
      <c r="H184" s="70" t="s">
        <v>2707</v>
      </c>
      <c r="I184" s="70" t="s">
        <v>2708</v>
      </c>
      <c r="J184" s="70" t="s">
        <v>1262</v>
      </c>
      <c r="K184" s="70" t="s">
        <v>1263</v>
      </c>
      <c r="L184" s="70"/>
      <c r="M184" s="70" t="s">
        <v>2709</v>
      </c>
      <c r="N184" s="70"/>
      <c r="O184" s="70" t="s">
        <v>1800</v>
      </c>
      <c r="P184" s="70" t="s">
        <v>1793</v>
      </c>
      <c r="Q184" s="69">
        <v>7343817</v>
      </c>
      <c r="R184" s="70"/>
      <c r="S184" s="70" t="s">
        <v>1794</v>
      </c>
      <c r="T184" s="70"/>
      <c r="U184" s="70" t="s">
        <v>2710</v>
      </c>
      <c r="V184" s="70"/>
    </row>
    <row r="185" spans="1:22" ht="15.75" customHeight="1">
      <c r="A185" s="66">
        <v>34310</v>
      </c>
      <c r="B185" s="67">
        <f t="shared" ca="1" si="0"/>
        <v>32.508503232496189</v>
      </c>
      <c r="C185" s="68" t="str">
        <f t="shared" ca="1" si="1"/>
        <v>32 years, 6 months</v>
      </c>
      <c r="D185" s="69">
        <v>9449306435</v>
      </c>
      <c r="E185" s="69">
        <v>19931207</v>
      </c>
      <c r="F185" s="70"/>
      <c r="G185" s="70" t="s">
        <v>2711</v>
      </c>
      <c r="H185" s="70" t="s">
        <v>2335</v>
      </c>
      <c r="I185" s="70" t="s">
        <v>2712</v>
      </c>
      <c r="J185" s="70" t="s">
        <v>1422</v>
      </c>
      <c r="K185" s="70" t="s">
        <v>1285</v>
      </c>
      <c r="L185" s="70" t="s">
        <v>2713</v>
      </c>
      <c r="M185" s="70" t="s">
        <v>2714</v>
      </c>
      <c r="N185" s="70" t="s">
        <v>2184</v>
      </c>
      <c r="O185" s="70" t="s">
        <v>1906</v>
      </c>
      <c r="P185" s="70"/>
      <c r="Q185" s="69">
        <v>21355097</v>
      </c>
      <c r="R185" s="70"/>
      <c r="S185" s="70" t="s">
        <v>1794</v>
      </c>
      <c r="T185" s="70"/>
      <c r="U185" s="70" t="s">
        <v>2715</v>
      </c>
      <c r="V185" s="70"/>
    </row>
    <row r="186" spans="1:22" ht="15.75" customHeight="1">
      <c r="A186" s="66">
        <v>34311</v>
      </c>
      <c r="B186" s="67">
        <f t="shared" ca="1" si="0"/>
        <v>32.505763506468796</v>
      </c>
      <c r="C186" s="68" t="str">
        <f t="shared" ca="1" si="1"/>
        <v>32 years, 6 months</v>
      </c>
      <c r="D186" s="69">
        <v>9449310297</v>
      </c>
      <c r="E186" s="69">
        <v>19931208</v>
      </c>
      <c r="F186" s="70"/>
      <c r="G186" s="70" t="s">
        <v>2716</v>
      </c>
      <c r="H186" s="70"/>
      <c r="I186" s="70" t="s">
        <v>2717</v>
      </c>
      <c r="J186" s="70" t="s">
        <v>1422</v>
      </c>
      <c r="K186" s="70" t="s">
        <v>1285</v>
      </c>
      <c r="L186" s="70"/>
      <c r="M186" s="70" t="s">
        <v>2718</v>
      </c>
      <c r="N186" s="70"/>
      <c r="O186" s="70" t="s">
        <v>1800</v>
      </c>
      <c r="P186" s="70" t="s">
        <v>1793</v>
      </c>
      <c r="Q186" s="69">
        <v>7341203</v>
      </c>
      <c r="R186" s="70"/>
      <c r="S186" s="70" t="s">
        <v>1794</v>
      </c>
      <c r="T186" s="70"/>
      <c r="U186" s="70" t="s">
        <v>2719</v>
      </c>
      <c r="V186" s="70"/>
    </row>
    <row r="187" spans="1:22" ht="15.75" customHeight="1">
      <c r="A187" s="66">
        <v>34400</v>
      </c>
      <c r="B187" s="67">
        <f t="shared" ca="1" si="0"/>
        <v>32.261927890030435</v>
      </c>
      <c r="C187" s="68" t="str">
        <f t="shared" ca="1" si="1"/>
        <v>32 years, 3 months</v>
      </c>
      <c r="D187" s="69">
        <v>9449306400</v>
      </c>
      <c r="E187" s="69">
        <v>19940307</v>
      </c>
      <c r="F187" s="70"/>
      <c r="G187" s="70" t="s">
        <v>2720</v>
      </c>
      <c r="H187" s="70" t="s">
        <v>2721</v>
      </c>
      <c r="I187" s="70" t="s">
        <v>2722</v>
      </c>
      <c r="J187" s="70" t="s">
        <v>1422</v>
      </c>
      <c r="K187" s="70" t="s">
        <v>1285</v>
      </c>
      <c r="L187" s="70" t="s">
        <v>2723</v>
      </c>
      <c r="M187" s="70" t="s">
        <v>2724</v>
      </c>
      <c r="N187" s="70" t="s">
        <v>2184</v>
      </c>
      <c r="O187" s="70" t="s">
        <v>1906</v>
      </c>
      <c r="P187" s="70"/>
      <c r="Q187" s="69">
        <v>17358213</v>
      </c>
      <c r="R187" s="70"/>
      <c r="S187" s="70" t="s">
        <v>1794</v>
      </c>
      <c r="T187" s="70"/>
      <c r="U187" s="70" t="s">
        <v>2725</v>
      </c>
      <c r="V187" s="70"/>
    </row>
    <row r="188" spans="1:22" ht="15.75" customHeight="1">
      <c r="A188" s="66">
        <v>34412</v>
      </c>
      <c r="B188" s="67">
        <f t="shared" ca="1" si="0"/>
        <v>32.22905117770167</v>
      </c>
      <c r="C188" s="68" t="str">
        <f t="shared" ca="1" si="1"/>
        <v>32 years, 2 months</v>
      </c>
      <c r="D188" s="69">
        <v>9449304106</v>
      </c>
      <c r="E188" s="69">
        <v>19940319</v>
      </c>
      <c r="F188" s="70"/>
      <c r="G188" s="70" t="s">
        <v>2726</v>
      </c>
      <c r="H188" s="70" t="s">
        <v>2727</v>
      </c>
      <c r="I188" s="70" t="s">
        <v>2728</v>
      </c>
      <c r="J188" s="70" t="s">
        <v>1422</v>
      </c>
      <c r="K188" s="70" t="s">
        <v>1285</v>
      </c>
      <c r="L188" s="70"/>
      <c r="M188" s="70" t="s">
        <v>2729</v>
      </c>
      <c r="N188" s="70"/>
      <c r="O188" s="70" t="s">
        <v>1792</v>
      </c>
      <c r="P188" s="70" t="s">
        <v>1793</v>
      </c>
      <c r="Q188" s="69">
        <v>25531063</v>
      </c>
      <c r="R188" s="70"/>
      <c r="S188" s="70" t="s">
        <v>1794</v>
      </c>
      <c r="T188" s="70"/>
      <c r="U188" s="70" t="s">
        <v>2730</v>
      </c>
      <c r="V188" s="70"/>
    </row>
    <row r="189" spans="1:22" ht="15.75" customHeight="1">
      <c r="A189" s="66">
        <v>34518</v>
      </c>
      <c r="B189" s="67">
        <f t="shared" ca="1" si="0"/>
        <v>31.938640218797559</v>
      </c>
      <c r="C189" s="68" t="str">
        <f t="shared" ca="1" si="1"/>
        <v>31 years, 11 months</v>
      </c>
      <c r="D189" s="69">
        <v>9449309922</v>
      </c>
      <c r="E189" s="69">
        <v>19940703</v>
      </c>
      <c r="F189" s="70"/>
      <c r="G189" s="70" t="s">
        <v>1954</v>
      </c>
      <c r="H189" s="70" t="s">
        <v>2731</v>
      </c>
      <c r="I189" s="70" t="s">
        <v>2732</v>
      </c>
      <c r="J189" s="70" t="s">
        <v>1262</v>
      </c>
      <c r="K189" s="70" t="s">
        <v>1263</v>
      </c>
      <c r="L189" s="70"/>
      <c r="M189" s="70" t="s">
        <v>2733</v>
      </c>
      <c r="N189" s="70"/>
      <c r="O189" s="70" t="s">
        <v>1886</v>
      </c>
      <c r="P189" s="70" t="s">
        <v>1793</v>
      </c>
      <c r="Q189" s="69">
        <v>18811411</v>
      </c>
      <c r="R189" s="70"/>
      <c r="S189" s="70" t="s">
        <v>1794</v>
      </c>
      <c r="T189" s="70"/>
      <c r="U189" s="70" t="s">
        <v>2734</v>
      </c>
      <c r="V189" s="70"/>
    </row>
    <row r="190" spans="1:22" ht="15.75" customHeight="1">
      <c r="A190" s="66">
        <v>34585</v>
      </c>
      <c r="B190" s="67">
        <f t="shared" ca="1" si="0"/>
        <v>31.755078574961942</v>
      </c>
      <c r="C190" s="68" t="str">
        <f t="shared" ca="1" si="1"/>
        <v>31 years, 9 months</v>
      </c>
      <c r="D190" s="69">
        <v>9449305986</v>
      </c>
      <c r="E190" s="69">
        <v>19940908</v>
      </c>
      <c r="F190" s="70"/>
      <c r="G190" s="70" t="s">
        <v>2735</v>
      </c>
      <c r="H190" s="70" t="s">
        <v>2736</v>
      </c>
      <c r="I190" s="70" t="s">
        <v>2737</v>
      </c>
      <c r="J190" s="70" t="s">
        <v>1391</v>
      </c>
      <c r="K190" s="70" t="s">
        <v>2016</v>
      </c>
      <c r="L190" s="70"/>
      <c r="M190" s="70" t="s">
        <v>2738</v>
      </c>
      <c r="N190" s="70"/>
      <c r="O190" s="70" t="s">
        <v>1800</v>
      </c>
      <c r="P190" s="70" t="s">
        <v>1793</v>
      </c>
      <c r="Q190" s="69">
        <v>17354008</v>
      </c>
      <c r="R190" s="70"/>
      <c r="S190" s="70" t="s">
        <v>1794</v>
      </c>
      <c r="T190" s="70"/>
      <c r="U190" s="70" t="s">
        <v>2739</v>
      </c>
      <c r="V190" s="70"/>
    </row>
    <row r="191" spans="1:22" ht="15.75" customHeight="1">
      <c r="A191" s="66">
        <v>34646</v>
      </c>
      <c r="B191" s="67">
        <f t="shared" ca="1" si="0"/>
        <v>31.587955287290711</v>
      </c>
      <c r="C191" s="68" t="str">
        <f t="shared" ca="1" si="1"/>
        <v>31 years, 7 months</v>
      </c>
      <c r="D191" s="69">
        <v>9449304033</v>
      </c>
      <c r="E191" s="69">
        <v>19941108</v>
      </c>
      <c r="F191" s="70"/>
      <c r="G191" s="70" t="s">
        <v>2740</v>
      </c>
      <c r="H191" s="70"/>
      <c r="I191" s="70" t="s">
        <v>2741</v>
      </c>
      <c r="J191" s="70" t="s">
        <v>1262</v>
      </c>
      <c r="K191" s="70" t="s">
        <v>1263</v>
      </c>
      <c r="L191" s="70"/>
      <c r="M191" s="70" t="s">
        <v>2742</v>
      </c>
      <c r="N191" s="70"/>
      <c r="O191" s="70" t="s">
        <v>1792</v>
      </c>
      <c r="P191" s="70" t="s">
        <v>1793</v>
      </c>
      <c r="Q191" s="69">
        <v>7297866</v>
      </c>
      <c r="R191" s="70"/>
      <c r="S191" s="70" t="s">
        <v>1794</v>
      </c>
      <c r="T191" s="70"/>
      <c r="U191" s="70" t="s">
        <v>2743</v>
      </c>
      <c r="V191" s="70"/>
    </row>
    <row r="192" spans="1:22" ht="15.75" customHeight="1">
      <c r="A192" s="66">
        <v>34659</v>
      </c>
      <c r="B192" s="67">
        <f t="shared" ca="1" si="0"/>
        <v>31.552338848934546</v>
      </c>
      <c r="C192" s="68" t="str">
        <f t="shared" ca="1" si="1"/>
        <v>31 years, 6 months</v>
      </c>
      <c r="D192" s="69">
        <v>9449304653</v>
      </c>
      <c r="E192" s="69">
        <v>19941121</v>
      </c>
      <c r="F192" s="70"/>
      <c r="G192" s="70" t="s">
        <v>2744</v>
      </c>
      <c r="H192" s="70" t="s">
        <v>2745</v>
      </c>
      <c r="I192" s="70" t="s">
        <v>2746</v>
      </c>
      <c r="J192" s="70" t="s">
        <v>1422</v>
      </c>
      <c r="K192" s="70" t="s">
        <v>1285</v>
      </c>
      <c r="L192" s="70" t="s">
        <v>2747</v>
      </c>
      <c r="M192" s="70" t="s">
        <v>2748</v>
      </c>
      <c r="N192" s="70"/>
      <c r="O192" s="70" t="s">
        <v>1800</v>
      </c>
      <c r="P192" s="70" t="s">
        <v>1793</v>
      </c>
      <c r="Q192" s="69">
        <v>17349204</v>
      </c>
      <c r="R192" s="70"/>
      <c r="S192" s="70" t="s">
        <v>1794</v>
      </c>
      <c r="T192" s="70"/>
      <c r="U192" s="70" t="s">
        <v>2749</v>
      </c>
      <c r="V192" s="70"/>
    </row>
    <row r="193" spans="1:22" ht="15.75" customHeight="1">
      <c r="A193" s="66">
        <v>34671</v>
      </c>
      <c r="B193" s="67">
        <f t="shared" ca="1" si="0"/>
        <v>31.519462136605778</v>
      </c>
      <c r="C193" s="68" t="str">
        <f t="shared" ca="1" si="1"/>
        <v>31 years, 6 months</v>
      </c>
      <c r="D193" s="69">
        <v>9449308411</v>
      </c>
      <c r="E193" s="69">
        <v>19941203</v>
      </c>
      <c r="F193" s="70"/>
      <c r="G193" s="70" t="s">
        <v>2234</v>
      </c>
      <c r="H193" s="70" t="s">
        <v>2750</v>
      </c>
      <c r="I193" s="70" t="s">
        <v>2751</v>
      </c>
      <c r="J193" s="70" t="s">
        <v>1262</v>
      </c>
      <c r="K193" s="70" t="s">
        <v>1263</v>
      </c>
      <c r="L193" s="70"/>
      <c r="M193" s="70" t="s">
        <v>2752</v>
      </c>
      <c r="N193" s="70"/>
      <c r="O193" s="70" t="s">
        <v>2524</v>
      </c>
      <c r="P193" s="70" t="s">
        <v>1793</v>
      </c>
      <c r="Q193" s="69">
        <v>7399801</v>
      </c>
      <c r="R193" s="70"/>
      <c r="S193" s="70" t="s">
        <v>1794</v>
      </c>
      <c r="T193" s="70"/>
      <c r="U193" s="70" t="s">
        <v>2753</v>
      </c>
      <c r="V193" s="70"/>
    </row>
    <row r="194" spans="1:22" ht="15.75" customHeight="1">
      <c r="A194" s="66">
        <v>34747</v>
      </c>
      <c r="B194" s="67">
        <f t="shared" ca="1" si="0"/>
        <v>31.311242958523586</v>
      </c>
      <c r="C194" s="68" t="str">
        <f t="shared" ca="1" si="1"/>
        <v>31 years, 3 months</v>
      </c>
      <c r="D194" s="69">
        <v>9449308454</v>
      </c>
      <c r="E194" s="69">
        <v>19950217</v>
      </c>
      <c r="F194" s="70"/>
      <c r="G194" s="70" t="s">
        <v>2754</v>
      </c>
      <c r="H194" s="70" t="s">
        <v>2755</v>
      </c>
      <c r="I194" s="70" t="s">
        <v>2756</v>
      </c>
      <c r="J194" s="70" t="s">
        <v>1391</v>
      </c>
      <c r="K194" s="70" t="s">
        <v>1263</v>
      </c>
      <c r="L194" s="70"/>
      <c r="M194" s="70" t="s">
        <v>2757</v>
      </c>
      <c r="N194" s="70"/>
      <c r="O194" s="70" t="s">
        <v>2524</v>
      </c>
      <c r="P194" s="70" t="s">
        <v>1793</v>
      </c>
      <c r="Q194" s="69">
        <v>7400336</v>
      </c>
      <c r="R194" s="70"/>
      <c r="S194" s="70" t="s">
        <v>1794</v>
      </c>
      <c r="T194" s="70"/>
      <c r="U194" s="70" t="s">
        <v>2758</v>
      </c>
      <c r="V194" s="70"/>
    </row>
    <row r="195" spans="1:22" ht="15.75" customHeight="1">
      <c r="A195" s="66">
        <v>34791</v>
      </c>
      <c r="B195" s="67">
        <f t="shared" ca="1" si="0"/>
        <v>31.190695013318109</v>
      </c>
      <c r="C195" s="68" t="str">
        <f t="shared" ca="1" si="1"/>
        <v>31 years, 2 months</v>
      </c>
      <c r="D195" s="69">
        <v>9449307296</v>
      </c>
      <c r="E195" s="69">
        <v>19950402</v>
      </c>
      <c r="F195" s="70"/>
      <c r="G195" s="70" t="s">
        <v>2759</v>
      </c>
      <c r="H195" s="70" t="s">
        <v>2760</v>
      </c>
      <c r="I195" s="70" t="s">
        <v>2761</v>
      </c>
      <c r="J195" s="70" t="s">
        <v>1314</v>
      </c>
      <c r="K195" s="70" t="s">
        <v>1263</v>
      </c>
      <c r="L195" s="70"/>
      <c r="M195" s="70" t="s">
        <v>2762</v>
      </c>
      <c r="N195" s="70"/>
      <c r="O195" s="70" t="s">
        <v>1807</v>
      </c>
      <c r="P195" s="70" t="s">
        <v>1793</v>
      </c>
      <c r="Q195" s="69">
        <v>21972893</v>
      </c>
      <c r="R195" s="70"/>
      <c r="S195" s="70" t="s">
        <v>1794</v>
      </c>
      <c r="T195" s="70"/>
      <c r="U195" s="70" t="s">
        <v>2763</v>
      </c>
      <c r="V195" s="70"/>
    </row>
    <row r="196" spans="1:22" ht="15.75" customHeight="1">
      <c r="A196" s="66">
        <v>34823</v>
      </c>
      <c r="B196" s="67">
        <f t="shared" ca="1" si="0"/>
        <v>31.103023780441397</v>
      </c>
      <c r="C196" s="68" t="str">
        <f t="shared" ca="1" si="1"/>
        <v>31 years, 1 months</v>
      </c>
      <c r="D196" s="69">
        <v>9449309701</v>
      </c>
      <c r="E196" s="69">
        <v>19950504</v>
      </c>
      <c r="F196" s="70"/>
      <c r="G196" s="70" t="s">
        <v>2764</v>
      </c>
      <c r="H196" s="70" t="s">
        <v>2765</v>
      </c>
      <c r="I196" s="70" t="s">
        <v>2766</v>
      </c>
      <c r="J196" s="70" t="s">
        <v>1422</v>
      </c>
      <c r="K196" s="70" t="s">
        <v>1285</v>
      </c>
      <c r="L196" s="70" t="s">
        <v>2767</v>
      </c>
      <c r="M196" s="70" t="s">
        <v>2768</v>
      </c>
      <c r="N196" s="70"/>
      <c r="O196" s="70" t="s">
        <v>1886</v>
      </c>
      <c r="P196" s="70" t="s">
        <v>1793</v>
      </c>
      <c r="Q196" s="69">
        <v>18810878</v>
      </c>
      <c r="R196" s="70"/>
      <c r="S196" s="70" t="s">
        <v>1794</v>
      </c>
      <c r="T196" s="70"/>
      <c r="U196" s="70" t="s">
        <v>2769</v>
      </c>
      <c r="V196" s="70"/>
    </row>
    <row r="197" spans="1:22" ht="15.75" customHeight="1">
      <c r="A197" s="66">
        <v>34824</v>
      </c>
      <c r="B197" s="67">
        <f t="shared" ca="1" si="0"/>
        <v>31.100284054413997</v>
      </c>
      <c r="C197" s="68" t="str">
        <f t="shared" ca="1" si="1"/>
        <v>31 years, 1 months</v>
      </c>
      <c r="D197" s="69">
        <v>9449304076</v>
      </c>
      <c r="E197" s="69">
        <v>19950505</v>
      </c>
      <c r="F197" s="70"/>
      <c r="G197" s="70" t="s">
        <v>2770</v>
      </c>
      <c r="H197" s="70" t="s">
        <v>2771</v>
      </c>
      <c r="I197" s="70" t="s">
        <v>2772</v>
      </c>
      <c r="J197" s="70" t="s">
        <v>1422</v>
      </c>
      <c r="K197" s="70" t="s">
        <v>1285</v>
      </c>
      <c r="L197" s="70"/>
      <c r="M197" s="70" t="s">
        <v>2773</v>
      </c>
      <c r="N197" s="70"/>
      <c r="O197" s="70" t="s">
        <v>1792</v>
      </c>
      <c r="P197" s="70" t="s">
        <v>1793</v>
      </c>
      <c r="Q197" s="69">
        <v>7298187</v>
      </c>
      <c r="R197" s="70"/>
      <c r="S197" s="70" t="s">
        <v>1794</v>
      </c>
      <c r="T197" s="70"/>
      <c r="U197" s="70" t="s">
        <v>2774</v>
      </c>
      <c r="V197" s="70"/>
    </row>
    <row r="198" spans="1:22" ht="15.75" customHeight="1">
      <c r="A198" s="66">
        <v>34828</v>
      </c>
      <c r="B198" s="67">
        <f t="shared" ca="1" si="0"/>
        <v>31.089325150304408</v>
      </c>
      <c r="C198" s="68" t="str">
        <f t="shared" ca="1" si="1"/>
        <v>31 years, 1 months</v>
      </c>
      <c r="D198" s="69">
        <v>9449306826</v>
      </c>
      <c r="E198" s="69">
        <v>19950509</v>
      </c>
      <c r="F198" s="70"/>
      <c r="G198" s="70" t="s">
        <v>2775</v>
      </c>
      <c r="H198" s="70" t="s">
        <v>2776</v>
      </c>
      <c r="I198" s="70" t="s">
        <v>2777</v>
      </c>
      <c r="J198" s="70" t="s">
        <v>1391</v>
      </c>
      <c r="K198" s="70" t="s">
        <v>1932</v>
      </c>
      <c r="L198" s="70" t="s">
        <v>2778</v>
      </c>
      <c r="M198" s="70" t="s">
        <v>2362</v>
      </c>
      <c r="N198" s="70"/>
      <c r="O198" s="70" t="s">
        <v>1834</v>
      </c>
      <c r="P198" s="70" t="s">
        <v>1793</v>
      </c>
      <c r="Q198" s="69">
        <v>17360274</v>
      </c>
      <c r="R198" s="70"/>
      <c r="S198" s="70" t="s">
        <v>1794</v>
      </c>
      <c r="T198" s="70"/>
      <c r="U198" s="70" t="s">
        <v>2779</v>
      </c>
      <c r="V198" s="70"/>
    </row>
    <row r="199" spans="1:22" ht="15.75" customHeight="1">
      <c r="A199" s="66">
        <v>34923</v>
      </c>
      <c r="B199" s="67">
        <f t="shared" ca="1" si="0"/>
        <v>30.829051177701668</v>
      </c>
      <c r="C199" s="68" t="str">
        <f t="shared" ca="1" si="1"/>
        <v>30 years, 9 months</v>
      </c>
      <c r="D199" s="69">
        <v>9449309337</v>
      </c>
      <c r="E199" s="69">
        <v>19950812</v>
      </c>
      <c r="F199" s="70"/>
      <c r="G199" s="70" t="s">
        <v>2780</v>
      </c>
      <c r="H199" s="70" t="s">
        <v>2781</v>
      </c>
      <c r="I199" s="70" t="s">
        <v>2782</v>
      </c>
      <c r="J199" s="70" t="s">
        <v>1391</v>
      </c>
      <c r="K199" s="70" t="s">
        <v>1263</v>
      </c>
      <c r="L199" s="70" t="s">
        <v>2783</v>
      </c>
      <c r="M199" s="70" t="s">
        <v>2784</v>
      </c>
      <c r="N199" s="70" t="s">
        <v>1918</v>
      </c>
      <c r="O199" s="70" t="s">
        <v>1862</v>
      </c>
      <c r="P199" s="70" t="s">
        <v>1793</v>
      </c>
      <c r="Q199" s="69">
        <v>24373819</v>
      </c>
      <c r="R199" s="70"/>
      <c r="S199" s="70" t="s">
        <v>1794</v>
      </c>
      <c r="T199" s="70"/>
      <c r="U199" s="70" t="s">
        <v>2785</v>
      </c>
      <c r="V199" s="70"/>
    </row>
    <row r="200" spans="1:22" ht="15.75" customHeight="1">
      <c r="A200" s="66">
        <v>35065</v>
      </c>
      <c r="B200" s="67">
        <f t="shared" ca="1" si="0"/>
        <v>30.440010081811259</v>
      </c>
      <c r="C200" s="68" t="str">
        <f t="shared" ca="1" si="1"/>
        <v>30 years, 5 months</v>
      </c>
      <c r="D200" s="69">
        <v>9449308624</v>
      </c>
      <c r="E200" s="69">
        <v>19960101</v>
      </c>
      <c r="F200" s="70"/>
      <c r="G200" s="70" t="s">
        <v>2786</v>
      </c>
      <c r="H200" s="70" t="s">
        <v>2787</v>
      </c>
      <c r="I200" s="70" t="s">
        <v>2788</v>
      </c>
      <c r="J200" s="70" t="s">
        <v>1391</v>
      </c>
      <c r="K200" s="70" t="s">
        <v>1263</v>
      </c>
      <c r="L200" s="70"/>
      <c r="M200" s="70" t="s">
        <v>2789</v>
      </c>
      <c r="N200" s="70" t="s">
        <v>2677</v>
      </c>
      <c r="O200" s="70" t="s">
        <v>2678</v>
      </c>
      <c r="P200" s="70" t="s">
        <v>1793</v>
      </c>
      <c r="Q200" s="69">
        <v>9570444</v>
      </c>
      <c r="R200" s="70"/>
      <c r="S200" s="70" t="s">
        <v>1794</v>
      </c>
      <c r="T200" s="70"/>
      <c r="U200" s="70" t="s">
        <v>2790</v>
      </c>
      <c r="V200" s="70"/>
    </row>
    <row r="201" spans="1:22" ht="15.75" customHeight="1">
      <c r="A201" s="66">
        <v>35101</v>
      </c>
      <c r="B201" s="67">
        <f t="shared" ca="1" si="0"/>
        <v>30.341379944824958</v>
      </c>
      <c r="C201" s="68" t="str">
        <f t="shared" ca="1" si="1"/>
        <v>30 years, 4 months</v>
      </c>
      <c r="D201" s="69">
        <v>9449304467</v>
      </c>
      <c r="E201" s="69">
        <v>19960206</v>
      </c>
      <c r="F201" s="70"/>
      <c r="G201" s="70" t="s">
        <v>2791</v>
      </c>
      <c r="H201" s="70"/>
      <c r="I201" s="70" t="s">
        <v>2792</v>
      </c>
      <c r="J201" s="70" t="s">
        <v>1422</v>
      </c>
      <c r="K201" s="70" t="s">
        <v>1285</v>
      </c>
      <c r="L201" s="70"/>
      <c r="M201" s="70" t="s">
        <v>2793</v>
      </c>
      <c r="N201" s="70"/>
      <c r="O201" s="70" t="s">
        <v>1800</v>
      </c>
      <c r="P201" s="70" t="s">
        <v>1793</v>
      </c>
      <c r="Q201" s="69">
        <v>7328576</v>
      </c>
      <c r="R201" s="70"/>
      <c r="S201" s="70" t="s">
        <v>1794</v>
      </c>
      <c r="T201" s="70"/>
      <c r="U201" s="70" t="s">
        <v>2794</v>
      </c>
      <c r="V201" s="70"/>
    </row>
    <row r="202" spans="1:22" ht="15.75" customHeight="1">
      <c r="A202" s="66">
        <v>35107</v>
      </c>
      <c r="B202" s="67">
        <f t="shared" ca="1" si="0"/>
        <v>30.324941588660575</v>
      </c>
      <c r="C202" s="68" t="str">
        <f t="shared" ca="1" si="1"/>
        <v>30 years, 3 months</v>
      </c>
      <c r="D202" s="69">
        <v>9449309302</v>
      </c>
      <c r="E202" s="69">
        <v>19960212</v>
      </c>
      <c r="F202" s="70"/>
      <c r="G202" s="70" t="s">
        <v>2795</v>
      </c>
      <c r="H202" s="70"/>
      <c r="I202" s="70" t="s">
        <v>2796</v>
      </c>
      <c r="J202" s="70" t="s">
        <v>1422</v>
      </c>
      <c r="K202" s="70" t="s">
        <v>1285</v>
      </c>
      <c r="L202" s="70" t="s">
        <v>2797</v>
      </c>
      <c r="M202" s="70" t="s">
        <v>2798</v>
      </c>
      <c r="N202" s="70" t="s">
        <v>1918</v>
      </c>
      <c r="O202" s="70" t="s">
        <v>1862</v>
      </c>
      <c r="P202" s="70" t="s">
        <v>1793</v>
      </c>
      <c r="Q202" s="69">
        <v>24539179</v>
      </c>
      <c r="R202" s="70"/>
      <c r="S202" s="70" t="s">
        <v>1794</v>
      </c>
      <c r="T202" s="70"/>
      <c r="U202" s="70" t="s">
        <v>2799</v>
      </c>
      <c r="V202" s="70"/>
    </row>
    <row r="203" spans="1:22" ht="15.75" customHeight="1">
      <c r="A203" s="66">
        <v>35166</v>
      </c>
      <c r="B203" s="67">
        <f t="shared" ca="1" si="0"/>
        <v>30.163297753044134</v>
      </c>
      <c r="C203" s="68" t="str">
        <f t="shared" ca="1" si="1"/>
        <v>30 years, 1 months</v>
      </c>
      <c r="D203" s="69">
        <v>9449308985</v>
      </c>
      <c r="E203" s="69">
        <v>19960411</v>
      </c>
      <c r="F203" s="70"/>
      <c r="G203" s="70" t="s">
        <v>2800</v>
      </c>
      <c r="H203" s="70" t="s">
        <v>2801</v>
      </c>
      <c r="I203" s="70" t="s">
        <v>2802</v>
      </c>
      <c r="J203" s="70" t="s">
        <v>1391</v>
      </c>
      <c r="K203" s="70" t="s">
        <v>1263</v>
      </c>
      <c r="L203" s="70" t="s">
        <v>2803</v>
      </c>
      <c r="M203" s="70" t="s">
        <v>2804</v>
      </c>
      <c r="N203" s="70"/>
      <c r="O203" s="70" t="s">
        <v>1862</v>
      </c>
      <c r="P203" s="70"/>
      <c r="Q203" s="69">
        <v>18357543</v>
      </c>
      <c r="R203" s="70"/>
      <c r="S203" s="70" t="s">
        <v>1794</v>
      </c>
      <c r="T203" s="70"/>
      <c r="U203" s="70" t="s">
        <v>2805</v>
      </c>
      <c r="V203" s="70"/>
    </row>
    <row r="204" spans="1:22" ht="15.75" customHeight="1">
      <c r="A204" s="66">
        <v>35212</v>
      </c>
      <c r="B204" s="67">
        <f t="shared" ca="1" si="0"/>
        <v>30.037270355783861</v>
      </c>
      <c r="C204" s="68" t="str">
        <f t="shared" ca="1" si="1"/>
        <v>30 years, 0 months</v>
      </c>
      <c r="D204" s="69">
        <v>9449308977</v>
      </c>
      <c r="E204" s="69">
        <v>19960527</v>
      </c>
      <c r="F204" s="70"/>
      <c r="G204" s="70" t="s">
        <v>2806</v>
      </c>
      <c r="H204" s="70" t="s">
        <v>2807</v>
      </c>
      <c r="I204" s="70" t="s">
        <v>2808</v>
      </c>
      <c r="J204" s="70" t="s">
        <v>1422</v>
      </c>
      <c r="K204" s="70" t="s">
        <v>1285</v>
      </c>
      <c r="L204" s="70"/>
      <c r="M204" s="70" t="s">
        <v>2809</v>
      </c>
      <c r="N204" s="70"/>
      <c r="O204" s="70" t="s">
        <v>1862</v>
      </c>
      <c r="P204" s="70" t="s">
        <v>1793</v>
      </c>
      <c r="Q204" s="69">
        <v>9573365</v>
      </c>
      <c r="R204" s="70"/>
      <c r="S204" s="70" t="s">
        <v>1794</v>
      </c>
      <c r="T204" s="70"/>
      <c r="U204" s="70" t="s">
        <v>2810</v>
      </c>
      <c r="V204" s="70"/>
    </row>
    <row r="205" spans="1:22" ht="15.75" customHeight="1">
      <c r="A205" s="66">
        <v>35215</v>
      </c>
      <c r="B205" s="67">
        <f t="shared" ca="1" si="0"/>
        <v>30.029051177701671</v>
      </c>
      <c r="C205" s="68" t="str">
        <f t="shared" ca="1" si="1"/>
        <v>30 years, 0 months</v>
      </c>
      <c r="D205" s="69">
        <v>9449310580</v>
      </c>
      <c r="E205" s="69">
        <v>19960530</v>
      </c>
      <c r="F205" s="70"/>
      <c r="G205" s="70" t="s">
        <v>2811</v>
      </c>
      <c r="H205" s="70"/>
      <c r="I205" s="70" t="s">
        <v>2812</v>
      </c>
      <c r="J205" s="70" t="s">
        <v>1422</v>
      </c>
      <c r="K205" s="70" t="s">
        <v>2016</v>
      </c>
      <c r="L205" s="70" t="s">
        <v>2813</v>
      </c>
      <c r="M205" s="70" t="s">
        <v>2814</v>
      </c>
      <c r="N205" s="70"/>
      <c r="O205" s="70" t="s">
        <v>1819</v>
      </c>
      <c r="P205" s="70"/>
      <c r="Q205" s="69">
        <v>20982074</v>
      </c>
      <c r="R205" s="70"/>
      <c r="S205" s="70" t="s">
        <v>1794</v>
      </c>
      <c r="T205" s="70"/>
      <c r="U205" s="70" t="s">
        <v>2815</v>
      </c>
      <c r="V205" s="70"/>
    </row>
    <row r="206" spans="1:22" ht="15.75" customHeight="1">
      <c r="A206" s="66">
        <v>35226</v>
      </c>
      <c r="B206" s="67">
        <f t="shared" ca="1" si="0"/>
        <v>29.998914191400299</v>
      </c>
      <c r="C206" s="68" t="str">
        <f t="shared" ca="1" si="1"/>
        <v>29 years, 11 months</v>
      </c>
      <c r="D206" s="69">
        <v>9449308381</v>
      </c>
      <c r="E206" s="69">
        <v>19960610</v>
      </c>
      <c r="F206" s="70"/>
      <c r="G206" s="70" t="s">
        <v>2816</v>
      </c>
      <c r="H206" s="70"/>
      <c r="I206" s="70" t="s">
        <v>2817</v>
      </c>
      <c r="J206" s="70" t="s">
        <v>1422</v>
      </c>
      <c r="K206" s="70" t="s">
        <v>1285</v>
      </c>
      <c r="L206" s="70"/>
      <c r="M206" s="70" t="s">
        <v>2818</v>
      </c>
      <c r="N206" s="70"/>
      <c r="O206" s="70" t="s">
        <v>2524</v>
      </c>
      <c r="P206" s="70" t="s">
        <v>1793</v>
      </c>
      <c r="Q206" s="69">
        <v>7399239</v>
      </c>
      <c r="R206" s="70"/>
      <c r="S206" s="70" t="s">
        <v>1794</v>
      </c>
      <c r="T206" s="70"/>
      <c r="U206" s="70" t="s">
        <v>2819</v>
      </c>
      <c r="V206" s="70"/>
    </row>
    <row r="207" spans="1:22" ht="15.75" customHeight="1">
      <c r="A207" s="66">
        <v>35230</v>
      </c>
      <c r="B207" s="67">
        <f t="shared" ca="1" si="0"/>
        <v>29.98795528729071</v>
      </c>
      <c r="C207" s="68" t="str">
        <f t="shared" ca="1" si="1"/>
        <v>29 years, 11 months</v>
      </c>
      <c r="D207" s="69">
        <v>9449304866</v>
      </c>
      <c r="E207" s="69">
        <v>19960614</v>
      </c>
      <c r="F207" s="70"/>
      <c r="G207" s="70" t="s">
        <v>2820</v>
      </c>
      <c r="H207" s="70" t="s">
        <v>2821</v>
      </c>
      <c r="I207" s="70" t="s">
        <v>2822</v>
      </c>
      <c r="J207" s="70" t="s">
        <v>1422</v>
      </c>
      <c r="K207" s="70" t="s">
        <v>2016</v>
      </c>
      <c r="L207" s="70"/>
      <c r="M207" s="70" t="s">
        <v>2823</v>
      </c>
      <c r="N207" s="70"/>
      <c r="O207" s="70" t="s">
        <v>1800</v>
      </c>
      <c r="P207" s="70" t="s">
        <v>1793</v>
      </c>
      <c r="Q207" s="69">
        <v>7331757</v>
      </c>
      <c r="R207" s="70"/>
      <c r="S207" s="70" t="s">
        <v>1794</v>
      </c>
      <c r="T207" s="70"/>
      <c r="U207" s="70" t="s">
        <v>2824</v>
      </c>
      <c r="V207" s="70"/>
    </row>
    <row r="208" spans="1:22" ht="15.75" customHeight="1">
      <c r="A208" s="66">
        <v>35278</v>
      </c>
      <c r="B208" s="67">
        <f t="shared" ca="1" si="0"/>
        <v>29.856448437975644</v>
      </c>
      <c r="C208" s="68" t="str">
        <f t="shared" ca="1" si="1"/>
        <v>29 years, 10 months</v>
      </c>
      <c r="D208" s="69">
        <v>9449305242</v>
      </c>
      <c r="E208" s="69">
        <v>19960801</v>
      </c>
      <c r="F208" s="70"/>
      <c r="G208" s="70" t="s">
        <v>2825</v>
      </c>
      <c r="H208" s="70" t="s">
        <v>2826</v>
      </c>
      <c r="I208" s="70" t="s">
        <v>2827</v>
      </c>
      <c r="J208" s="70" t="s">
        <v>1422</v>
      </c>
      <c r="K208" s="70" t="s">
        <v>1285</v>
      </c>
      <c r="L208" s="70"/>
      <c r="M208" s="70" t="s">
        <v>2828</v>
      </c>
      <c r="N208" s="70"/>
      <c r="O208" s="70" t="s">
        <v>1800</v>
      </c>
      <c r="P208" s="70" t="s">
        <v>1793</v>
      </c>
      <c r="Q208" s="69">
        <v>7335174</v>
      </c>
      <c r="R208" s="70"/>
      <c r="S208" s="70" t="s">
        <v>1794</v>
      </c>
      <c r="T208" s="70"/>
      <c r="U208" s="70" t="s">
        <v>2829</v>
      </c>
      <c r="V208" s="70"/>
    </row>
    <row r="209" spans="1:22" ht="15.75" customHeight="1">
      <c r="A209" s="66">
        <v>35311</v>
      </c>
      <c r="B209" s="67">
        <f t="shared" ca="1" si="0"/>
        <v>29.766037479071532</v>
      </c>
      <c r="C209" s="68" t="str">
        <f t="shared" ca="1" si="1"/>
        <v>29 years, 9 months</v>
      </c>
      <c r="D209" s="69">
        <v>9449304890</v>
      </c>
      <c r="E209" s="69">
        <v>19960903</v>
      </c>
      <c r="F209" s="70"/>
      <c r="G209" s="70" t="s">
        <v>2830</v>
      </c>
      <c r="H209" s="70" t="s">
        <v>2831</v>
      </c>
      <c r="I209" s="70" t="s">
        <v>2832</v>
      </c>
      <c r="J209" s="70" t="s">
        <v>1391</v>
      </c>
      <c r="K209" s="70" t="s">
        <v>2016</v>
      </c>
      <c r="L209" s="70" t="s">
        <v>2833</v>
      </c>
      <c r="M209" s="70" t="s">
        <v>2834</v>
      </c>
      <c r="N209" s="70"/>
      <c r="O209" s="70" t="s">
        <v>1800</v>
      </c>
      <c r="P209" s="70" t="s">
        <v>1793</v>
      </c>
      <c r="Q209" s="69">
        <v>17349809</v>
      </c>
      <c r="R209" s="70"/>
      <c r="S209" s="70" t="s">
        <v>1794</v>
      </c>
      <c r="T209" s="70"/>
      <c r="U209" s="70" t="s">
        <v>2835</v>
      </c>
      <c r="V209" s="70"/>
    </row>
    <row r="210" spans="1:22" ht="15.75" customHeight="1">
      <c r="A210" s="66">
        <v>35314</v>
      </c>
      <c r="B210" s="67">
        <f t="shared" ca="1" si="0"/>
        <v>29.757818300989342</v>
      </c>
      <c r="C210" s="68" t="str">
        <f t="shared" ca="1" si="1"/>
        <v>29 years, 9 months</v>
      </c>
      <c r="D210" s="69">
        <v>9449309507</v>
      </c>
      <c r="E210" s="69">
        <v>19960906</v>
      </c>
      <c r="F210" s="70"/>
      <c r="G210" s="70" t="s">
        <v>2836</v>
      </c>
      <c r="H210" s="70"/>
      <c r="I210" s="70" t="s">
        <v>2837</v>
      </c>
      <c r="J210" s="70" t="s">
        <v>1422</v>
      </c>
      <c r="K210" s="70" t="s">
        <v>1285</v>
      </c>
      <c r="L210" s="70" t="s">
        <v>2838</v>
      </c>
      <c r="M210" s="70" t="s">
        <v>2839</v>
      </c>
      <c r="N210" s="70" t="s">
        <v>2840</v>
      </c>
      <c r="O210" s="70" t="s">
        <v>2344</v>
      </c>
      <c r="P210" s="70" t="s">
        <v>1793</v>
      </c>
      <c r="Q210" s="69">
        <v>18359546</v>
      </c>
      <c r="R210" s="70"/>
      <c r="S210" s="70" t="s">
        <v>1794</v>
      </c>
      <c r="T210" s="70"/>
      <c r="U210" s="70" t="s">
        <v>2841</v>
      </c>
      <c r="V210" s="70"/>
    </row>
    <row r="211" spans="1:22" ht="15.75" customHeight="1">
      <c r="A211" s="66">
        <v>35324</v>
      </c>
      <c r="B211" s="67">
        <f t="shared" ca="1" si="0"/>
        <v>29.730421040715367</v>
      </c>
      <c r="C211" s="68" t="str">
        <f t="shared" ca="1" si="1"/>
        <v>29 years, 8 months</v>
      </c>
      <c r="D211" s="69">
        <v>9449308128</v>
      </c>
      <c r="E211" s="69">
        <v>19960916</v>
      </c>
      <c r="F211" s="70"/>
      <c r="G211" s="70" t="s">
        <v>2842</v>
      </c>
      <c r="H211" s="70"/>
      <c r="I211" s="70" t="s">
        <v>2843</v>
      </c>
      <c r="J211" s="70" t="s">
        <v>1391</v>
      </c>
      <c r="K211" s="70" t="s">
        <v>2016</v>
      </c>
      <c r="L211" s="70"/>
      <c r="M211" s="70" t="s">
        <v>2844</v>
      </c>
      <c r="N211" s="70"/>
      <c r="O211" s="70" t="s">
        <v>2132</v>
      </c>
      <c r="P211" s="70" t="s">
        <v>1793</v>
      </c>
      <c r="Q211" s="69">
        <v>7396821</v>
      </c>
      <c r="R211" s="70"/>
      <c r="S211" s="70" t="s">
        <v>1794</v>
      </c>
      <c r="T211" s="70"/>
      <c r="U211" s="70" t="s">
        <v>2845</v>
      </c>
      <c r="V211" s="70"/>
    </row>
    <row r="212" spans="1:22" ht="15.75" customHeight="1">
      <c r="A212" s="66">
        <v>35345</v>
      </c>
      <c r="B212" s="67">
        <f t="shared" ca="1" si="0"/>
        <v>29.672886794140027</v>
      </c>
      <c r="C212" s="68" t="str">
        <f t="shared" ca="1" si="1"/>
        <v>29 years, 8 months</v>
      </c>
      <c r="D212" s="69">
        <v>9449306923</v>
      </c>
      <c r="E212" s="69">
        <v>19961007</v>
      </c>
      <c r="F212" s="70"/>
      <c r="G212" s="70" t="s">
        <v>2846</v>
      </c>
      <c r="H212" s="70" t="s">
        <v>2847</v>
      </c>
      <c r="I212" s="70" t="s">
        <v>2848</v>
      </c>
      <c r="J212" s="70" t="s">
        <v>1391</v>
      </c>
      <c r="K212" s="70" t="s">
        <v>1263</v>
      </c>
      <c r="L212" s="70" t="s">
        <v>2849</v>
      </c>
      <c r="M212" s="70" t="s">
        <v>2850</v>
      </c>
      <c r="N212" s="70" t="s">
        <v>1806</v>
      </c>
      <c r="O212" s="70" t="s">
        <v>1807</v>
      </c>
      <c r="P212" s="70" t="s">
        <v>1793</v>
      </c>
      <c r="Q212" s="69">
        <v>17360723</v>
      </c>
      <c r="R212" s="70"/>
      <c r="S212" s="70" t="s">
        <v>1794</v>
      </c>
      <c r="T212" s="70"/>
      <c r="U212" s="70" t="s">
        <v>2851</v>
      </c>
      <c r="V212" s="70"/>
    </row>
    <row r="213" spans="1:22" ht="15.75" customHeight="1">
      <c r="A213" s="66">
        <v>35353</v>
      </c>
      <c r="B213" s="67">
        <f t="shared" ca="1" si="0"/>
        <v>29.650968985920848</v>
      </c>
      <c r="C213" s="68" t="str">
        <f t="shared" ca="1" si="1"/>
        <v>29 years, 7 months</v>
      </c>
      <c r="D213" s="69">
        <v>9449306036</v>
      </c>
      <c r="E213" s="69">
        <v>19961015</v>
      </c>
      <c r="F213" s="70"/>
      <c r="G213" s="70" t="s">
        <v>2852</v>
      </c>
      <c r="H213" s="70" t="s">
        <v>2853</v>
      </c>
      <c r="I213" s="70" t="s">
        <v>2854</v>
      </c>
      <c r="J213" s="70" t="s">
        <v>1314</v>
      </c>
      <c r="K213" s="70" t="s">
        <v>1263</v>
      </c>
      <c r="L213" s="70"/>
      <c r="M213" s="70" t="s">
        <v>2855</v>
      </c>
      <c r="N213" s="70"/>
      <c r="O213" s="70" t="s">
        <v>1800</v>
      </c>
      <c r="P213" s="70" t="s">
        <v>1793</v>
      </c>
      <c r="Q213" s="69">
        <v>7345107</v>
      </c>
      <c r="R213" s="70"/>
      <c r="S213" s="70" t="s">
        <v>1794</v>
      </c>
      <c r="T213" s="70"/>
      <c r="U213" s="70" t="s">
        <v>2856</v>
      </c>
      <c r="V213" s="70"/>
    </row>
    <row r="214" spans="1:22" ht="15.75" customHeight="1">
      <c r="A214" s="66">
        <v>35372</v>
      </c>
      <c r="B214" s="67">
        <f t="shared" ca="1" si="0"/>
        <v>29.598914191400301</v>
      </c>
      <c r="C214" s="68" t="str">
        <f t="shared" ca="1" si="1"/>
        <v>29 years, 7 months</v>
      </c>
      <c r="D214" s="69">
        <v>9449305528</v>
      </c>
      <c r="E214" s="69">
        <v>19961103</v>
      </c>
      <c r="F214" s="70"/>
      <c r="G214" s="70" t="s">
        <v>2857</v>
      </c>
      <c r="H214" s="70" t="s">
        <v>2858</v>
      </c>
      <c r="I214" s="70" t="s">
        <v>2859</v>
      </c>
      <c r="J214" s="70" t="s">
        <v>1391</v>
      </c>
      <c r="K214" s="70" t="s">
        <v>1263</v>
      </c>
      <c r="L214" s="70"/>
      <c r="M214" s="70" t="s">
        <v>2860</v>
      </c>
      <c r="N214" s="70"/>
      <c r="O214" s="70" t="s">
        <v>1800</v>
      </c>
      <c r="P214" s="70" t="s">
        <v>1793</v>
      </c>
      <c r="Q214" s="69">
        <v>17352465</v>
      </c>
      <c r="R214" s="70"/>
      <c r="S214" s="70" t="s">
        <v>1794</v>
      </c>
      <c r="T214" s="70"/>
      <c r="U214" s="70" t="s">
        <v>2861</v>
      </c>
      <c r="V214" s="70"/>
    </row>
    <row r="215" spans="1:22" ht="15.75" customHeight="1">
      <c r="A215" s="66">
        <v>35404</v>
      </c>
      <c r="B215" s="67">
        <f t="shared" ca="1" si="0"/>
        <v>29.511242958523589</v>
      </c>
      <c r="C215" s="68" t="str">
        <f t="shared" ca="1" si="1"/>
        <v>29 years, 6 months</v>
      </c>
      <c r="D215" s="69">
        <v>9449308802</v>
      </c>
      <c r="E215" s="69">
        <v>19961205</v>
      </c>
      <c r="F215" s="70"/>
      <c r="G215" s="70" t="s">
        <v>2862</v>
      </c>
      <c r="H215" s="70"/>
      <c r="I215" s="70" t="s">
        <v>2863</v>
      </c>
      <c r="J215" s="70" t="s">
        <v>1422</v>
      </c>
      <c r="K215" s="70" t="s">
        <v>1285</v>
      </c>
      <c r="L215" s="70" t="s">
        <v>2864</v>
      </c>
      <c r="M215" s="70" t="s">
        <v>2865</v>
      </c>
      <c r="N215" s="70"/>
      <c r="O215" s="70" t="s">
        <v>1862</v>
      </c>
      <c r="P215" s="70"/>
      <c r="Q215" s="69">
        <v>32050743</v>
      </c>
      <c r="R215" s="70"/>
      <c r="S215" s="70" t="s">
        <v>1794</v>
      </c>
      <c r="T215" s="70"/>
      <c r="U215" s="70" t="s">
        <v>2866</v>
      </c>
      <c r="V215" s="70"/>
    </row>
    <row r="216" spans="1:22" ht="15.75" customHeight="1">
      <c r="A216" s="66">
        <v>35411</v>
      </c>
      <c r="B216" s="67">
        <f t="shared" ca="1" si="0"/>
        <v>29.492064876331806</v>
      </c>
      <c r="C216" s="68" t="str">
        <f t="shared" ca="1" si="1"/>
        <v>29 years, 5 months</v>
      </c>
      <c r="D216" s="69">
        <v>9449308713</v>
      </c>
      <c r="E216" s="69">
        <v>19961212</v>
      </c>
      <c r="F216" s="70"/>
      <c r="G216" s="70" t="s">
        <v>2867</v>
      </c>
      <c r="H216" s="70" t="s">
        <v>2868</v>
      </c>
      <c r="I216" s="70" t="s">
        <v>2869</v>
      </c>
      <c r="J216" s="70" t="s">
        <v>1422</v>
      </c>
      <c r="K216" s="70" t="s">
        <v>1285</v>
      </c>
      <c r="L216" s="70" t="s">
        <v>2870</v>
      </c>
      <c r="M216" s="70" t="s">
        <v>2871</v>
      </c>
      <c r="N216" s="70" t="s">
        <v>2677</v>
      </c>
      <c r="O216" s="70" t="s">
        <v>2678</v>
      </c>
      <c r="P216" s="70" t="s">
        <v>1793</v>
      </c>
      <c r="Q216" s="69">
        <v>18356510</v>
      </c>
      <c r="R216" s="70"/>
      <c r="S216" s="70" t="s">
        <v>1794</v>
      </c>
      <c r="T216" s="70"/>
      <c r="U216" s="70" t="s">
        <v>2872</v>
      </c>
      <c r="V216" s="70"/>
    </row>
    <row r="217" spans="1:22" ht="15.75" customHeight="1">
      <c r="A217" s="66">
        <v>35414</v>
      </c>
      <c r="B217" s="67">
        <f t="shared" ca="1" si="0"/>
        <v>29.483845698249613</v>
      </c>
      <c r="C217" s="68" t="str">
        <f t="shared" ca="1" si="1"/>
        <v>29 years, 5 months</v>
      </c>
      <c r="D217" s="69">
        <v>9449304556</v>
      </c>
      <c r="E217" s="69">
        <v>19961215</v>
      </c>
      <c r="F217" s="70"/>
      <c r="G217" s="70" t="s">
        <v>2873</v>
      </c>
      <c r="H217" s="70" t="s">
        <v>2874</v>
      </c>
      <c r="I217" s="70" t="s">
        <v>2875</v>
      </c>
      <c r="J217" s="70" t="s">
        <v>1422</v>
      </c>
      <c r="K217" s="70" t="s">
        <v>1285</v>
      </c>
      <c r="L217" s="70" t="s">
        <v>2876</v>
      </c>
      <c r="M217" s="70" t="s">
        <v>2049</v>
      </c>
      <c r="N217" s="70" t="s">
        <v>1874</v>
      </c>
      <c r="O217" s="70" t="s">
        <v>1800</v>
      </c>
      <c r="P217" s="70" t="s">
        <v>1793</v>
      </c>
      <c r="Q217" s="69">
        <v>20169034</v>
      </c>
      <c r="R217" s="70"/>
      <c r="S217" s="70" t="s">
        <v>1794</v>
      </c>
      <c r="T217" s="70"/>
      <c r="U217" s="70" t="s">
        <v>2877</v>
      </c>
      <c r="V217" s="70"/>
    </row>
    <row r="218" spans="1:22" ht="15.75" customHeight="1">
      <c r="A218" s="66">
        <v>35418</v>
      </c>
      <c r="B218" s="67">
        <f t="shared" ca="1" si="0"/>
        <v>29.472886794140027</v>
      </c>
      <c r="C218" s="68" t="str">
        <f t="shared" ca="1" si="1"/>
        <v>29 years, 5 months</v>
      </c>
      <c r="D218" s="69">
        <v>9449305080</v>
      </c>
      <c r="E218" s="69">
        <v>19961219</v>
      </c>
      <c r="F218" s="70"/>
      <c r="G218" s="70" t="s">
        <v>2878</v>
      </c>
      <c r="H218" s="70"/>
      <c r="I218" s="70" t="s">
        <v>2879</v>
      </c>
      <c r="J218" s="70" t="s">
        <v>1391</v>
      </c>
      <c r="K218" s="70" t="s">
        <v>1263</v>
      </c>
      <c r="L218" s="70"/>
      <c r="M218" s="70" t="s">
        <v>2880</v>
      </c>
      <c r="N218" s="70"/>
      <c r="O218" s="70" t="s">
        <v>1800</v>
      </c>
      <c r="P218" s="70" t="s">
        <v>1793</v>
      </c>
      <c r="Q218" s="69">
        <v>20169159</v>
      </c>
      <c r="R218" s="70"/>
      <c r="S218" s="70" t="s">
        <v>1794</v>
      </c>
      <c r="T218" s="70"/>
      <c r="U218" s="70" t="s">
        <v>2881</v>
      </c>
      <c r="V218" s="70"/>
    </row>
    <row r="219" spans="1:22" ht="15.75" customHeight="1">
      <c r="A219" s="66">
        <v>35449</v>
      </c>
      <c r="B219" s="67">
        <f t="shared" ca="1" si="0"/>
        <v>29.387955287290712</v>
      </c>
      <c r="C219" s="68" t="str">
        <f t="shared" ca="1" si="1"/>
        <v>29 years, 4 months</v>
      </c>
      <c r="D219" s="69">
        <v>9449306311</v>
      </c>
      <c r="E219" s="69">
        <v>19970119</v>
      </c>
      <c r="F219" s="70"/>
      <c r="G219" s="70" t="s">
        <v>2882</v>
      </c>
      <c r="H219" s="70"/>
      <c r="I219" s="70" t="s">
        <v>2883</v>
      </c>
      <c r="J219" s="70" t="s">
        <v>1422</v>
      </c>
      <c r="K219" s="70" t="s">
        <v>2016</v>
      </c>
      <c r="L219" s="70"/>
      <c r="M219" s="70" t="s">
        <v>2884</v>
      </c>
      <c r="N219" s="70"/>
      <c r="O219" s="70" t="s">
        <v>1906</v>
      </c>
      <c r="P219" s="70" t="s">
        <v>1793</v>
      </c>
      <c r="Q219" s="69">
        <v>7354989</v>
      </c>
      <c r="R219" s="70"/>
      <c r="S219" s="70" t="s">
        <v>1794</v>
      </c>
      <c r="T219" s="70"/>
      <c r="U219" s="70" t="s">
        <v>2885</v>
      </c>
      <c r="V219" s="70"/>
    </row>
    <row r="220" spans="1:22" ht="15.75" customHeight="1">
      <c r="A220" s="66">
        <v>35473</v>
      </c>
      <c r="B220" s="67">
        <f t="shared" ca="1" si="0"/>
        <v>29.322201862633175</v>
      </c>
      <c r="C220" s="68" t="str">
        <f t="shared" ca="1" si="1"/>
        <v>29 years, 3 months</v>
      </c>
      <c r="D220" s="69">
        <v>9449309558</v>
      </c>
      <c r="E220" s="69">
        <v>19970212</v>
      </c>
      <c r="F220" s="70"/>
      <c r="G220" s="70" t="s">
        <v>2886</v>
      </c>
      <c r="H220" s="70" t="s">
        <v>2887</v>
      </c>
      <c r="I220" s="70" t="s">
        <v>2888</v>
      </c>
      <c r="J220" s="70" t="s">
        <v>1314</v>
      </c>
      <c r="K220" s="70" t="s">
        <v>1932</v>
      </c>
      <c r="L220" s="70" t="s">
        <v>2889</v>
      </c>
      <c r="M220" s="70" t="s">
        <v>2890</v>
      </c>
      <c r="N220" s="70" t="s">
        <v>2343</v>
      </c>
      <c r="O220" s="70" t="s">
        <v>2344</v>
      </c>
      <c r="P220" s="70"/>
      <c r="Q220" s="69">
        <v>18359740</v>
      </c>
      <c r="R220" s="70"/>
      <c r="S220" s="70" t="s">
        <v>1794</v>
      </c>
      <c r="T220" s="70"/>
      <c r="U220" s="70" t="s">
        <v>2891</v>
      </c>
      <c r="V220" s="70"/>
    </row>
    <row r="221" spans="1:22" ht="15.75" customHeight="1">
      <c r="A221" s="66">
        <v>35496</v>
      </c>
      <c r="B221" s="67">
        <f t="shared" ca="1" si="0"/>
        <v>29.259188164003039</v>
      </c>
      <c r="C221" s="68" t="str">
        <f t="shared" ca="1" si="1"/>
        <v>29 years, 3 months</v>
      </c>
      <c r="D221" s="69">
        <v>9449303592</v>
      </c>
      <c r="E221" s="69">
        <v>19970307</v>
      </c>
      <c r="F221" s="70"/>
      <c r="G221" s="70" t="s">
        <v>2892</v>
      </c>
      <c r="H221" s="70" t="s">
        <v>2760</v>
      </c>
      <c r="I221" s="70" t="s">
        <v>2893</v>
      </c>
      <c r="J221" s="70" t="s">
        <v>1391</v>
      </c>
      <c r="K221" s="70" t="s">
        <v>1263</v>
      </c>
      <c r="L221" s="70"/>
      <c r="M221" s="70" t="s">
        <v>2894</v>
      </c>
      <c r="N221" s="70" t="s">
        <v>1818</v>
      </c>
      <c r="O221" s="70" t="s">
        <v>1819</v>
      </c>
      <c r="P221" s="70" t="s">
        <v>1793</v>
      </c>
      <c r="Q221" s="69">
        <v>7293237</v>
      </c>
      <c r="R221" s="70"/>
      <c r="S221" s="70" t="s">
        <v>1794</v>
      </c>
      <c r="T221" s="70"/>
      <c r="U221" s="70" t="s">
        <v>2895</v>
      </c>
      <c r="V221" s="70"/>
    </row>
    <row r="222" spans="1:22" ht="15.75" customHeight="1">
      <c r="A222" s="66">
        <v>35511</v>
      </c>
      <c r="B222" s="67">
        <f t="shared" ca="1" si="0"/>
        <v>29.218092273592081</v>
      </c>
      <c r="C222" s="68" t="str">
        <f t="shared" ca="1" si="1"/>
        <v>29 years, 2 months</v>
      </c>
      <c r="D222" s="69">
        <v>9449306338</v>
      </c>
      <c r="E222" s="69">
        <v>19970322</v>
      </c>
      <c r="F222" s="70"/>
      <c r="G222" s="70" t="s">
        <v>2896</v>
      </c>
      <c r="H222" s="70" t="s">
        <v>2897</v>
      </c>
      <c r="I222" s="70" t="s">
        <v>2898</v>
      </c>
      <c r="J222" s="70" t="s">
        <v>1422</v>
      </c>
      <c r="K222" s="70" t="s">
        <v>1285</v>
      </c>
      <c r="L222" s="70"/>
      <c r="M222" s="70" t="s">
        <v>2899</v>
      </c>
      <c r="N222" s="70"/>
      <c r="O222" s="70" t="s">
        <v>1906</v>
      </c>
      <c r="P222" s="70" t="s">
        <v>1793</v>
      </c>
      <c r="Q222" s="69">
        <v>17358068</v>
      </c>
      <c r="R222" s="70"/>
      <c r="S222" s="70" t="s">
        <v>1794</v>
      </c>
      <c r="T222" s="70"/>
      <c r="U222" s="70" t="s">
        <v>2900</v>
      </c>
      <c r="V222" s="70"/>
    </row>
    <row r="223" spans="1:22" ht="15.75" customHeight="1">
      <c r="A223" s="66">
        <v>35585</v>
      </c>
      <c r="B223" s="67">
        <f t="shared" ca="1" si="0"/>
        <v>29.015352547564682</v>
      </c>
      <c r="C223" s="68" t="str">
        <f t="shared" ca="1" si="1"/>
        <v>29 years, 0 months</v>
      </c>
      <c r="D223" s="69">
        <v>9449305137</v>
      </c>
      <c r="E223" s="69">
        <v>19970604</v>
      </c>
      <c r="F223" s="70"/>
      <c r="G223" s="70" t="s">
        <v>2901</v>
      </c>
      <c r="H223" s="70"/>
      <c r="I223" s="70" t="s">
        <v>2902</v>
      </c>
      <c r="J223" s="70" t="s">
        <v>1422</v>
      </c>
      <c r="K223" s="70" t="s">
        <v>1932</v>
      </c>
      <c r="L223" s="70"/>
      <c r="M223" s="70" t="s">
        <v>2903</v>
      </c>
      <c r="N223" s="70"/>
      <c r="O223" s="70" t="s">
        <v>1800</v>
      </c>
      <c r="P223" s="70" t="s">
        <v>1793</v>
      </c>
      <c r="Q223" s="69">
        <v>7334425</v>
      </c>
      <c r="R223" s="70"/>
      <c r="S223" s="70" t="s">
        <v>1794</v>
      </c>
      <c r="T223" s="70"/>
      <c r="U223" s="70" t="s">
        <v>2904</v>
      </c>
      <c r="V223" s="70"/>
    </row>
    <row r="224" spans="1:22" ht="15.75" customHeight="1">
      <c r="A224" s="66">
        <v>35587</v>
      </c>
      <c r="B224" s="67">
        <f t="shared" ca="1" si="0"/>
        <v>29.009873095509889</v>
      </c>
      <c r="C224" s="68" t="str">
        <f t="shared" ca="1" si="1"/>
        <v>29 years, 0 months</v>
      </c>
      <c r="D224" s="69">
        <v>9449305927</v>
      </c>
      <c r="E224" s="69">
        <v>19970606</v>
      </c>
      <c r="F224" s="70"/>
      <c r="G224" s="70" t="s">
        <v>2770</v>
      </c>
      <c r="H224" s="70"/>
      <c r="I224" s="70" t="s">
        <v>2905</v>
      </c>
      <c r="J224" s="70" t="s">
        <v>1422</v>
      </c>
      <c r="K224" s="70" t="s">
        <v>2016</v>
      </c>
      <c r="L224" s="70"/>
      <c r="M224" s="70" t="s">
        <v>2906</v>
      </c>
      <c r="N224" s="70"/>
      <c r="O224" s="70" t="s">
        <v>1800</v>
      </c>
      <c r="P224" s="70" t="s">
        <v>1793</v>
      </c>
      <c r="Q224" s="69">
        <v>7343809</v>
      </c>
      <c r="R224" s="70"/>
      <c r="S224" s="70" t="s">
        <v>1794</v>
      </c>
      <c r="T224" s="70"/>
      <c r="U224" s="70" t="s">
        <v>2907</v>
      </c>
      <c r="V224" s="70"/>
    </row>
    <row r="225" spans="1:22" ht="15.75" customHeight="1">
      <c r="A225" s="66">
        <v>35587</v>
      </c>
      <c r="B225" s="67">
        <f t="shared" ca="1" si="0"/>
        <v>29.009873095509889</v>
      </c>
      <c r="C225" s="68" t="str">
        <f t="shared" ca="1" si="1"/>
        <v>29 years, 0 months</v>
      </c>
      <c r="D225" s="69">
        <v>9449308659</v>
      </c>
      <c r="E225" s="69">
        <v>19970606</v>
      </c>
      <c r="F225" s="70"/>
      <c r="G225" s="70" t="s">
        <v>2908</v>
      </c>
      <c r="H225" s="70" t="s">
        <v>2019</v>
      </c>
      <c r="I225" s="70" t="s">
        <v>2909</v>
      </c>
      <c r="J225" s="70" t="s">
        <v>1422</v>
      </c>
      <c r="K225" s="70" t="s">
        <v>1285</v>
      </c>
      <c r="L225" s="70" t="s">
        <v>2910</v>
      </c>
      <c r="M225" s="70" t="s">
        <v>2911</v>
      </c>
      <c r="N225" s="70"/>
      <c r="O225" s="70" t="s">
        <v>2678</v>
      </c>
      <c r="P225" s="70" t="s">
        <v>1793</v>
      </c>
      <c r="Q225" s="69">
        <v>18356433</v>
      </c>
      <c r="R225" s="70"/>
      <c r="S225" s="70" t="s">
        <v>1794</v>
      </c>
      <c r="T225" s="70"/>
      <c r="U225" s="70" t="s">
        <v>2912</v>
      </c>
      <c r="V225" s="70"/>
    </row>
    <row r="226" spans="1:22" ht="15.75" customHeight="1">
      <c r="A226" s="66">
        <v>35593</v>
      </c>
      <c r="B226" s="67">
        <f t="shared" ca="1" si="0"/>
        <v>28.993434739345506</v>
      </c>
      <c r="C226" s="68" t="str">
        <f t="shared" ca="1" si="1"/>
        <v>28 years, 11 months</v>
      </c>
      <c r="D226" s="69">
        <v>9449305064</v>
      </c>
      <c r="E226" s="69">
        <v>19970612</v>
      </c>
      <c r="F226" s="70"/>
      <c r="G226" s="70" t="s">
        <v>2913</v>
      </c>
      <c r="H226" s="70" t="s">
        <v>2914</v>
      </c>
      <c r="I226" s="70" t="s">
        <v>2915</v>
      </c>
      <c r="J226" s="70" t="s">
        <v>1391</v>
      </c>
      <c r="K226" s="70" t="s">
        <v>1263</v>
      </c>
      <c r="L226" s="70"/>
      <c r="M226" s="70" t="s">
        <v>2916</v>
      </c>
      <c r="N226" s="70"/>
      <c r="O226" s="70" t="s">
        <v>1800</v>
      </c>
      <c r="P226" s="70" t="s">
        <v>1793</v>
      </c>
      <c r="Q226" s="69">
        <v>20982863</v>
      </c>
      <c r="R226" s="70"/>
      <c r="S226" s="70" t="s">
        <v>1794</v>
      </c>
      <c r="T226" s="70"/>
      <c r="U226" s="70" t="s">
        <v>2917</v>
      </c>
      <c r="V226" s="70"/>
    </row>
    <row r="227" spans="1:22" ht="15.75" customHeight="1">
      <c r="A227" s="66">
        <v>35604</v>
      </c>
      <c r="B227" s="67">
        <f t="shared" ca="1" si="0"/>
        <v>28.963297753044134</v>
      </c>
      <c r="C227" s="68" t="str">
        <f t="shared" ca="1" si="1"/>
        <v>28 years, 11 months</v>
      </c>
      <c r="D227" s="69">
        <v>9449304092</v>
      </c>
      <c r="E227" s="69">
        <v>19970623</v>
      </c>
      <c r="F227" s="70"/>
      <c r="G227" s="70" t="s">
        <v>2918</v>
      </c>
      <c r="H227" s="70" t="s">
        <v>2919</v>
      </c>
      <c r="I227" s="70" t="s">
        <v>2920</v>
      </c>
      <c r="J227" s="70" t="s">
        <v>1314</v>
      </c>
      <c r="K227" s="70" t="s">
        <v>1263</v>
      </c>
      <c r="L227" s="70"/>
      <c r="M227" s="70" t="s">
        <v>2921</v>
      </c>
      <c r="N227" s="70"/>
      <c r="O227" s="70" t="s">
        <v>1792</v>
      </c>
      <c r="P227" s="70"/>
      <c r="Q227" s="69">
        <v>17337927</v>
      </c>
      <c r="R227" s="70"/>
      <c r="S227" s="70" t="s">
        <v>1794</v>
      </c>
      <c r="T227" s="70"/>
      <c r="U227" s="70" t="s">
        <v>2922</v>
      </c>
      <c r="V227" s="70"/>
    </row>
    <row r="228" spans="1:22" ht="15.75" customHeight="1">
      <c r="A228" s="66">
        <v>35608</v>
      </c>
      <c r="B228" s="67">
        <f t="shared" ca="1" si="0"/>
        <v>28.952338848934545</v>
      </c>
      <c r="C228" s="68" t="str">
        <f t="shared" ca="1" si="1"/>
        <v>28 years, 11 months</v>
      </c>
      <c r="D228" s="69">
        <v>9449309477</v>
      </c>
      <c r="E228" s="69">
        <v>19970627</v>
      </c>
      <c r="F228" s="70"/>
      <c r="G228" s="70" t="s">
        <v>2923</v>
      </c>
      <c r="H228" s="70" t="s">
        <v>2924</v>
      </c>
      <c r="I228" s="70" t="s">
        <v>2925</v>
      </c>
      <c r="J228" s="70" t="s">
        <v>1314</v>
      </c>
      <c r="K228" s="70" t="s">
        <v>1263</v>
      </c>
      <c r="L228" s="70" t="s">
        <v>2926</v>
      </c>
      <c r="M228" s="70"/>
      <c r="N228" s="70" t="s">
        <v>2927</v>
      </c>
      <c r="O228" s="70" t="s">
        <v>1862</v>
      </c>
      <c r="P228" s="70" t="s">
        <v>1793</v>
      </c>
      <c r="Q228" s="69">
        <v>22557947</v>
      </c>
      <c r="R228" s="70"/>
      <c r="S228" s="70" t="s">
        <v>1794</v>
      </c>
      <c r="T228" s="70"/>
      <c r="U228" s="70" t="s">
        <v>2928</v>
      </c>
      <c r="V228" s="70"/>
    </row>
    <row r="229" spans="1:22" ht="15.75" customHeight="1">
      <c r="A229" s="66">
        <v>35617</v>
      </c>
      <c r="B229" s="67">
        <f t="shared" ca="1" si="0"/>
        <v>28.92768131468797</v>
      </c>
      <c r="C229" s="68" t="str">
        <f t="shared" ca="1" si="1"/>
        <v>28 years, 11 months</v>
      </c>
      <c r="D229" s="69">
        <v>9449303770</v>
      </c>
      <c r="E229" s="69">
        <v>19970706</v>
      </c>
      <c r="F229" s="70"/>
      <c r="G229" s="70" t="s">
        <v>2929</v>
      </c>
      <c r="H229" s="70" t="s">
        <v>2930</v>
      </c>
      <c r="I229" s="70" t="s">
        <v>2931</v>
      </c>
      <c r="J229" s="70" t="s">
        <v>1391</v>
      </c>
      <c r="K229" s="70" t="s">
        <v>1263</v>
      </c>
      <c r="L229" s="70"/>
      <c r="M229" s="70" t="s">
        <v>2932</v>
      </c>
      <c r="N229" s="70"/>
      <c r="O229" s="70" t="s">
        <v>1819</v>
      </c>
      <c r="P229" s="70" t="s">
        <v>1793</v>
      </c>
      <c r="Q229" s="69">
        <v>7294713</v>
      </c>
      <c r="R229" s="70"/>
      <c r="S229" s="70" t="s">
        <v>1794</v>
      </c>
      <c r="T229" s="70"/>
      <c r="U229" s="70" t="s">
        <v>2933</v>
      </c>
      <c r="V229" s="70"/>
    </row>
    <row r="230" spans="1:22" ht="15.75" customHeight="1">
      <c r="A230" s="66">
        <v>35643</v>
      </c>
      <c r="B230" s="67">
        <f t="shared" ca="1" si="0"/>
        <v>28.856448437975644</v>
      </c>
      <c r="C230" s="68" t="str">
        <f t="shared" ca="1" si="1"/>
        <v>28 years, 10 months</v>
      </c>
      <c r="D230" s="69">
        <v>9449308950</v>
      </c>
      <c r="E230" s="69">
        <v>19970801</v>
      </c>
      <c r="F230" s="70"/>
      <c r="G230" s="70" t="s">
        <v>2934</v>
      </c>
      <c r="H230" s="70" t="s">
        <v>2935</v>
      </c>
      <c r="I230" s="70" t="s">
        <v>2936</v>
      </c>
      <c r="J230" s="70" t="s">
        <v>1391</v>
      </c>
      <c r="K230" s="70" t="s">
        <v>1263</v>
      </c>
      <c r="L230" s="70" t="s">
        <v>2937</v>
      </c>
      <c r="M230" s="70" t="s">
        <v>2938</v>
      </c>
      <c r="N230" s="70"/>
      <c r="O230" s="70" t="s">
        <v>1862</v>
      </c>
      <c r="P230" s="70"/>
      <c r="Q230" s="69">
        <v>21450525</v>
      </c>
      <c r="R230" s="70"/>
      <c r="S230" s="70" t="s">
        <v>1794</v>
      </c>
      <c r="T230" s="70"/>
      <c r="U230" s="70" t="s">
        <v>2939</v>
      </c>
      <c r="V230" s="70"/>
    </row>
    <row r="231" spans="1:22" ht="15.75" customHeight="1">
      <c r="A231" s="66">
        <v>35687</v>
      </c>
      <c r="B231" s="67">
        <f t="shared" ca="1" si="0"/>
        <v>28.735900492770163</v>
      </c>
      <c r="C231" s="68" t="str">
        <f t="shared" ca="1" si="1"/>
        <v>28 years, 8 months</v>
      </c>
      <c r="D231" s="69">
        <v>9449308675</v>
      </c>
      <c r="E231" s="69">
        <v>19970914</v>
      </c>
      <c r="F231" s="70"/>
      <c r="G231" s="70" t="s">
        <v>2807</v>
      </c>
      <c r="H231" s="70" t="s">
        <v>2940</v>
      </c>
      <c r="I231" s="70" t="s">
        <v>2941</v>
      </c>
      <c r="J231" s="70" t="s">
        <v>1422</v>
      </c>
      <c r="K231" s="70" t="s">
        <v>1285</v>
      </c>
      <c r="L231" s="70"/>
      <c r="M231" s="70" t="s">
        <v>2942</v>
      </c>
      <c r="N231" s="70" t="s">
        <v>2943</v>
      </c>
      <c r="O231" s="70" t="s">
        <v>2678</v>
      </c>
      <c r="P231" s="70" t="s">
        <v>1793</v>
      </c>
      <c r="Q231" s="69">
        <v>21351283</v>
      </c>
      <c r="R231" s="70"/>
      <c r="S231" s="70" t="s">
        <v>1794</v>
      </c>
      <c r="T231" s="70"/>
      <c r="U231" s="70" t="s">
        <v>2944</v>
      </c>
      <c r="V231" s="70"/>
    </row>
    <row r="232" spans="1:22" ht="15.75" customHeight="1">
      <c r="A232" s="66">
        <v>35739</v>
      </c>
      <c r="B232" s="67">
        <f t="shared" ca="1" si="0"/>
        <v>28.593434739345504</v>
      </c>
      <c r="C232" s="68" t="str">
        <f t="shared" ca="1" si="1"/>
        <v>28 years, 7 months</v>
      </c>
      <c r="D232" s="69">
        <v>9449306893</v>
      </c>
      <c r="E232" s="69">
        <v>19971105</v>
      </c>
      <c r="F232" s="70"/>
      <c r="G232" s="70" t="s">
        <v>2727</v>
      </c>
      <c r="H232" s="70" t="s">
        <v>2945</v>
      </c>
      <c r="I232" s="70" t="s">
        <v>2946</v>
      </c>
      <c r="J232" s="70" t="s">
        <v>1422</v>
      </c>
      <c r="K232" s="70" t="s">
        <v>1285</v>
      </c>
      <c r="L232" s="70" t="s">
        <v>2947</v>
      </c>
      <c r="M232" s="70" t="s">
        <v>2948</v>
      </c>
      <c r="N232" s="70" t="s">
        <v>1806</v>
      </c>
      <c r="O232" s="70" t="s">
        <v>1807</v>
      </c>
      <c r="P232" s="70" t="s">
        <v>1793</v>
      </c>
      <c r="Q232" s="69">
        <v>17360579</v>
      </c>
      <c r="R232" s="70"/>
      <c r="S232" s="70" t="s">
        <v>1794</v>
      </c>
      <c r="T232" s="70"/>
      <c r="U232" s="70" t="s">
        <v>2949</v>
      </c>
      <c r="V232" s="70"/>
    </row>
    <row r="233" spans="1:22" ht="15.75" customHeight="1">
      <c r="A233" s="66">
        <v>35808</v>
      </c>
      <c r="B233" s="67">
        <f t="shared" ca="1" si="0"/>
        <v>28.404393643455094</v>
      </c>
      <c r="C233" s="68" t="str">
        <f t="shared" ca="1" si="1"/>
        <v>28 years, 4 months</v>
      </c>
      <c r="D233" s="69">
        <v>9449306885</v>
      </c>
      <c r="E233" s="69">
        <v>19980113</v>
      </c>
      <c r="F233" s="70"/>
      <c r="G233" s="70" t="s">
        <v>2950</v>
      </c>
      <c r="H233" s="70" t="s">
        <v>2951</v>
      </c>
      <c r="I233" s="70" t="s">
        <v>2952</v>
      </c>
      <c r="J233" s="70" t="s">
        <v>1422</v>
      </c>
      <c r="K233" s="70" t="s">
        <v>1285</v>
      </c>
      <c r="L233" s="70" t="s">
        <v>2953</v>
      </c>
      <c r="M233" s="70" t="s">
        <v>2948</v>
      </c>
      <c r="N233" s="70" t="s">
        <v>1806</v>
      </c>
      <c r="O233" s="70" t="s">
        <v>1807</v>
      </c>
      <c r="P233" s="70" t="s">
        <v>1793</v>
      </c>
      <c r="Q233" s="69">
        <v>17360578</v>
      </c>
      <c r="R233" s="70"/>
      <c r="S233" s="70" t="s">
        <v>1794</v>
      </c>
      <c r="T233" s="70"/>
      <c r="U233" s="70" t="s">
        <v>2949</v>
      </c>
      <c r="V233" s="70"/>
    </row>
    <row r="234" spans="1:22" ht="15.75" customHeight="1">
      <c r="A234" s="66">
        <v>35834</v>
      </c>
      <c r="B234" s="67">
        <f t="shared" ca="1" si="0"/>
        <v>28.333160766742765</v>
      </c>
      <c r="C234" s="68" t="str">
        <f t="shared" ca="1" si="1"/>
        <v>28 years, 3 months</v>
      </c>
      <c r="D234" s="69">
        <v>9449309833</v>
      </c>
      <c r="E234" s="69">
        <v>19980208</v>
      </c>
      <c r="F234" s="70"/>
      <c r="G234" s="70" t="s">
        <v>2954</v>
      </c>
      <c r="H234" s="70" t="s">
        <v>2955</v>
      </c>
      <c r="I234" s="70" t="s">
        <v>2956</v>
      </c>
      <c r="J234" s="70" t="s">
        <v>1314</v>
      </c>
      <c r="K234" s="70" t="s">
        <v>1263</v>
      </c>
      <c r="L234" s="70"/>
      <c r="M234" s="70" t="s">
        <v>2957</v>
      </c>
      <c r="N234" s="70"/>
      <c r="O234" s="70" t="s">
        <v>1886</v>
      </c>
      <c r="P234" s="70" t="s">
        <v>1793</v>
      </c>
      <c r="Q234" s="69">
        <v>9721815</v>
      </c>
      <c r="R234" s="70"/>
      <c r="S234" s="70" t="s">
        <v>1794</v>
      </c>
      <c r="T234" s="70"/>
      <c r="U234" s="70" t="s">
        <v>2958</v>
      </c>
      <c r="V234" s="70"/>
    </row>
    <row r="235" spans="1:22" ht="15.75" customHeight="1">
      <c r="A235" s="66">
        <v>35858</v>
      </c>
      <c r="B235" s="67">
        <f t="shared" ca="1" si="0"/>
        <v>28.267407342085232</v>
      </c>
      <c r="C235" s="68" t="str">
        <f t="shared" ca="1" si="1"/>
        <v>28 years, 3 months</v>
      </c>
      <c r="D235" s="69">
        <v>9449306907</v>
      </c>
      <c r="E235" s="69">
        <v>19980304</v>
      </c>
      <c r="F235" s="70"/>
      <c r="G235" s="70" t="s">
        <v>2959</v>
      </c>
      <c r="H235" s="70" t="s">
        <v>2960</v>
      </c>
      <c r="I235" s="70" t="s">
        <v>2961</v>
      </c>
      <c r="J235" s="70" t="s">
        <v>1422</v>
      </c>
      <c r="K235" s="70" t="s">
        <v>1285</v>
      </c>
      <c r="L235" s="70"/>
      <c r="M235" s="70" t="s">
        <v>2962</v>
      </c>
      <c r="N235" s="70" t="s">
        <v>1806</v>
      </c>
      <c r="O235" s="70" t="s">
        <v>1807</v>
      </c>
      <c r="P235" s="70" t="s">
        <v>1793</v>
      </c>
      <c r="Q235" s="69">
        <v>24168876</v>
      </c>
      <c r="R235" s="70"/>
      <c r="S235" s="70" t="s">
        <v>1794</v>
      </c>
      <c r="T235" s="70"/>
      <c r="U235" s="70" t="s">
        <v>2963</v>
      </c>
      <c r="V235" s="70"/>
    </row>
    <row r="236" spans="1:22" ht="15.75" customHeight="1">
      <c r="A236" s="66">
        <v>35859</v>
      </c>
      <c r="B236" s="67">
        <f t="shared" ca="1" si="0"/>
        <v>28.264667616057835</v>
      </c>
      <c r="C236" s="68" t="str">
        <f t="shared" ca="1" si="1"/>
        <v>28 years, 3 months</v>
      </c>
      <c r="D236" s="69">
        <v>9449307547</v>
      </c>
      <c r="E236" s="69">
        <v>19980305</v>
      </c>
      <c r="F236" s="70"/>
      <c r="G236" s="70" t="s">
        <v>2896</v>
      </c>
      <c r="H236" s="70"/>
      <c r="I236" s="70" t="s">
        <v>2964</v>
      </c>
      <c r="J236" s="70" t="s">
        <v>1422</v>
      </c>
      <c r="K236" s="70" t="s">
        <v>2016</v>
      </c>
      <c r="L236" s="70"/>
      <c r="M236" s="70" t="s">
        <v>2965</v>
      </c>
      <c r="N236" s="70" t="s">
        <v>2055</v>
      </c>
      <c r="O236" s="70" t="s">
        <v>1807</v>
      </c>
      <c r="P236" s="70" t="s">
        <v>1793</v>
      </c>
      <c r="Q236" s="69">
        <v>7363446</v>
      </c>
      <c r="R236" s="70"/>
      <c r="S236" s="70" t="s">
        <v>1794</v>
      </c>
      <c r="T236" s="70"/>
      <c r="U236" s="70" t="s">
        <v>2966</v>
      </c>
      <c r="V236" s="70"/>
    </row>
    <row r="237" spans="1:22" ht="15.75" customHeight="1">
      <c r="A237" s="66">
        <v>35914</v>
      </c>
      <c r="B237" s="67">
        <f t="shared" ca="1" si="0"/>
        <v>28.113982684550983</v>
      </c>
      <c r="C237" s="68" t="str">
        <f t="shared" ca="1" si="1"/>
        <v>28 years, 1 months</v>
      </c>
      <c r="D237" s="69">
        <v>9449306656</v>
      </c>
      <c r="E237" s="69">
        <v>19980429</v>
      </c>
      <c r="F237" s="70"/>
      <c r="G237" s="70" t="s">
        <v>2134</v>
      </c>
      <c r="H237" s="70" t="s">
        <v>2967</v>
      </c>
      <c r="I237" s="70" t="s">
        <v>2968</v>
      </c>
      <c r="J237" s="70" t="s">
        <v>1422</v>
      </c>
      <c r="K237" s="70" t="s">
        <v>1285</v>
      </c>
      <c r="L237" s="70"/>
      <c r="M237" s="70" t="s">
        <v>2969</v>
      </c>
      <c r="N237" s="70"/>
      <c r="O237" s="70" t="s">
        <v>1834</v>
      </c>
      <c r="P237" s="70" t="s">
        <v>1793</v>
      </c>
      <c r="Q237" s="69">
        <v>7357015</v>
      </c>
      <c r="R237" s="70"/>
      <c r="S237" s="70" t="s">
        <v>1794</v>
      </c>
      <c r="T237" s="70"/>
      <c r="U237" s="70" t="s">
        <v>2970</v>
      </c>
      <c r="V237" s="70"/>
    </row>
    <row r="238" spans="1:22" ht="15.75" customHeight="1">
      <c r="A238" s="66">
        <v>35922</v>
      </c>
      <c r="B238" s="67">
        <f t="shared" ca="1" si="0"/>
        <v>28.092064876331808</v>
      </c>
      <c r="C238" s="68" t="str">
        <f t="shared" ca="1" si="1"/>
        <v>28 years, 1 months</v>
      </c>
      <c r="D238" s="69">
        <v>9449304963</v>
      </c>
      <c r="E238" s="69">
        <v>19980507</v>
      </c>
      <c r="F238" s="70"/>
      <c r="G238" s="70" t="s">
        <v>2971</v>
      </c>
      <c r="H238" s="70" t="s">
        <v>2972</v>
      </c>
      <c r="I238" s="70" t="s">
        <v>2973</v>
      </c>
      <c r="J238" s="70" t="s">
        <v>1391</v>
      </c>
      <c r="K238" s="70" t="s">
        <v>1263</v>
      </c>
      <c r="L238" s="70" t="s">
        <v>2974</v>
      </c>
      <c r="M238" s="70" t="s">
        <v>2975</v>
      </c>
      <c r="N238" s="70"/>
      <c r="O238" s="70" t="s">
        <v>1800</v>
      </c>
      <c r="P238" s="70" t="s">
        <v>1793</v>
      </c>
      <c r="Q238" s="69">
        <v>20982844</v>
      </c>
      <c r="R238" s="70"/>
      <c r="S238" s="70" t="s">
        <v>1794</v>
      </c>
      <c r="T238" s="70"/>
      <c r="U238" s="70" t="s">
        <v>2976</v>
      </c>
      <c r="V238" s="70"/>
    </row>
    <row r="239" spans="1:22" ht="15.75" customHeight="1">
      <c r="A239" s="66">
        <v>35938</v>
      </c>
      <c r="B239" s="67">
        <f t="shared" ca="1" si="0"/>
        <v>28.04822925989345</v>
      </c>
      <c r="C239" s="68" t="str">
        <f t="shared" ca="1" si="1"/>
        <v>28 years, 0 months</v>
      </c>
      <c r="D239" s="69">
        <v>9449309000</v>
      </c>
      <c r="E239" s="69">
        <v>19980523</v>
      </c>
      <c r="F239" s="70"/>
      <c r="G239" s="70" t="s">
        <v>2977</v>
      </c>
      <c r="H239" s="70" t="s">
        <v>2978</v>
      </c>
      <c r="I239" s="70" t="s">
        <v>2979</v>
      </c>
      <c r="J239" s="70" t="s">
        <v>1422</v>
      </c>
      <c r="K239" s="70" t="s">
        <v>1285</v>
      </c>
      <c r="L239" s="70"/>
      <c r="M239" s="70" t="s">
        <v>2980</v>
      </c>
      <c r="N239" s="70"/>
      <c r="O239" s="70" t="s">
        <v>1862</v>
      </c>
      <c r="P239" s="70" t="s">
        <v>1793</v>
      </c>
      <c r="Q239" s="69">
        <v>9574149</v>
      </c>
      <c r="R239" s="70"/>
      <c r="S239" s="70" t="s">
        <v>1794</v>
      </c>
      <c r="T239" s="70"/>
      <c r="U239" s="70" t="s">
        <v>2981</v>
      </c>
      <c r="V239" s="70"/>
    </row>
    <row r="240" spans="1:22" ht="15.75" customHeight="1">
      <c r="A240" s="66">
        <v>35991</v>
      </c>
      <c r="B240" s="67">
        <f t="shared" ca="1" si="0"/>
        <v>27.903023780441394</v>
      </c>
      <c r="C240" s="68" t="str">
        <f t="shared" ca="1" si="1"/>
        <v>27 years, 10 months</v>
      </c>
      <c r="D240" s="69">
        <v>9449307385</v>
      </c>
      <c r="E240" s="69">
        <v>19980715</v>
      </c>
      <c r="F240" s="70"/>
      <c r="G240" s="70" t="s">
        <v>2982</v>
      </c>
      <c r="H240" s="70" t="s">
        <v>2983</v>
      </c>
      <c r="I240" s="70" t="s">
        <v>2984</v>
      </c>
      <c r="J240" s="70" t="s">
        <v>1422</v>
      </c>
      <c r="K240" s="70" t="s">
        <v>1932</v>
      </c>
      <c r="L240" s="70" t="s">
        <v>2985</v>
      </c>
      <c r="M240" s="70" t="s">
        <v>2986</v>
      </c>
      <c r="N240" s="70"/>
      <c r="O240" s="70" t="s">
        <v>1807</v>
      </c>
      <c r="P240" s="70"/>
      <c r="Q240" s="69">
        <v>31923927</v>
      </c>
      <c r="R240" s="70"/>
      <c r="S240" s="70" t="s">
        <v>1794</v>
      </c>
      <c r="T240" s="70"/>
      <c r="U240" s="70" t="s">
        <v>2987</v>
      </c>
      <c r="V240" s="70"/>
    </row>
    <row r="241" spans="1:22" ht="15.75" customHeight="1">
      <c r="A241" s="66">
        <v>36009</v>
      </c>
      <c r="B241" s="67">
        <f t="shared" ca="1" si="0"/>
        <v>27.853708711948244</v>
      </c>
      <c r="C241" s="68" t="str">
        <f t="shared" ca="1" si="1"/>
        <v>27 years, 10 months</v>
      </c>
      <c r="D241" s="69">
        <v>9449306877</v>
      </c>
      <c r="E241" s="69">
        <v>19980802</v>
      </c>
      <c r="F241" s="70"/>
      <c r="G241" s="70" t="s">
        <v>2988</v>
      </c>
      <c r="H241" s="70"/>
      <c r="I241" s="70" t="s">
        <v>2989</v>
      </c>
      <c r="J241" s="70" t="s">
        <v>1422</v>
      </c>
      <c r="K241" s="70" t="s">
        <v>1285</v>
      </c>
      <c r="L241" s="70" t="s">
        <v>2990</v>
      </c>
      <c r="M241" s="70" t="s">
        <v>2991</v>
      </c>
      <c r="N241" s="70"/>
      <c r="O241" s="70" t="s">
        <v>1834</v>
      </c>
      <c r="P241" s="70"/>
      <c r="Q241" s="69">
        <v>17360406</v>
      </c>
      <c r="R241" s="70"/>
      <c r="S241" s="70" t="s">
        <v>1794</v>
      </c>
      <c r="T241" s="70"/>
      <c r="U241" s="70" t="s">
        <v>2992</v>
      </c>
      <c r="V241" s="70"/>
    </row>
    <row r="242" spans="1:22" ht="15.75" customHeight="1">
      <c r="A242" s="66">
        <v>36010</v>
      </c>
      <c r="B242" s="67">
        <f t="shared" ca="1" si="0"/>
        <v>27.850968985920847</v>
      </c>
      <c r="C242" s="68" t="str">
        <f t="shared" ca="1" si="1"/>
        <v>27 years, 10 months</v>
      </c>
      <c r="D242" s="69">
        <v>9449307199</v>
      </c>
      <c r="E242" s="69">
        <v>19980803</v>
      </c>
      <c r="F242" s="70"/>
      <c r="G242" s="70" t="s">
        <v>2993</v>
      </c>
      <c r="H242" s="70"/>
      <c r="I242" s="70" t="s">
        <v>2994</v>
      </c>
      <c r="J242" s="70" t="s">
        <v>1391</v>
      </c>
      <c r="K242" s="70" t="s">
        <v>1263</v>
      </c>
      <c r="L242" s="70" t="s">
        <v>2995</v>
      </c>
      <c r="M242" s="70" t="s">
        <v>2996</v>
      </c>
      <c r="N242" s="70"/>
      <c r="O242" s="70" t="s">
        <v>1807</v>
      </c>
      <c r="P242" s="70"/>
      <c r="Q242" s="69">
        <v>17361436</v>
      </c>
      <c r="R242" s="70"/>
      <c r="S242" s="70" t="s">
        <v>1794</v>
      </c>
      <c r="T242" s="70"/>
      <c r="U242" s="70" t="s">
        <v>2997</v>
      </c>
      <c r="V242" s="70"/>
    </row>
    <row r="243" spans="1:22" ht="15.75" customHeight="1">
      <c r="A243" s="66">
        <v>36056</v>
      </c>
      <c r="B243" s="67">
        <f t="shared" ca="1" si="0"/>
        <v>27.724941588660574</v>
      </c>
      <c r="C243" s="68" t="str">
        <f t="shared" ca="1" si="1"/>
        <v>27 years, 8 months</v>
      </c>
      <c r="D243" s="69">
        <v>9449303630</v>
      </c>
      <c r="E243" s="69">
        <v>19980918</v>
      </c>
      <c r="F243" s="70"/>
      <c r="G243" s="70" t="s">
        <v>2998</v>
      </c>
      <c r="H243" s="70" t="s">
        <v>2180</v>
      </c>
      <c r="I243" s="70" t="s">
        <v>2999</v>
      </c>
      <c r="J243" s="70" t="s">
        <v>1391</v>
      </c>
      <c r="K243" s="70" t="s">
        <v>1263</v>
      </c>
      <c r="L243" s="70" t="s">
        <v>3000</v>
      </c>
      <c r="M243" s="70" t="s">
        <v>3001</v>
      </c>
      <c r="N243" s="70" t="s">
        <v>1818</v>
      </c>
      <c r="O243" s="70" t="s">
        <v>1819</v>
      </c>
      <c r="P243" s="70" t="s">
        <v>1793</v>
      </c>
      <c r="Q243" s="69">
        <v>21305144</v>
      </c>
      <c r="R243" s="70"/>
      <c r="S243" s="70" t="s">
        <v>1794</v>
      </c>
      <c r="T243" s="70"/>
      <c r="U243" s="70" t="s">
        <v>3002</v>
      </c>
      <c r="V243" s="70"/>
    </row>
    <row r="244" spans="1:22" ht="15.75" customHeight="1">
      <c r="A244" s="66">
        <v>36071</v>
      </c>
      <c r="B244" s="67">
        <f t="shared" ca="1" si="0"/>
        <v>27.683845698249616</v>
      </c>
      <c r="C244" s="68" t="str">
        <f t="shared" ca="1" si="1"/>
        <v>27 years, 8 months</v>
      </c>
      <c r="D244" s="69">
        <v>9449305838</v>
      </c>
      <c r="E244" s="69">
        <v>19981003</v>
      </c>
      <c r="F244" s="70"/>
      <c r="G244" s="70" t="s">
        <v>3003</v>
      </c>
      <c r="H244" s="70" t="s">
        <v>3004</v>
      </c>
      <c r="I244" s="70" t="s">
        <v>3005</v>
      </c>
      <c r="J244" s="70" t="s">
        <v>1422</v>
      </c>
      <c r="K244" s="70" t="s">
        <v>1285</v>
      </c>
      <c r="L244" s="70"/>
      <c r="M244" s="70" t="s">
        <v>3006</v>
      </c>
      <c r="N244" s="70"/>
      <c r="O244" s="70" t="s">
        <v>1800</v>
      </c>
      <c r="P244" s="70" t="s">
        <v>1793</v>
      </c>
      <c r="Q244" s="69">
        <v>7342059</v>
      </c>
      <c r="R244" s="70"/>
      <c r="S244" s="70" t="s">
        <v>1794</v>
      </c>
      <c r="T244" s="70"/>
      <c r="U244" s="70" t="s">
        <v>3007</v>
      </c>
      <c r="V244" s="70"/>
    </row>
    <row r="245" spans="1:22" ht="15.75" customHeight="1">
      <c r="A245" s="66">
        <v>36081</v>
      </c>
      <c r="B245" s="67">
        <f t="shared" ca="1" si="0"/>
        <v>27.656448437975641</v>
      </c>
      <c r="C245" s="68" t="str">
        <f t="shared" ca="1" si="1"/>
        <v>27 years, 7 months</v>
      </c>
      <c r="D245" s="69">
        <v>9449307512</v>
      </c>
      <c r="E245" s="69">
        <v>19981013</v>
      </c>
      <c r="F245" s="70"/>
      <c r="G245" s="70" t="s">
        <v>3008</v>
      </c>
      <c r="H245" s="70"/>
      <c r="I245" s="70" t="s">
        <v>3009</v>
      </c>
      <c r="J245" s="70" t="s">
        <v>1422</v>
      </c>
      <c r="K245" s="70" t="s">
        <v>1285</v>
      </c>
      <c r="L245" s="70"/>
      <c r="M245" s="70" t="s">
        <v>3010</v>
      </c>
      <c r="N245" s="70" t="s">
        <v>2055</v>
      </c>
      <c r="O245" s="70" t="s">
        <v>1807</v>
      </c>
      <c r="P245" s="70" t="s">
        <v>1793</v>
      </c>
      <c r="Q245" s="69">
        <v>7363094</v>
      </c>
      <c r="R245" s="70"/>
      <c r="S245" s="70" t="s">
        <v>1794</v>
      </c>
      <c r="T245" s="70"/>
      <c r="U245" s="70" t="s">
        <v>3011</v>
      </c>
      <c r="V245" s="70"/>
    </row>
    <row r="246" spans="1:22" ht="15.75" customHeight="1">
      <c r="A246" s="66">
        <v>36143</v>
      </c>
      <c r="B246" s="67">
        <f t="shared" ca="1" si="0"/>
        <v>27.486585424277013</v>
      </c>
      <c r="C246" s="68" t="str">
        <f t="shared" ca="1" si="1"/>
        <v>27 years, 5 months</v>
      </c>
      <c r="D246" s="69">
        <v>9449308225</v>
      </c>
      <c r="E246" s="69">
        <v>19981214</v>
      </c>
      <c r="F246" s="70"/>
      <c r="G246" s="70" t="s">
        <v>3012</v>
      </c>
      <c r="H246" s="70" t="s">
        <v>3013</v>
      </c>
      <c r="I246" s="70" t="s">
        <v>3014</v>
      </c>
      <c r="J246" s="70" t="s">
        <v>1422</v>
      </c>
      <c r="K246" s="70" t="s">
        <v>1285</v>
      </c>
      <c r="L246" s="70"/>
      <c r="M246" s="70" t="s">
        <v>3015</v>
      </c>
      <c r="N246" s="70"/>
      <c r="O246" s="70" t="s">
        <v>2132</v>
      </c>
      <c r="P246" s="70" t="s">
        <v>1793</v>
      </c>
      <c r="Q246" s="69">
        <v>7397908</v>
      </c>
      <c r="R246" s="70"/>
      <c r="S246" s="70" t="s">
        <v>1794</v>
      </c>
      <c r="T246" s="70"/>
      <c r="U246" s="70" t="s">
        <v>3016</v>
      </c>
      <c r="V246" s="70"/>
    </row>
    <row r="247" spans="1:22" ht="15.75" customHeight="1">
      <c r="A247" s="66">
        <v>36170</v>
      </c>
      <c r="B247" s="67">
        <f t="shared" ca="1" si="0"/>
        <v>27.412612821537287</v>
      </c>
      <c r="C247" s="68" t="str">
        <f t="shared" ca="1" si="1"/>
        <v>27 years, 4 months</v>
      </c>
      <c r="D247" s="69">
        <v>9449304262</v>
      </c>
      <c r="E247" s="69">
        <v>19990110</v>
      </c>
      <c r="F247" s="70"/>
      <c r="G247" s="70" t="s">
        <v>3017</v>
      </c>
      <c r="H247" s="70" t="s">
        <v>3018</v>
      </c>
      <c r="I247" s="70" t="s">
        <v>3019</v>
      </c>
      <c r="J247" s="70" t="s">
        <v>1422</v>
      </c>
      <c r="K247" s="70" t="s">
        <v>1285</v>
      </c>
      <c r="L247" s="70"/>
      <c r="M247" s="70" t="s">
        <v>3020</v>
      </c>
      <c r="N247" s="70"/>
      <c r="O247" s="70" t="s">
        <v>1792</v>
      </c>
      <c r="P247" s="70" t="s">
        <v>1793</v>
      </c>
      <c r="Q247" s="69">
        <v>7299496</v>
      </c>
      <c r="R247" s="70"/>
      <c r="S247" s="70" t="s">
        <v>1794</v>
      </c>
      <c r="T247" s="70"/>
      <c r="U247" s="70" t="s">
        <v>3021</v>
      </c>
      <c r="V247" s="70"/>
    </row>
    <row r="248" spans="1:22" ht="15.75" customHeight="1">
      <c r="A248" s="66">
        <v>36178</v>
      </c>
      <c r="B248" s="67">
        <f t="shared" ca="1" si="0"/>
        <v>27.390695013318108</v>
      </c>
      <c r="C248" s="68" t="str">
        <f t="shared" ca="1" si="1"/>
        <v>27 years, 4 months</v>
      </c>
      <c r="D248" s="69">
        <v>9449305315</v>
      </c>
      <c r="E248" s="69">
        <v>19990118</v>
      </c>
      <c r="F248" s="70"/>
      <c r="G248" s="70" t="s">
        <v>3022</v>
      </c>
      <c r="H248" s="70" t="s">
        <v>3023</v>
      </c>
      <c r="I248" s="70" t="s">
        <v>3024</v>
      </c>
      <c r="J248" s="70" t="s">
        <v>1314</v>
      </c>
      <c r="K248" s="70" t="s">
        <v>1263</v>
      </c>
      <c r="L248" s="70"/>
      <c r="M248" s="70" t="s">
        <v>3025</v>
      </c>
      <c r="N248" s="70"/>
      <c r="O248" s="70" t="s">
        <v>1800</v>
      </c>
      <c r="P248" s="70" t="s">
        <v>1793</v>
      </c>
      <c r="Q248" s="69">
        <v>7336092</v>
      </c>
      <c r="R248" s="70"/>
      <c r="S248" s="70" t="s">
        <v>1794</v>
      </c>
      <c r="T248" s="70"/>
      <c r="U248" s="70" t="s">
        <v>3026</v>
      </c>
      <c r="V248" s="70"/>
    </row>
    <row r="249" spans="1:22" ht="15.75" customHeight="1">
      <c r="A249" s="66">
        <v>36179</v>
      </c>
      <c r="B249" s="67">
        <f t="shared" ca="1" si="0"/>
        <v>27.387955287290712</v>
      </c>
      <c r="C249" s="68" t="str">
        <f t="shared" ca="1" si="1"/>
        <v>27 years, 4 months</v>
      </c>
      <c r="D249" s="69">
        <v>9449304211</v>
      </c>
      <c r="E249" s="69">
        <v>19990119</v>
      </c>
      <c r="F249" s="70"/>
      <c r="G249" s="70" t="s">
        <v>3027</v>
      </c>
      <c r="H249" s="70"/>
      <c r="I249" s="70" t="s">
        <v>3028</v>
      </c>
      <c r="J249" s="70" t="s">
        <v>1422</v>
      </c>
      <c r="K249" s="70" t="s">
        <v>1285</v>
      </c>
      <c r="L249" s="70" t="s">
        <v>3029</v>
      </c>
      <c r="M249" s="70" t="s">
        <v>1868</v>
      </c>
      <c r="N249" s="70"/>
      <c r="O249" s="70" t="s">
        <v>1792</v>
      </c>
      <c r="P249" s="70"/>
      <c r="Q249" s="69">
        <v>17338127</v>
      </c>
      <c r="R249" s="70"/>
      <c r="S249" s="70" t="s">
        <v>1794</v>
      </c>
      <c r="T249" s="70"/>
      <c r="U249" s="70" t="s">
        <v>3030</v>
      </c>
      <c r="V249" s="70"/>
    </row>
    <row r="250" spans="1:22" ht="15.75" customHeight="1">
      <c r="A250" s="66">
        <v>36221</v>
      </c>
      <c r="B250" s="67">
        <f t="shared" ca="1" si="0"/>
        <v>27.272886794140025</v>
      </c>
      <c r="C250" s="68" t="str">
        <f t="shared" ca="1" si="1"/>
        <v>27 years, 3 months</v>
      </c>
      <c r="D250" s="69">
        <v>9449309051</v>
      </c>
      <c r="E250" s="69">
        <v>19990302</v>
      </c>
      <c r="F250" s="70"/>
      <c r="G250" s="70" t="s">
        <v>3031</v>
      </c>
      <c r="H250" s="70"/>
      <c r="I250" s="70" t="s">
        <v>3032</v>
      </c>
      <c r="J250" s="70" t="s">
        <v>1391</v>
      </c>
      <c r="K250" s="70" t="s">
        <v>1263</v>
      </c>
      <c r="L250" s="70"/>
      <c r="M250" s="70" t="s">
        <v>3033</v>
      </c>
      <c r="N250" s="70" t="s">
        <v>1989</v>
      </c>
      <c r="O250" s="70" t="s">
        <v>1862</v>
      </c>
      <c r="P250" s="70" t="s">
        <v>1793</v>
      </c>
      <c r="Q250" s="69">
        <v>9574462</v>
      </c>
      <c r="R250" s="70"/>
      <c r="S250" s="70" t="s">
        <v>1794</v>
      </c>
      <c r="T250" s="70"/>
      <c r="U250" s="70" t="s">
        <v>3034</v>
      </c>
      <c r="V250" s="70"/>
    </row>
    <row r="251" spans="1:22" ht="15.75" customHeight="1">
      <c r="A251" s="66">
        <v>36232</v>
      </c>
      <c r="B251" s="67">
        <f t="shared" ca="1" si="0"/>
        <v>27.242749807838656</v>
      </c>
      <c r="C251" s="68" t="str">
        <f t="shared" ca="1" si="1"/>
        <v>27 years, 2 months</v>
      </c>
      <c r="D251" s="69">
        <v>9449310653</v>
      </c>
      <c r="E251" s="69">
        <v>19990313</v>
      </c>
      <c r="F251" s="69">
        <v>20101201</v>
      </c>
      <c r="G251" s="70" t="s">
        <v>3035</v>
      </c>
      <c r="H251" s="70"/>
      <c r="I251" s="70" t="s">
        <v>3036</v>
      </c>
      <c r="J251" s="70" t="s">
        <v>1391</v>
      </c>
      <c r="K251" s="70" t="s">
        <v>1263</v>
      </c>
      <c r="L251" s="70" t="s">
        <v>3037</v>
      </c>
      <c r="M251" s="70" t="s">
        <v>3038</v>
      </c>
      <c r="N251" s="70" t="s">
        <v>2055</v>
      </c>
      <c r="O251" s="70" t="s">
        <v>1807</v>
      </c>
      <c r="P251" s="70"/>
      <c r="Q251" s="69">
        <v>17362750</v>
      </c>
      <c r="R251" s="70"/>
      <c r="S251" s="70" t="s">
        <v>1794</v>
      </c>
      <c r="T251" s="70"/>
      <c r="U251" s="70" t="s">
        <v>3039</v>
      </c>
      <c r="V251" s="70"/>
    </row>
    <row r="252" spans="1:22" ht="15.75" customHeight="1">
      <c r="A252" s="66">
        <v>36241</v>
      </c>
      <c r="B252" s="67">
        <f t="shared" ca="1" si="0"/>
        <v>27.218092273592081</v>
      </c>
      <c r="C252" s="68" t="str">
        <f t="shared" ca="1" si="1"/>
        <v>27 years, 2 months</v>
      </c>
      <c r="D252" s="69">
        <v>9449308020</v>
      </c>
      <c r="E252" s="69">
        <v>19990322</v>
      </c>
      <c r="F252" s="70"/>
      <c r="G252" s="70" t="s">
        <v>3040</v>
      </c>
      <c r="H252" s="70"/>
      <c r="I252" s="70" t="s">
        <v>3041</v>
      </c>
      <c r="J252" s="70" t="s">
        <v>1422</v>
      </c>
      <c r="K252" s="70" t="s">
        <v>1285</v>
      </c>
      <c r="L252" s="70"/>
      <c r="M252" s="70" t="s">
        <v>3042</v>
      </c>
      <c r="N252" s="70"/>
      <c r="O252" s="70" t="s">
        <v>2132</v>
      </c>
      <c r="P252" s="70" t="s">
        <v>1793</v>
      </c>
      <c r="Q252" s="69">
        <v>7395672</v>
      </c>
      <c r="R252" s="70"/>
      <c r="S252" s="70" t="s">
        <v>1794</v>
      </c>
      <c r="T252" s="70"/>
      <c r="U252" s="70" t="s">
        <v>3043</v>
      </c>
      <c r="V252" s="70"/>
    </row>
    <row r="253" spans="1:22" ht="15.75" customHeight="1">
      <c r="A253" s="66">
        <v>36296</v>
      </c>
      <c r="B253" s="67">
        <f t="shared" ca="1" si="0"/>
        <v>27.067407342085232</v>
      </c>
      <c r="C253" s="68" t="str">
        <f t="shared" ca="1" si="1"/>
        <v>27 years, 0 months</v>
      </c>
      <c r="D253" s="69">
        <v>9449303479</v>
      </c>
      <c r="E253" s="69">
        <v>19990516</v>
      </c>
      <c r="F253" s="70"/>
      <c r="G253" s="70" t="s">
        <v>1992</v>
      </c>
      <c r="H253" s="70" t="s">
        <v>3044</v>
      </c>
      <c r="I253" s="70" t="s">
        <v>3045</v>
      </c>
      <c r="J253" s="70" t="s">
        <v>1422</v>
      </c>
      <c r="K253" s="70" t="s">
        <v>1285</v>
      </c>
      <c r="L253" s="70" t="s">
        <v>3046</v>
      </c>
      <c r="M253" s="70" t="s">
        <v>3047</v>
      </c>
      <c r="N253" s="70" t="s">
        <v>2079</v>
      </c>
      <c r="O253" s="70" t="s">
        <v>1845</v>
      </c>
      <c r="P253" s="70"/>
      <c r="Q253" s="69">
        <v>26424576</v>
      </c>
      <c r="R253" s="70"/>
      <c r="S253" s="70" t="s">
        <v>1794</v>
      </c>
      <c r="T253" s="70"/>
      <c r="U253" s="70" t="s">
        <v>3048</v>
      </c>
      <c r="V253" s="70"/>
    </row>
    <row r="254" spans="1:22" ht="15.75" customHeight="1">
      <c r="A254" s="66">
        <v>36303</v>
      </c>
      <c r="B254" s="67">
        <f t="shared" ca="1" si="0"/>
        <v>27.04822925989345</v>
      </c>
      <c r="C254" s="68" t="str">
        <f t="shared" ca="1" si="1"/>
        <v>27 years, 0 months</v>
      </c>
      <c r="D254" s="69">
        <v>9449308535</v>
      </c>
      <c r="E254" s="69">
        <v>19990523</v>
      </c>
      <c r="F254" s="70"/>
      <c r="G254" s="70" t="s">
        <v>3049</v>
      </c>
      <c r="H254" s="70" t="s">
        <v>3050</v>
      </c>
      <c r="I254" s="70" t="s">
        <v>3051</v>
      </c>
      <c r="J254" s="70" t="s">
        <v>1422</v>
      </c>
      <c r="K254" s="70" t="s">
        <v>1285</v>
      </c>
      <c r="L254" s="70"/>
      <c r="M254" s="70" t="s">
        <v>3052</v>
      </c>
      <c r="N254" s="70" t="s">
        <v>2576</v>
      </c>
      <c r="O254" s="70" t="s">
        <v>2577</v>
      </c>
      <c r="P254" s="70" t="s">
        <v>1793</v>
      </c>
      <c r="Q254" s="69">
        <v>9565481</v>
      </c>
      <c r="R254" s="70"/>
      <c r="S254" s="70" t="s">
        <v>1794</v>
      </c>
      <c r="T254" s="70"/>
      <c r="U254" s="70" t="s">
        <v>3053</v>
      </c>
      <c r="V254" s="70"/>
    </row>
    <row r="255" spans="1:22" ht="15.75" customHeight="1">
      <c r="A255" s="66">
        <v>36333</v>
      </c>
      <c r="B255" s="67">
        <f t="shared" ca="1" si="0"/>
        <v>26.966037479071531</v>
      </c>
      <c r="C255" s="68" t="str">
        <f t="shared" ca="1" si="1"/>
        <v>26 years, 11 months</v>
      </c>
      <c r="D255" s="69">
        <v>9449303975</v>
      </c>
      <c r="E255" s="69">
        <v>19990622</v>
      </c>
      <c r="F255" s="70"/>
      <c r="G255" s="70" t="s">
        <v>2395</v>
      </c>
      <c r="H255" s="70"/>
      <c r="I255" s="70" t="s">
        <v>3054</v>
      </c>
      <c r="J255" s="70" t="s">
        <v>1391</v>
      </c>
      <c r="K255" s="70" t="s">
        <v>1263</v>
      </c>
      <c r="L255" s="70"/>
      <c r="M255" s="70" t="s">
        <v>3055</v>
      </c>
      <c r="N255" s="70"/>
      <c r="O255" s="70" t="s">
        <v>1792</v>
      </c>
      <c r="P255" s="70" t="s">
        <v>1793</v>
      </c>
      <c r="Q255" s="69">
        <v>7297007</v>
      </c>
      <c r="R255" s="70"/>
      <c r="S255" s="70" t="s">
        <v>1794</v>
      </c>
      <c r="T255" s="70"/>
      <c r="U255" s="70" t="s">
        <v>3056</v>
      </c>
      <c r="V255" s="70"/>
    </row>
    <row r="256" spans="1:22" ht="15.75" customHeight="1">
      <c r="A256" s="66">
        <v>36391</v>
      </c>
      <c r="B256" s="67">
        <f t="shared" ca="1" si="0"/>
        <v>26.807133369482493</v>
      </c>
      <c r="C256" s="68" t="str">
        <f t="shared" ca="1" si="1"/>
        <v>26 years, 9 months</v>
      </c>
      <c r="D256" s="69">
        <v>9449307679</v>
      </c>
      <c r="E256" s="69">
        <v>19990819</v>
      </c>
      <c r="F256" s="70"/>
      <c r="G256" s="70" t="s">
        <v>3057</v>
      </c>
      <c r="H256" s="70"/>
      <c r="I256" s="70" t="s">
        <v>3058</v>
      </c>
      <c r="J256" s="70" t="s">
        <v>1314</v>
      </c>
      <c r="K256" s="70" t="s">
        <v>1263</v>
      </c>
      <c r="L256" s="70"/>
      <c r="M256" s="70" t="s">
        <v>3059</v>
      </c>
      <c r="N256" s="70" t="s">
        <v>1973</v>
      </c>
      <c r="O256" s="70" t="s">
        <v>1807</v>
      </c>
      <c r="P256" s="70" t="s">
        <v>1793</v>
      </c>
      <c r="Q256" s="69">
        <v>7364642</v>
      </c>
      <c r="R256" s="70"/>
      <c r="S256" s="70" t="s">
        <v>1794</v>
      </c>
      <c r="T256" s="70"/>
      <c r="U256" s="70" t="s">
        <v>3060</v>
      </c>
      <c r="V256" s="70"/>
    </row>
    <row r="257" spans="1:22" ht="15.75" customHeight="1">
      <c r="A257" s="66">
        <v>36433</v>
      </c>
      <c r="B257" s="67">
        <f t="shared" ca="1" si="0"/>
        <v>26.692064876331806</v>
      </c>
      <c r="C257" s="68" t="str">
        <f t="shared" ca="1" si="1"/>
        <v>26 years, 8 months</v>
      </c>
      <c r="D257" s="69">
        <v>9449304483</v>
      </c>
      <c r="E257" s="69">
        <v>19990930</v>
      </c>
      <c r="F257" s="70"/>
      <c r="G257" s="70" t="s">
        <v>3061</v>
      </c>
      <c r="H257" s="70" t="s">
        <v>3062</v>
      </c>
      <c r="I257" s="70" t="s">
        <v>3063</v>
      </c>
      <c r="J257" s="70" t="s">
        <v>1422</v>
      </c>
      <c r="K257" s="70" t="s">
        <v>1285</v>
      </c>
      <c r="L257" s="70"/>
      <c r="M257" s="70" t="s">
        <v>3064</v>
      </c>
      <c r="N257" s="70"/>
      <c r="O257" s="70" t="s">
        <v>1800</v>
      </c>
      <c r="P257" s="70" t="s">
        <v>1793</v>
      </c>
      <c r="Q257" s="69">
        <v>17348508</v>
      </c>
      <c r="R257" s="70"/>
      <c r="S257" s="70" t="s">
        <v>1794</v>
      </c>
      <c r="T257" s="70"/>
      <c r="U257" s="70" t="s">
        <v>3065</v>
      </c>
      <c r="V257" s="70"/>
    </row>
    <row r="258" spans="1:22" ht="15.75" customHeight="1">
      <c r="A258" s="66">
        <v>36443</v>
      </c>
      <c r="B258" s="67">
        <f t="shared" ref="B258:B512" ca="1" si="2">(NOW()-A258)/365</f>
        <v>26.664667616057834</v>
      </c>
      <c r="C258" s="68" t="str">
        <f t="shared" ref="C258:C512" ca="1" si="3">INT(B258) &amp; " years, " &amp; INT((B258-INT(B258))*12) &amp; " months"</f>
        <v>26 years, 7 months</v>
      </c>
      <c r="D258" s="69">
        <v>9449306974</v>
      </c>
      <c r="E258" s="69">
        <v>19991010</v>
      </c>
      <c r="F258" s="70"/>
      <c r="G258" s="70" t="s">
        <v>3066</v>
      </c>
      <c r="H258" s="70"/>
      <c r="I258" s="70" t="s">
        <v>3067</v>
      </c>
      <c r="J258" s="70" t="s">
        <v>1422</v>
      </c>
      <c r="K258" s="70" t="s">
        <v>2016</v>
      </c>
      <c r="L258" s="70"/>
      <c r="M258" s="70" t="s">
        <v>3068</v>
      </c>
      <c r="N258" s="70" t="s">
        <v>1806</v>
      </c>
      <c r="O258" s="70" t="s">
        <v>1807</v>
      </c>
      <c r="P258" s="70" t="s">
        <v>1793</v>
      </c>
      <c r="Q258" s="69">
        <v>24911695</v>
      </c>
      <c r="R258" s="70"/>
      <c r="S258" s="70" t="s">
        <v>1794</v>
      </c>
      <c r="T258" s="70"/>
      <c r="U258" s="70" t="s">
        <v>3069</v>
      </c>
      <c r="V258" s="70"/>
    </row>
    <row r="259" spans="1:22" ht="15.75" customHeight="1">
      <c r="A259" s="66">
        <v>36505</v>
      </c>
      <c r="B259" s="67">
        <f t="shared" ca="1" si="2"/>
        <v>26.494804602359203</v>
      </c>
      <c r="C259" s="68" t="str">
        <f t="shared" ca="1" si="3"/>
        <v>26 years, 5 months</v>
      </c>
      <c r="D259" s="69">
        <v>9449304882</v>
      </c>
      <c r="E259" s="69">
        <v>19991211</v>
      </c>
      <c r="F259" s="70"/>
      <c r="G259" s="70" t="s">
        <v>3070</v>
      </c>
      <c r="H259" s="70" t="s">
        <v>3071</v>
      </c>
      <c r="I259" s="70" t="s">
        <v>3072</v>
      </c>
      <c r="J259" s="70" t="s">
        <v>1391</v>
      </c>
      <c r="K259" s="70" t="s">
        <v>1263</v>
      </c>
      <c r="L259" s="70"/>
      <c r="M259" s="70" t="s">
        <v>3073</v>
      </c>
      <c r="N259" s="70"/>
      <c r="O259" s="70" t="s">
        <v>1800</v>
      </c>
      <c r="P259" s="70" t="s">
        <v>1793</v>
      </c>
      <c r="Q259" s="69">
        <v>7332059</v>
      </c>
      <c r="R259" s="70"/>
      <c r="S259" s="70" t="s">
        <v>1794</v>
      </c>
      <c r="T259" s="70"/>
      <c r="U259" s="70" t="s">
        <v>3074</v>
      </c>
      <c r="V259" s="70"/>
    </row>
    <row r="260" spans="1:22" ht="15.75" customHeight="1">
      <c r="A260" s="66">
        <v>36512</v>
      </c>
      <c r="B260" s="67">
        <f t="shared" ca="1" si="2"/>
        <v>26.475626520167424</v>
      </c>
      <c r="C260" s="68" t="str">
        <f t="shared" ca="1" si="3"/>
        <v>26 years, 5 months</v>
      </c>
      <c r="D260" s="69">
        <v>9449305153</v>
      </c>
      <c r="E260" s="69">
        <v>19991218</v>
      </c>
      <c r="F260" s="70"/>
      <c r="G260" s="70" t="s">
        <v>3075</v>
      </c>
      <c r="H260" s="70" t="s">
        <v>3076</v>
      </c>
      <c r="I260" s="70" t="s">
        <v>3077</v>
      </c>
      <c r="J260" s="70" t="s">
        <v>1422</v>
      </c>
      <c r="K260" s="70" t="s">
        <v>1285</v>
      </c>
      <c r="L260" s="70"/>
      <c r="M260" s="70" t="s">
        <v>3078</v>
      </c>
      <c r="N260" s="70"/>
      <c r="O260" s="70" t="s">
        <v>1800</v>
      </c>
      <c r="P260" s="70" t="s">
        <v>1793</v>
      </c>
      <c r="Q260" s="69">
        <v>7334524</v>
      </c>
      <c r="R260" s="70"/>
      <c r="S260" s="70" t="s">
        <v>1794</v>
      </c>
      <c r="T260" s="70"/>
      <c r="U260" s="70" t="s">
        <v>2690</v>
      </c>
      <c r="V260" s="70"/>
    </row>
    <row r="261" spans="1:22" ht="15.75" customHeight="1">
      <c r="A261" s="66">
        <v>36513</v>
      </c>
      <c r="B261" s="67">
        <f t="shared" ca="1" si="2"/>
        <v>26.472886794140027</v>
      </c>
      <c r="C261" s="68" t="str">
        <f t="shared" ca="1" si="3"/>
        <v>26 years, 5 months</v>
      </c>
      <c r="D261" s="69">
        <v>9449310289</v>
      </c>
      <c r="E261" s="69">
        <v>19991219</v>
      </c>
      <c r="F261" s="70"/>
      <c r="G261" s="70" t="s">
        <v>3079</v>
      </c>
      <c r="H261" s="70"/>
      <c r="I261" s="70" t="s">
        <v>3080</v>
      </c>
      <c r="J261" s="70" t="s">
        <v>1422</v>
      </c>
      <c r="K261" s="70" t="s">
        <v>1285</v>
      </c>
      <c r="L261" s="70"/>
      <c r="M261" s="70" t="s">
        <v>3081</v>
      </c>
      <c r="N261" s="70"/>
      <c r="O261" s="70" t="s">
        <v>1800</v>
      </c>
      <c r="P261" s="70" t="s">
        <v>1793</v>
      </c>
      <c r="Q261" s="69">
        <v>7344548</v>
      </c>
      <c r="R261" s="70"/>
      <c r="S261" s="70" t="s">
        <v>1794</v>
      </c>
      <c r="T261" s="70"/>
      <c r="U261" s="70" t="s">
        <v>3082</v>
      </c>
      <c r="V261" s="70"/>
    </row>
    <row r="262" spans="1:22" ht="15.75" customHeight="1">
      <c r="A262" s="66">
        <v>36540</v>
      </c>
      <c r="B262" s="67">
        <f t="shared" ca="1" si="2"/>
        <v>26.398914191400301</v>
      </c>
      <c r="C262" s="68" t="str">
        <f t="shared" ca="1" si="3"/>
        <v>26 years, 4 months</v>
      </c>
      <c r="D262" s="69">
        <v>9449310157</v>
      </c>
      <c r="E262" s="69">
        <v>20000115</v>
      </c>
      <c r="F262" s="70"/>
      <c r="G262" s="70" t="s">
        <v>3083</v>
      </c>
      <c r="H262" s="70"/>
      <c r="I262" s="70" t="s">
        <v>3084</v>
      </c>
      <c r="J262" s="70" t="s">
        <v>1422</v>
      </c>
      <c r="K262" s="70" t="s">
        <v>1285</v>
      </c>
      <c r="L262" s="70" t="s">
        <v>3085</v>
      </c>
      <c r="M262" s="70" t="s">
        <v>3086</v>
      </c>
      <c r="N262" s="70" t="s">
        <v>1861</v>
      </c>
      <c r="O262" s="70" t="s">
        <v>1862</v>
      </c>
      <c r="P262" s="70"/>
      <c r="Q262" s="69">
        <v>22557382</v>
      </c>
      <c r="R262" s="70"/>
      <c r="S262" s="70" t="s">
        <v>1794</v>
      </c>
      <c r="T262" s="70"/>
      <c r="U262" s="70" t="s">
        <v>3087</v>
      </c>
      <c r="V262" s="70"/>
    </row>
    <row r="263" spans="1:22" ht="15.75" customHeight="1">
      <c r="A263" s="66">
        <v>36621</v>
      </c>
      <c r="B263" s="67">
        <f t="shared" ca="1" si="2"/>
        <v>26.176996383181123</v>
      </c>
      <c r="C263" s="68" t="str">
        <f t="shared" ca="1" si="3"/>
        <v>26 years, 2 months</v>
      </c>
      <c r="D263" s="69">
        <v>9449310661</v>
      </c>
      <c r="E263" s="69">
        <v>20000405</v>
      </c>
      <c r="F263" s="69">
        <v>20101225</v>
      </c>
      <c r="G263" s="70" t="s">
        <v>3088</v>
      </c>
      <c r="H263" s="70"/>
      <c r="I263" s="70" t="s">
        <v>3089</v>
      </c>
      <c r="J263" s="70" t="s">
        <v>1422</v>
      </c>
      <c r="K263" s="70" t="s">
        <v>2016</v>
      </c>
      <c r="L263" s="70"/>
      <c r="M263" s="70" t="s">
        <v>3090</v>
      </c>
      <c r="N263" s="70" t="s">
        <v>1973</v>
      </c>
      <c r="O263" s="70" t="s">
        <v>1807</v>
      </c>
      <c r="P263" s="70" t="s">
        <v>1793</v>
      </c>
      <c r="Q263" s="69">
        <v>17363038</v>
      </c>
      <c r="R263" s="70"/>
      <c r="S263" s="70" t="s">
        <v>1794</v>
      </c>
      <c r="T263" s="70"/>
      <c r="U263" s="70" t="s">
        <v>3091</v>
      </c>
      <c r="V263" s="70"/>
    </row>
    <row r="264" spans="1:22" ht="15.75" customHeight="1">
      <c r="A264" s="66">
        <v>36640</v>
      </c>
      <c r="B264" s="67">
        <f t="shared" ca="1" si="2"/>
        <v>26.124941588660572</v>
      </c>
      <c r="C264" s="68" t="str">
        <f t="shared" ca="1" si="3"/>
        <v>26 years, 1 months</v>
      </c>
      <c r="D264" s="69">
        <v>9449306834</v>
      </c>
      <c r="E264" s="69">
        <v>20000424</v>
      </c>
      <c r="F264" s="70"/>
      <c r="G264" s="70" t="s">
        <v>3092</v>
      </c>
      <c r="H264" s="70" t="s">
        <v>3093</v>
      </c>
      <c r="I264" s="70" t="s">
        <v>3094</v>
      </c>
      <c r="J264" s="70" t="s">
        <v>1391</v>
      </c>
      <c r="K264" s="70" t="s">
        <v>1263</v>
      </c>
      <c r="L264" s="70"/>
      <c r="M264" s="70" t="s">
        <v>3095</v>
      </c>
      <c r="N264" s="70"/>
      <c r="O264" s="70" t="s">
        <v>1834</v>
      </c>
      <c r="P264" s="70" t="s">
        <v>1793</v>
      </c>
      <c r="Q264" s="69">
        <v>17360303</v>
      </c>
      <c r="R264" s="70"/>
      <c r="S264" s="70" t="s">
        <v>1794</v>
      </c>
      <c r="T264" s="70"/>
      <c r="U264" s="70" t="s">
        <v>3096</v>
      </c>
      <c r="V264" s="70"/>
    </row>
    <row r="265" spans="1:22" ht="15.75" customHeight="1">
      <c r="A265" s="66">
        <v>36660</v>
      </c>
      <c r="B265" s="67">
        <f t="shared" ca="1" si="2"/>
        <v>26.070147068112629</v>
      </c>
      <c r="C265" s="68" t="str">
        <f t="shared" ca="1" si="3"/>
        <v>26 years, 0 months</v>
      </c>
      <c r="D265" s="69">
        <v>9449305587</v>
      </c>
      <c r="E265" s="69">
        <v>20000514</v>
      </c>
      <c r="F265" s="70"/>
      <c r="G265" s="70" t="s">
        <v>3097</v>
      </c>
      <c r="H265" s="70"/>
      <c r="I265" s="70" t="s">
        <v>3098</v>
      </c>
      <c r="J265" s="70" t="s">
        <v>1391</v>
      </c>
      <c r="K265" s="70" t="s">
        <v>1263</v>
      </c>
      <c r="L265" s="70"/>
      <c r="M265" s="70" t="s">
        <v>3099</v>
      </c>
      <c r="N265" s="70"/>
      <c r="O265" s="70" t="s">
        <v>1800</v>
      </c>
      <c r="P265" s="70" t="s">
        <v>1793</v>
      </c>
      <c r="Q265" s="69">
        <v>30248819</v>
      </c>
      <c r="R265" s="70"/>
      <c r="S265" s="70" t="s">
        <v>1794</v>
      </c>
      <c r="T265" s="70"/>
      <c r="U265" s="70" t="s">
        <v>3100</v>
      </c>
      <c r="V265" s="70"/>
    </row>
    <row r="266" spans="1:22" ht="15.75" customHeight="1">
      <c r="A266" s="66">
        <v>36664</v>
      </c>
      <c r="B266" s="67">
        <f t="shared" ca="1" si="2"/>
        <v>26.059188164003039</v>
      </c>
      <c r="C266" s="68" t="str">
        <f t="shared" ca="1" si="3"/>
        <v>26 years, 0 months</v>
      </c>
      <c r="D266" s="69">
        <v>9449304254</v>
      </c>
      <c r="E266" s="69">
        <v>20000518</v>
      </c>
      <c r="F266" s="70"/>
      <c r="G266" s="70" t="s">
        <v>3101</v>
      </c>
      <c r="H266" s="70" t="s">
        <v>3102</v>
      </c>
      <c r="I266" s="70" t="s">
        <v>3103</v>
      </c>
      <c r="J266" s="70" t="s">
        <v>1314</v>
      </c>
      <c r="K266" s="70" t="s">
        <v>1263</v>
      </c>
      <c r="L266" s="70"/>
      <c r="M266" s="70" t="s">
        <v>2271</v>
      </c>
      <c r="N266" s="70"/>
      <c r="O266" s="70" t="s">
        <v>1792</v>
      </c>
      <c r="P266" s="70"/>
      <c r="Q266" s="69">
        <v>7299454</v>
      </c>
      <c r="R266" s="70"/>
      <c r="S266" s="70" t="s">
        <v>1794</v>
      </c>
      <c r="T266" s="70"/>
      <c r="U266" s="70" t="s">
        <v>3104</v>
      </c>
      <c r="V266" s="70"/>
    </row>
    <row r="267" spans="1:22" ht="15.75" customHeight="1">
      <c r="A267" s="66">
        <v>36734</v>
      </c>
      <c r="B267" s="67">
        <f t="shared" ca="1" si="2"/>
        <v>25.86740734208523</v>
      </c>
      <c r="C267" s="68" t="str">
        <f t="shared" ca="1" si="3"/>
        <v>25 years, 10 months</v>
      </c>
      <c r="D267" s="69">
        <v>9449307504</v>
      </c>
      <c r="E267" s="69">
        <v>20000727</v>
      </c>
      <c r="F267" s="70"/>
      <c r="G267" s="70" t="s">
        <v>3105</v>
      </c>
      <c r="H267" s="70"/>
      <c r="I267" s="70" t="s">
        <v>3106</v>
      </c>
      <c r="J267" s="70" t="s">
        <v>1314</v>
      </c>
      <c r="K267" s="70" t="s">
        <v>1263</v>
      </c>
      <c r="L267" s="70"/>
      <c r="M267" s="70" t="s">
        <v>3107</v>
      </c>
      <c r="N267" s="70" t="s">
        <v>2055</v>
      </c>
      <c r="O267" s="70" t="s">
        <v>1807</v>
      </c>
      <c r="P267" s="70" t="s">
        <v>1793</v>
      </c>
      <c r="Q267" s="69">
        <v>7363079</v>
      </c>
      <c r="R267" s="70"/>
      <c r="S267" s="70" t="s">
        <v>1794</v>
      </c>
      <c r="T267" s="70"/>
      <c r="U267" s="70" t="s">
        <v>3108</v>
      </c>
      <c r="V267" s="70"/>
    </row>
    <row r="268" spans="1:22" ht="15.75" customHeight="1">
      <c r="A268" s="66">
        <v>36767</v>
      </c>
      <c r="B268" s="67">
        <f t="shared" ca="1" si="2"/>
        <v>25.776996383181121</v>
      </c>
      <c r="C268" s="68" t="str">
        <f t="shared" ca="1" si="3"/>
        <v>25 years, 9 months</v>
      </c>
      <c r="D268" s="69">
        <v>9449309647</v>
      </c>
      <c r="E268" s="69">
        <v>20000829</v>
      </c>
      <c r="F268" s="70"/>
      <c r="G268" s="70" t="s">
        <v>3109</v>
      </c>
      <c r="H268" s="70"/>
      <c r="I268" s="70" t="s">
        <v>3110</v>
      </c>
      <c r="J268" s="70" t="s">
        <v>1391</v>
      </c>
      <c r="K268" s="70" t="s">
        <v>2016</v>
      </c>
      <c r="L268" s="70"/>
      <c r="M268" s="70" t="s">
        <v>3111</v>
      </c>
      <c r="N268" s="70"/>
      <c r="O268" s="70" t="s">
        <v>1886</v>
      </c>
      <c r="P268" s="70" t="s">
        <v>1793</v>
      </c>
      <c r="Q268" s="69">
        <v>18810571</v>
      </c>
      <c r="R268" s="70"/>
      <c r="S268" s="70" t="s">
        <v>1794</v>
      </c>
      <c r="T268" s="70"/>
      <c r="U268" s="70" t="s">
        <v>3112</v>
      </c>
      <c r="V268" s="70"/>
    </row>
    <row r="269" spans="1:22" ht="15.75" customHeight="1">
      <c r="A269" s="66">
        <v>36782</v>
      </c>
      <c r="B269" s="67">
        <f t="shared" ca="1" si="2"/>
        <v>25.735900492770163</v>
      </c>
      <c r="C269" s="68" t="str">
        <f t="shared" ca="1" si="3"/>
        <v>25 years, 8 months</v>
      </c>
      <c r="D269" s="69">
        <v>9449304521</v>
      </c>
      <c r="E269" s="69">
        <v>20000913</v>
      </c>
      <c r="F269" s="70"/>
      <c r="G269" s="70" t="s">
        <v>3113</v>
      </c>
      <c r="H269" s="70" t="s">
        <v>3114</v>
      </c>
      <c r="I269" s="70" t="s">
        <v>3115</v>
      </c>
      <c r="J269" s="70" t="s">
        <v>1391</v>
      </c>
      <c r="K269" s="70" t="s">
        <v>1263</v>
      </c>
      <c r="L269" s="70"/>
      <c r="M269" s="70" t="s">
        <v>3116</v>
      </c>
      <c r="N269" s="70" t="s">
        <v>1874</v>
      </c>
      <c r="O269" s="70" t="s">
        <v>1800</v>
      </c>
      <c r="P269" s="70" t="s">
        <v>1793</v>
      </c>
      <c r="Q269" s="69">
        <v>7329186</v>
      </c>
      <c r="R269" s="70"/>
      <c r="S269" s="70" t="s">
        <v>1794</v>
      </c>
      <c r="T269" s="70"/>
      <c r="U269" s="70" t="s">
        <v>3117</v>
      </c>
      <c r="V269" s="70"/>
    </row>
    <row r="270" spans="1:22" ht="15.75" customHeight="1">
      <c r="A270" s="66">
        <v>36784</v>
      </c>
      <c r="B270" s="67">
        <f t="shared" ca="1" si="2"/>
        <v>25.730421040715367</v>
      </c>
      <c r="C270" s="68" t="str">
        <f t="shared" ca="1" si="3"/>
        <v>25 years, 8 months</v>
      </c>
      <c r="D270" s="69">
        <v>9449303665</v>
      </c>
      <c r="E270" s="69">
        <v>20000915</v>
      </c>
      <c r="F270" s="70"/>
      <c r="G270" s="70" t="s">
        <v>3118</v>
      </c>
      <c r="H270" s="70"/>
      <c r="I270" s="70" t="s">
        <v>3119</v>
      </c>
      <c r="J270" s="70" t="s">
        <v>1422</v>
      </c>
      <c r="K270" s="70" t="s">
        <v>1285</v>
      </c>
      <c r="L270" s="70"/>
      <c r="M270" s="70" t="s">
        <v>3120</v>
      </c>
      <c r="N270" s="70" t="s">
        <v>1818</v>
      </c>
      <c r="O270" s="70" t="s">
        <v>1819</v>
      </c>
      <c r="P270" s="70" t="s">
        <v>1793</v>
      </c>
      <c r="Q270" s="69">
        <v>23376110</v>
      </c>
      <c r="R270" s="70"/>
      <c r="S270" s="70" t="s">
        <v>1794</v>
      </c>
      <c r="T270" s="70"/>
      <c r="U270" s="70" t="s">
        <v>3121</v>
      </c>
      <c r="V270" s="70"/>
    </row>
    <row r="271" spans="1:22" ht="15.75" customHeight="1">
      <c r="A271" s="66">
        <v>36869</v>
      </c>
      <c r="B271" s="67">
        <f t="shared" ca="1" si="2"/>
        <v>25.497544328386603</v>
      </c>
      <c r="C271" s="68" t="str">
        <f t="shared" ca="1" si="3"/>
        <v>25 years, 5 months</v>
      </c>
      <c r="D271" s="69">
        <v>9449306141</v>
      </c>
      <c r="E271" s="69">
        <v>20001209</v>
      </c>
      <c r="F271" s="70"/>
      <c r="G271" s="70" t="s">
        <v>3122</v>
      </c>
      <c r="H271" s="70" t="s">
        <v>3123</v>
      </c>
      <c r="I271" s="70" t="s">
        <v>3124</v>
      </c>
      <c r="J271" s="70" t="s">
        <v>1391</v>
      </c>
      <c r="K271" s="70" t="s">
        <v>1263</v>
      </c>
      <c r="L271" s="70"/>
      <c r="M271" s="70" t="s">
        <v>3125</v>
      </c>
      <c r="N271" s="70"/>
      <c r="O271" s="70" t="s">
        <v>1906</v>
      </c>
      <c r="P271" s="70" t="s">
        <v>1793</v>
      </c>
      <c r="Q271" s="69">
        <v>27777356</v>
      </c>
      <c r="R271" s="70"/>
      <c r="S271" s="70" t="s">
        <v>1794</v>
      </c>
      <c r="T271" s="70"/>
      <c r="U271" s="70" t="s">
        <v>3126</v>
      </c>
      <c r="V271" s="70"/>
    </row>
    <row r="272" spans="1:22" ht="15.75" customHeight="1">
      <c r="A272" s="66">
        <v>36885</v>
      </c>
      <c r="B272" s="67">
        <f t="shared" ca="1" si="2"/>
        <v>25.453708711948245</v>
      </c>
      <c r="C272" s="68" t="str">
        <f t="shared" ca="1" si="3"/>
        <v>25 years, 5 months</v>
      </c>
      <c r="D272" s="69">
        <v>9449310165</v>
      </c>
      <c r="E272" s="69">
        <v>20001225</v>
      </c>
      <c r="F272" s="70"/>
      <c r="G272" s="70" t="s">
        <v>3127</v>
      </c>
      <c r="H272" s="70"/>
      <c r="I272" s="70" t="s">
        <v>3084</v>
      </c>
      <c r="J272" s="70" t="s">
        <v>1422</v>
      </c>
      <c r="K272" s="70" t="s">
        <v>2016</v>
      </c>
      <c r="L272" s="70"/>
      <c r="M272" s="70" t="s">
        <v>3128</v>
      </c>
      <c r="N272" s="70" t="s">
        <v>1973</v>
      </c>
      <c r="O272" s="70" t="s">
        <v>1807</v>
      </c>
      <c r="P272" s="70"/>
      <c r="Q272" s="69">
        <v>17363591</v>
      </c>
      <c r="R272" s="70"/>
      <c r="S272" s="70" t="s">
        <v>1794</v>
      </c>
      <c r="T272" s="70"/>
      <c r="U272" s="70" t="s">
        <v>3129</v>
      </c>
      <c r="V272" s="70"/>
    </row>
    <row r="273" spans="1:22" ht="15.75" customHeight="1">
      <c r="A273" s="66">
        <v>36902</v>
      </c>
      <c r="B273" s="67">
        <f t="shared" ca="1" si="2"/>
        <v>25.407133369482491</v>
      </c>
      <c r="C273" s="68" t="str">
        <f t="shared" ca="1" si="3"/>
        <v>25 years, 4 months</v>
      </c>
      <c r="D273" s="69">
        <v>9449304750</v>
      </c>
      <c r="E273" s="69">
        <v>20010111</v>
      </c>
      <c r="F273" s="70"/>
      <c r="G273" s="70" t="s">
        <v>3130</v>
      </c>
      <c r="H273" s="70"/>
      <c r="I273" s="70" t="s">
        <v>3131</v>
      </c>
      <c r="J273" s="70" t="s">
        <v>1391</v>
      </c>
      <c r="K273" s="70" t="s">
        <v>1263</v>
      </c>
      <c r="L273" s="70"/>
      <c r="M273" s="70" t="s">
        <v>3132</v>
      </c>
      <c r="N273" s="70"/>
      <c r="O273" s="70" t="s">
        <v>1800</v>
      </c>
      <c r="P273" s="70" t="s">
        <v>1793</v>
      </c>
      <c r="Q273" s="69">
        <v>28886653</v>
      </c>
      <c r="R273" s="70"/>
      <c r="S273" s="70" t="s">
        <v>1794</v>
      </c>
      <c r="T273" s="70"/>
      <c r="U273" s="70" t="s">
        <v>3133</v>
      </c>
      <c r="V273" s="70"/>
    </row>
    <row r="274" spans="1:22" ht="15.75" customHeight="1">
      <c r="A274" s="66">
        <v>36917</v>
      </c>
      <c r="B274" s="67">
        <f t="shared" ca="1" si="2"/>
        <v>25.366037479071533</v>
      </c>
      <c r="C274" s="68" t="str">
        <f t="shared" ca="1" si="3"/>
        <v>25 years, 4 months</v>
      </c>
      <c r="D274" s="69">
        <v>9449306559</v>
      </c>
      <c r="E274" s="69">
        <v>20010126</v>
      </c>
      <c r="F274" s="70"/>
      <c r="G274" s="70" t="s">
        <v>3134</v>
      </c>
      <c r="H274" s="70"/>
      <c r="I274" s="70" t="s">
        <v>3135</v>
      </c>
      <c r="J274" s="70" t="s">
        <v>1391</v>
      </c>
      <c r="K274" s="70" t="s">
        <v>1263</v>
      </c>
      <c r="L274" s="70" t="s">
        <v>3136</v>
      </c>
      <c r="M274" s="70" t="s">
        <v>3137</v>
      </c>
      <c r="N274" s="70" t="s">
        <v>2532</v>
      </c>
      <c r="O274" s="70" t="s">
        <v>1906</v>
      </c>
      <c r="P274" s="70"/>
      <c r="Q274" s="69">
        <v>21432421</v>
      </c>
      <c r="R274" s="70"/>
      <c r="S274" s="70" t="s">
        <v>1794</v>
      </c>
      <c r="T274" s="70"/>
      <c r="U274" s="70" t="s">
        <v>3138</v>
      </c>
      <c r="V274" s="70"/>
    </row>
    <row r="275" spans="1:22" ht="15.75" customHeight="1">
      <c r="A275" s="66">
        <v>36935</v>
      </c>
      <c r="B275" s="67">
        <f t="shared" ca="1" si="2"/>
        <v>25.316722410578382</v>
      </c>
      <c r="C275" s="68" t="str">
        <f t="shared" ca="1" si="3"/>
        <v>25 years, 3 months</v>
      </c>
      <c r="D275" s="69">
        <v>9449307717</v>
      </c>
      <c r="E275" s="69">
        <v>20010213</v>
      </c>
      <c r="F275" s="70"/>
      <c r="G275" s="70" t="s">
        <v>3139</v>
      </c>
      <c r="H275" s="70"/>
      <c r="I275" s="70" t="s">
        <v>3140</v>
      </c>
      <c r="J275" s="70" t="s">
        <v>1422</v>
      </c>
      <c r="K275" s="70" t="s">
        <v>1285</v>
      </c>
      <c r="L275" s="70"/>
      <c r="M275" s="70" t="s">
        <v>3141</v>
      </c>
      <c r="N275" s="70" t="s">
        <v>1973</v>
      </c>
      <c r="O275" s="70" t="s">
        <v>1807</v>
      </c>
      <c r="P275" s="70" t="s">
        <v>1793</v>
      </c>
      <c r="Q275" s="69">
        <v>17363704</v>
      </c>
      <c r="R275" s="70"/>
      <c r="S275" s="70" t="s">
        <v>1794</v>
      </c>
      <c r="T275" s="70"/>
      <c r="U275" s="70" t="s">
        <v>3142</v>
      </c>
      <c r="V275" s="70"/>
    </row>
    <row r="276" spans="1:22" ht="15.75" customHeight="1">
      <c r="A276" s="66">
        <v>36941</v>
      </c>
      <c r="B276" s="67">
        <f t="shared" ca="1" si="2"/>
        <v>25.300284054414</v>
      </c>
      <c r="C276" s="68" t="str">
        <f t="shared" ca="1" si="3"/>
        <v>25 years, 3 months</v>
      </c>
      <c r="D276" s="69">
        <v>9449307326</v>
      </c>
      <c r="E276" s="69">
        <v>20010219</v>
      </c>
      <c r="F276" s="70"/>
      <c r="G276" s="70" t="s">
        <v>3143</v>
      </c>
      <c r="H276" s="70" t="s">
        <v>3144</v>
      </c>
      <c r="I276" s="70" t="s">
        <v>3145</v>
      </c>
      <c r="J276" s="70" t="s">
        <v>1422</v>
      </c>
      <c r="K276" s="70" t="s">
        <v>1285</v>
      </c>
      <c r="L276" s="70" t="s">
        <v>3146</v>
      </c>
      <c r="M276" s="70" t="s">
        <v>1851</v>
      </c>
      <c r="N276" s="70"/>
      <c r="O276" s="70" t="s">
        <v>1807</v>
      </c>
      <c r="P276" s="70"/>
      <c r="Q276" s="69">
        <v>17361654</v>
      </c>
      <c r="R276" s="70"/>
      <c r="S276" s="70" t="s">
        <v>1794</v>
      </c>
      <c r="T276" s="70"/>
      <c r="U276" s="70" t="s">
        <v>3147</v>
      </c>
      <c r="V276" s="70"/>
    </row>
    <row r="277" spans="1:22" ht="15.75" customHeight="1">
      <c r="A277" s="66">
        <v>36957</v>
      </c>
      <c r="B277" s="67">
        <f t="shared" ca="1" si="2"/>
        <v>25.256448437975642</v>
      </c>
      <c r="C277" s="68" t="str">
        <f t="shared" ca="1" si="3"/>
        <v>25 years, 3 months</v>
      </c>
      <c r="D277" s="69">
        <v>9449309795</v>
      </c>
      <c r="E277" s="69">
        <v>20010307</v>
      </c>
      <c r="F277" s="70"/>
      <c r="G277" s="70" t="s">
        <v>3148</v>
      </c>
      <c r="H277" s="70" t="s">
        <v>2780</v>
      </c>
      <c r="I277" s="70" t="s">
        <v>3149</v>
      </c>
      <c r="J277" s="70" t="s">
        <v>1391</v>
      </c>
      <c r="K277" s="70" t="s">
        <v>1263</v>
      </c>
      <c r="L277" s="70"/>
      <c r="M277" s="70" t="s">
        <v>3150</v>
      </c>
      <c r="N277" s="70"/>
      <c r="O277" s="70" t="s">
        <v>1886</v>
      </c>
      <c r="P277" s="70" t="s">
        <v>1793</v>
      </c>
      <c r="Q277" s="69">
        <v>23270200</v>
      </c>
      <c r="R277" s="70"/>
      <c r="S277" s="70" t="s">
        <v>1794</v>
      </c>
      <c r="T277" s="70"/>
      <c r="U277" s="70" t="s">
        <v>3151</v>
      </c>
      <c r="V277" s="70"/>
    </row>
    <row r="278" spans="1:22" ht="15.75" customHeight="1">
      <c r="A278" s="66">
        <v>36960</v>
      </c>
      <c r="B278" s="67">
        <f t="shared" ca="1" si="2"/>
        <v>25.248229259893449</v>
      </c>
      <c r="C278" s="68" t="str">
        <f t="shared" ca="1" si="3"/>
        <v>25 years, 2 months</v>
      </c>
      <c r="D278" s="69">
        <v>9449310610</v>
      </c>
      <c r="E278" s="69">
        <v>20010310</v>
      </c>
      <c r="F278" s="70"/>
      <c r="G278" s="70" t="s">
        <v>3152</v>
      </c>
      <c r="H278" s="70"/>
      <c r="I278" s="70" t="s">
        <v>3153</v>
      </c>
      <c r="J278" s="70" t="s">
        <v>1422</v>
      </c>
      <c r="K278" s="70" t="s">
        <v>1285</v>
      </c>
      <c r="L278" s="70"/>
      <c r="M278" s="70" t="s">
        <v>3154</v>
      </c>
      <c r="N278" s="70"/>
      <c r="O278" s="70" t="s">
        <v>1812</v>
      </c>
      <c r="P278" s="70" t="s">
        <v>1793</v>
      </c>
      <c r="Q278" s="69">
        <v>7377976</v>
      </c>
      <c r="R278" s="70" t="s">
        <v>1748</v>
      </c>
      <c r="S278" s="70" t="s">
        <v>1794</v>
      </c>
      <c r="T278" s="70"/>
      <c r="U278" s="70" t="s">
        <v>3155</v>
      </c>
      <c r="V278" s="70"/>
    </row>
    <row r="279" spans="1:22" ht="15.75" customHeight="1">
      <c r="A279" s="66">
        <v>36995</v>
      </c>
      <c r="B279" s="67">
        <f t="shared" ca="1" si="2"/>
        <v>25.152338848934548</v>
      </c>
      <c r="C279" s="68" t="str">
        <f t="shared" ca="1" si="3"/>
        <v>25 years, 1 months</v>
      </c>
      <c r="D279" s="69">
        <v>9449303762</v>
      </c>
      <c r="E279" s="69">
        <v>20010414</v>
      </c>
      <c r="F279" s="70"/>
      <c r="G279" s="70" t="s">
        <v>3156</v>
      </c>
      <c r="H279" s="70" t="s">
        <v>3157</v>
      </c>
      <c r="I279" s="70" t="s">
        <v>3158</v>
      </c>
      <c r="J279" s="70" t="s">
        <v>1422</v>
      </c>
      <c r="K279" s="70" t="s">
        <v>1285</v>
      </c>
      <c r="L279" s="70"/>
      <c r="M279" s="70" t="s">
        <v>3159</v>
      </c>
      <c r="N279" s="70"/>
      <c r="O279" s="70" t="s">
        <v>1819</v>
      </c>
      <c r="P279" s="70" t="s">
        <v>1793</v>
      </c>
      <c r="Q279" s="69">
        <v>7294680</v>
      </c>
      <c r="R279" s="70"/>
      <c r="S279" s="70" t="s">
        <v>1794</v>
      </c>
      <c r="T279" s="70"/>
      <c r="U279" s="70" t="s">
        <v>3160</v>
      </c>
      <c r="V279" s="70"/>
    </row>
    <row r="280" spans="1:22" ht="15.75" customHeight="1">
      <c r="A280" s="66">
        <v>36998</v>
      </c>
      <c r="B280" s="67">
        <f t="shared" ca="1" si="2"/>
        <v>25.144119670852355</v>
      </c>
      <c r="C280" s="68" t="str">
        <f t="shared" ca="1" si="3"/>
        <v>25 years, 1 months</v>
      </c>
      <c r="D280" s="69">
        <v>9449309043</v>
      </c>
      <c r="E280" s="69">
        <v>20010417</v>
      </c>
      <c r="F280" s="70"/>
      <c r="G280" s="70" t="s">
        <v>3161</v>
      </c>
      <c r="H280" s="70" t="s">
        <v>3162</v>
      </c>
      <c r="I280" s="70" t="s">
        <v>3163</v>
      </c>
      <c r="J280" s="70" t="s">
        <v>1314</v>
      </c>
      <c r="K280" s="70" t="s">
        <v>1263</v>
      </c>
      <c r="L280" s="70" t="s">
        <v>3164</v>
      </c>
      <c r="M280" s="70" t="s">
        <v>3165</v>
      </c>
      <c r="N280" s="70" t="s">
        <v>1989</v>
      </c>
      <c r="O280" s="70" t="s">
        <v>1862</v>
      </c>
      <c r="P280" s="70" t="s">
        <v>1793</v>
      </c>
      <c r="Q280" s="69">
        <v>21062709</v>
      </c>
      <c r="R280" s="70"/>
      <c r="S280" s="70" t="s">
        <v>1794</v>
      </c>
      <c r="T280" s="70"/>
      <c r="U280" s="70" t="s">
        <v>3166</v>
      </c>
      <c r="V280" s="70"/>
    </row>
    <row r="281" spans="1:22" ht="15.75" customHeight="1">
      <c r="A281" s="66">
        <v>37042</v>
      </c>
      <c r="B281" s="67">
        <f t="shared" ca="1" si="2"/>
        <v>25.023571725646875</v>
      </c>
      <c r="C281" s="68" t="str">
        <f t="shared" ca="1" si="3"/>
        <v>25 years, 0 months</v>
      </c>
      <c r="D281" s="69">
        <v>9449310521</v>
      </c>
      <c r="E281" s="69">
        <v>20010531</v>
      </c>
      <c r="F281" s="69">
        <v>20101201</v>
      </c>
      <c r="G281" s="70" t="s">
        <v>3167</v>
      </c>
      <c r="H281" s="70" t="s">
        <v>3168</v>
      </c>
      <c r="I281" s="70" t="s">
        <v>3169</v>
      </c>
      <c r="J281" s="70" t="s">
        <v>1391</v>
      </c>
      <c r="K281" s="70" t="s">
        <v>1263</v>
      </c>
      <c r="L281" s="70" t="s">
        <v>3170</v>
      </c>
      <c r="M281" s="70" t="s">
        <v>3171</v>
      </c>
      <c r="N281" s="70"/>
      <c r="O281" s="70" t="s">
        <v>1807</v>
      </c>
      <c r="P281" s="70" t="s">
        <v>1793</v>
      </c>
      <c r="Q281" s="69">
        <v>20170837</v>
      </c>
      <c r="R281" s="70"/>
      <c r="S281" s="70" t="s">
        <v>1794</v>
      </c>
      <c r="T281" s="70"/>
      <c r="U281" s="70" t="s">
        <v>3172</v>
      </c>
      <c r="V281" s="70"/>
    </row>
    <row r="282" spans="1:22" ht="15.75" customHeight="1">
      <c r="A282" s="66">
        <v>37104</v>
      </c>
      <c r="B282" s="67">
        <f t="shared" ca="1" si="2"/>
        <v>24.853708711948244</v>
      </c>
      <c r="C282" s="68" t="str">
        <f t="shared" ca="1" si="3"/>
        <v>24 years, 10 months</v>
      </c>
      <c r="D282" s="69">
        <v>9449305277</v>
      </c>
      <c r="E282" s="69">
        <v>20010801</v>
      </c>
      <c r="F282" s="70"/>
      <c r="G282" s="70" t="s">
        <v>3173</v>
      </c>
      <c r="H282" s="70"/>
      <c r="I282" s="70" t="s">
        <v>3174</v>
      </c>
      <c r="J282" s="70" t="s">
        <v>1422</v>
      </c>
      <c r="K282" s="70" t="s">
        <v>1285</v>
      </c>
      <c r="L282" s="70" t="s">
        <v>3175</v>
      </c>
      <c r="M282" s="70" t="s">
        <v>3176</v>
      </c>
      <c r="N282" s="70" t="s">
        <v>2312</v>
      </c>
      <c r="O282" s="70" t="s">
        <v>1800</v>
      </c>
      <c r="P282" s="70" t="s">
        <v>1793</v>
      </c>
      <c r="Q282" s="69">
        <v>17351187</v>
      </c>
      <c r="R282" s="70"/>
      <c r="S282" s="70" t="s">
        <v>1794</v>
      </c>
      <c r="T282" s="70"/>
      <c r="U282" s="70" t="s">
        <v>3177</v>
      </c>
      <c r="V282" s="70"/>
    </row>
    <row r="283" spans="1:22" ht="15.75" customHeight="1">
      <c r="A283" s="66">
        <v>37136</v>
      </c>
      <c r="B283" s="67">
        <f t="shared" ca="1" si="2"/>
        <v>24.766037479071532</v>
      </c>
      <c r="C283" s="68" t="str">
        <f t="shared" ca="1" si="3"/>
        <v>24 years, 9 months</v>
      </c>
      <c r="D283" s="69">
        <v>9449307687</v>
      </c>
      <c r="E283" s="69">
        <v>20010902</v>
      </c>
      <c r="F283" s="70"/>
      <c r="G283" s="70" t="s">
        <v>3178</v>
      </c>
      <c r="H283" s="70" t="s">
        <v>3179</v>
      </c>
      <c r="I283" s="70" t="s">
        <v>3180</v>
      </c>
      <c r="J283" s="70" t="s">
        <v>1391</v>
      </c>
      <c r="K283" s="70" t="s">
        <v>1263</v>
      </c>
      <c r="L283" s="70"/>
      <c r="M283" s="70" t="s">
        <v>3181</v>
      </c>
      <c r="N283" s="70" t="s">
        <v>1973</v>
      </c>
      <c r="O283" s="70" t="s">
        <v>1807</v>
      </c>
      <c r="P283" s="70" t="s">
        <v>1793</v>
      </c>
      <c r="Q283" s="69">
        <v>17363688</v>
      </c>
      <c r="R283" s="70"/>
      <c r="S283" s="70" t="s">
        <v>1794</v>
      </c>
      <c r="T283" s="70"/>
      <c r="U283" s="70" t="s">
        <v>3182</v>
      </c>
      <c r="V283" s="70"/>
    </row>
    <row r="284" spans="1:22" ht="15.75" customHeight="1">
      <c r="A284" s="66">
        <v>37164</v>
      </c>
      <c r="B284" s="67">
        <f t="shared" ca="1" si="2"/>
        <v>24.689325150304409</v>
      </c>
      <c r="C284" s="68" t="str">
        <f t="shared" ca="1" si="3"/>
        <v>24 years, 8 months</v>
      </c>
      <c r="D284" s="69">
        <v>9449309213</v>
      </c>
      <c r="E284" s="69">
        <v>20010930</v>
      </c>
      <c r="F284" s="70"/>
      <c r="G284" s="70" t="s">
        <v>3183</v>
      </c>
      <c r="H284" s="70"/>
      <c r="I284" s="70" t="s">
        <v>3184</v>
      </c>
      <c r="J284" s="70" t="s">
        <v>1422</v>
      </c>
      <c r="K284" s="70" t="s">
        <v>1285</v>
      </c>
      <c r="L284" s="70"/>
      <c r="M284" s="70" t="s">
        <v>3185</v>
      </c>
      <c r="N284" s="70" t="s">
        <v>2073</v>
      </c>
      <c r="O284" s="70" t="s">
        <v>1862</v>
      </c>
      <c r="P284" s="70" t="s">
        <v>1793</v>
      </c>
      <c r="Q284" s="69">
        <v>9575903</v>
      </c>
      <c r="R284" s="70"/>
      <c r="S284" s="70" t="s">
        <v>1794</v>
      </c>
      <c r="T284" s="70"/>
      <c r="U284" s="70" t="s">
        <v>3186</v>
      </c>
      <c r="V284" s="70"/>
    </row>
    <row r="285" spans="1:22" ht="15.75" customHeight="1">
      <c r="A285" s="66">
        <v>37183</v>
      </c>
      <c r="B285" s="67">
        <f t="shared" ca="1" si="2"/>
        <v>24.637270355783862</v>
      </c>
      <c r="C285" s="68" t="str">
        <f t="shared" ca="1" si="3"/>
        <v>24 years, 7 months</v>
      </c>
      <c r="D285" s="69">
        <v>9449305099</v>
      </c>
      <c r="E285" s="69">
        <v>20011019</v>
      </c>
      <c r="F285" s="70"/>
      <c r="G285" s="70" t="s">
        <v>3187</v>
      </c>
      <c r="H285" s="70" t="s">
        <v>3188</v>
      </c>
      <c r="I285" s="70" t="s">
        <v>3189</v>
      </c>
      <c r="J285" s="70" t="s">
        <v>1391</v>
      </c>
      <c r="K285" s="70" t="s">
        <v>1263</v>
      </c>
      <c r="L285" s="70"/>
      <c r="M285" s="70" t="s">
        <v>3190</v>
      </c>
      <c r="N285" s="70"/>
      <c r="O285" s="70" t="s">
        <v>1800</v>
      </c>
      <c r="P285" s="70" t="s">
        <v>1793</v>
      </c>
      <c r="Q285" s="69">
        <v>7333541</v>
      </c>
      <c r="R285" s="70"/>
      <c r="S285" s="70" t="s">
        <v>1794</v>
      </c>
      <c r="T285" s="70"/>
      <c r="U285" s="70" t="s">
        <v>3191</v>
      </c>
      <c r="V285" s="70"/>
    </row>
    <row r="286" spans="1:22" ht="15.75" customHeight="1">
      <c r="A286" s="66">
        <v>37197</v>
      </c>
      <c r="B286" s="67">
        <f t="shared" ca="1" si="2"/>
        <v>24.598914191400301</v>
      </c>
      <c r="C286" s="68" t="str">
        <f t="shared" ca="1" si="3"/>
        <v>24 years, 7 months</v>
      </c>
      <c r="D286" s="69">
        <v>9449308748</v>
      </c>
      <c r="E286" s="69">
        <v>20011102</v>
      </c>
      <c r="F286" s="70"/>
      <c r="G286" s="70" t="s">
        <v>3192</v>
      </c>
      <c r="H286" s="70" t="s">
        <v>3193</v>
      </c>
      <c r="I286" s="70" t="s">
        <v>3194</v>
      </c>
      <c r="J286" s="70" t="s">
        <v>1422</v>
      </c>
      <c r="K286" s="70" t="s">
        <v>1285</v>
      </c>
      <c r="L286" s="70" t="s">
        <v>3195</v>
      </c>
      <c r="M286" s="70" t="s">
        <v>3196</v>
      </c>
      <c r="N286" s="70"/>
      <c r="O286" s="70" t="s">
        <v>2678</v>
      </c>
      <c r="P286" s="70" t="s">
        <v>1793</v>
      </c>
      <c r="Q286" s="69">
        <v>26455532</v>
      </c>
      <c r="R286" s="70"/>
      <c r="S286" s="70" t="s">
        <v>1794</v>
      </c>
      <c r="T286" s="70"/>
      <c r="U286" s="70" t="s">
        <v>3197</v>
      </c>
      <c r="V286" s="70"/>
    </row>
    <row r="287" spans="1:22" ht="15.75" customHeight="1">
      <c r="A287" s="66">
        <v>37332</v>
      </c>
      <c r="B287" s="67">
        <f t="shared" ca="1" si="2"/>
        <v>24.22905117770167</v>
      </c>
      <c r="C287" s="68" t="str">
        <f t="shared" ca="1" si="3"/>
        <v>24 years, 2 months</v>
      </c>
      <c r="D287" s="69">
        <v>9449303347</v>
      </c>
      <c r="E287" s="69">
        <v>20020317</v>
      </c>
      <c r="F287" s="70"/>
      <c r="G287" s="70" t="s">
        <v>2180</v>
      </c>
      <c r="H287" s="70" t="s">
        <v>3198</v>
      </c>
      <c r="I287" s="70" t="s">
        <v>3199</v>
      </c>
      <c r="J287" s="70" t="s">
        <v>1391</v>
      </c>
      <c r="K287" s="70" t="s">
        <v>1263</v>
      </c>
      <c r="L287" s="70"/>
      <c r="M287" s="70" t="s">
        <v>3200</v>
      </c>
      <c r="N287" s="70"/>
      <c r="O287" s="70" t="s">
        <v>1862</v>
      </c>
      <c r="P287" s="70" t="s">
        <v>1793</v>
      </c>
      <c r="Q287" s="69">
        <v>9574148</v>
      </c>
      <c r="R287" s="70"/>
      <c r="S287" s="70" t="s">
        <v>1794</v>
      </c>
      <c r="T287" s="70"/>
      <c r="U287" s="70" t="s">
        <v>2981</v>
      </c>
      <c r="V287" s="70"/>
    </row>
    <row r="288" spans="1:22" ht="15.75" customHeight="1">
      <c r="A288" s="66">
        <v>37353</v>
      </c>
      <c r="B288" s="67">
        <f t="shared" ca="1" si="2"/>
        <v>24.171516931126327</v>
      </c>
      <c r="C288" s="68" t="str">
        <f t="shared" ca="1" si="3"/>
        <v>24 years, 2 months</v>
      </c>
      <c r="D288" s="69">
        <v>9449305862</v>
      </c>
      <c r="E288" s="69">
        <v>20020407</v>
      </c>
      <c r="F288" s="70"/>
      <c r="G288" s="70" t="s">
        <v>3201</v>
      </c>
      <c r="H288" s="70" t="s">
        <v>3202</v>
      </c>
      <c r="I288" s="70" t="s">
        <v>3203</v>
      </c>
      <c r="J288" s="70" t="s">
        <v>1391</v>
      </c>
      <c r="K288" s="70" t="s">
        <v>1263</v>
      </c>
      <c r="L288" s="70"/>
      <c r="M288" s="70" t="s">
        <v>3204</v>
      </c>
      <c r="N288" s="70"/>
      <c r="O288" s="70" t="s">
        <v>1800</v>
      </c>
      <c r="P288" s="70" t="s">
        <v>1793</v>
      </c>
      <c r="Q288" s="69">
        <v>7342679</v>
      </c>
      <c r="R288" s="70"/>
      <c r="S288" s="70" t="s">
        <v>1794</v>
      </c>
      <c r="T288" s="70"/>
      <c r="U288" s="70" t="s">
        <v>3205</v>
      </c>
      <c r="V288" s="70"/>
    </row>
    <row r="289" spans="1:22" ht="15.75" customHeight="1">
      <c r="A289" s="66">
        <v>37364</v>
      </c>
      <c r="B289" s="67">
        <f t="shared" ca="1" si="2"/>
        <v>24.141379944824958</v>
      </c>
      <c r="C289" s="68" t="str">
        <f t="shared" ca="1" si="3"/>
        <v>24 years, 1 months</v>
      </c>
      <c r="D289" s="69">
        <v>9449310742</v>
      </c>
      <c r="E289" s="69">
        <v>20020418</v>
      </c>
      <c r="F289" s="70"/>
      <c r="G289" s="70" t="s">
        <v>3206</v>
      </c>
      <c r="H289" s="70"/>
      <c r="I289" s="70" t="s">
        <v>3207</v>
      </c>
      <c r="J289" s="70" t="s">
        <v>1391</v>
      </c>
      <c r="K289" s="70" t="s">
        <v>1263</v>
      </c>
      <c r="L289" s="70" t="s">
        <v>3208</v>
      </c>
      <c r="M289" s="70" t="s">
        <v>3209</v>
      </c>
      <c r="N289" s="70" t="s">
        <v>1973</v>
      </c>
      <c r="O289" s="70" t="s">
        <v>1648</v>
      </c>
      <c r="P289" s="70" t="s">
        <v>2415</v>
      </c>
      <c r="Q289" s="69">
        <v>24460527</v>
      </c>
      <c r="R289" s="70"/>
      <c r="S289" s="70" t="s">
        <v>1794</v>
      </c>
      <c r="T289" s="70"/>
      <c r="U289" s="70" t="s">
        <v>3210</v>
      </c>
      <c r="V289" s="70"/>
    </row>
    <row r="290" spans="1:22" ht="15.75" customHeight="1">
      <c r="A290" s="66">
        <v>37456</v>
      </c>
      <c r="B290" s="67">
        <f t="shared" ca="1" si="2"/>
        <v>23.889325150304408</v>
      </c>
      <c r="C290" s="68" t="str">
        <f t="shared" ca="1" si="3"/>
        <v>23 years, 10 months</v>
      </c>
      <c r="D290" s="69">
        <v>9449303819</v>
      </c>
      <c r="E290" s="69">
        <v>20020719</v>
      </c>
      <c r="F290" s="70"/>
      <c r="G290" s="70" t="s">
        <v>3211</v>
      </c>
      <c r="H290" s="70"/>
      <c r="I290" s="70" t="s">
        <v>3212</v>
      </c>
      <c r="J290" s="70" t="s">
        <v>1422</v>
      </c>
      <c r="K290" s="70" t="s">
        <v>1285</v>
      </c>
      <c r="L290" s="70"/>
      <c r="M290" s="70" t="s">
        <v>3213</v>
      </c>
      <c r="N290" s="70"/>
      <c r="O290" s="70" t="s">
        <v>1819</v>
      </c>
      <c r="P290" s="70" t="s">
        <v>1793</v>
      </c>
      <c r="Q290" s="69">
        <v>21971196</v>
      </c>
      <c r="R290" s="70"/>
      <c r="S290" s="70" t="s">
        <v>1794</v>
      </c>
      <c r="T290" s="70"/>
      <c r="U290" s="70" t="s">
        <v>3214</v>
      </c>
      <c r="V290" s="70"/>
    </row>
    <row r="291" spans="1:22" ht="15.75" customHeight="1">
      <c r="A291" s="66">
        <v>37467</v>
      </c>
      <c r="B291" s="67">
        <f t="shared" ca="1" si="2"/>
        <v>23.85918816400304</v>
      </c>
      <c r="C291" s="68" t="str">
        <f t="shared" ca="1" si="3"/>
        <v>23 years, 10 months</v>
      </c>
      <c r="D291" s="69">
        <v>9449303932</v>
      </c>
      <c r="E291" s="69">
        <v>20020730</v>
      </c>
      <c r="F291" s="70"/>
      <c r="G291" s="70" t="s">
        <v>3215</v>
      </c>
      <c r="H291" s="70"/>
      <c r="I291" s="70" t="s">
        <v>3216</v>
      </c>
      <c r="J291" s="70" t="s">
        <v>1422</v>
      </c>
      <c r="K291" s="70" t="s">
        <v>1285</v>
      </c>
      <c r="L291" s="70"/>
      <c r="M291" s="70" t="s">
        <v>3217</v>
      </c>
      <c r="N291" s="70"/>
      <c r="O291" s="70" t="s">
        <v>1819</v>
      </c>
      <c r="P291" s="70" t="s">
        <v>1793</v>
      </c>
      <c r="Q291" s="69">
        <v>17336843</v>
      </c>
      <c r="R291" s="70"/>
      <c r="S291" s="70" t="s">
        <v>1794</v>
      </c>
      <c r="T291" s="70"/>
      <c r="U291" s="70" t="s">
        <v>3218</v>
      </c>
      <c r="V291" s="70"/>
    </row>
    <row r="292" spans="1:22" ht="15.75" customHeight="1">
      <c r="A292" s="66">
        <v>37480</v>
      </c>
      <c r="B292" s="67">
        <f t="shared" ca="1" si="2"/>
        <v>23.823571725646875</v>
      </c>
      <c r="C292" s="68" t="str">
        <f t="shared" ca="1" si="3"/>
        <v>23 years, 9 months</v>
      </c>
      <c r="D292" s="69">
        <v>9449310491</v>
      </c>
      <c r="E292" s="69">
        <v>20020812</v>
      </c>
      <c r="F292" s="69">
        <v>20101220</v>
      </c>
      <c r="G292" s="70" t="s">
        <v>3219</v>
      </c>
      <c r="H292" s="70"/>
      <c r="I292" s="70" t="s">
        <v>3220</v>
      </c>
      <c r="J292" s="70" t="s">
        <v>1422</v>
      </c>
      <c r="K292" s="70" t="s">
        <v>1285</v>
      </c>
      <c r="L292" s="70"/>
      <c r="M292" s="70" t="s">
        <v>3221</v>
      </c>
      <c r="N292" s="70" t="s">
        <v>1806</v>
      </c>
      <c r="O292" s="70" t="s">
        <v>1807</v>
      </c>
      <c r="P292" s="70" t="s">
        <v>1793</v>
      </c>
      <c r="Q292" s="69">
        <v>30344142</v>
      </c>
      <c r="R292" s="70"/>
      <c r="S292" s="70" t="s">
        <v>1794</v>
      </c>
      <c r="T292" s="70"/>
      <c r="U292" s="70" t="s">
        <v>3222</v>
      </c>
      <c r="V292" s="70"/>
    </row>
    <row r="293" spans="1:22" ht="15.75" customHeight="1">
      <c r="A293" s="66">
        <v>37514</v>
      </c>
      <c r="B293" s="67">
        <f t="shared" ca="1" si="2"/>
        <v>23.730421040715367</v>
      </c>
      <c r="C293" s="68" t="str">
        <f t="shared" ca="1" si="3"/>
        <v>23 years, 8 months</v>
      </c>
      <c r="D293" s="69">
        <v>9449307792</v>
      </c>
      <c r="E293" s="69">
        <v>20020915</v>
      </c>
      <c r="F293" s="70"/>
      <c r="G293" s="70" t="s">
        <v>1913</v>
      </c>
      <c r="H293" s="70"/>
      <c r="I293" s="70" t="s">
        <v>3223</v>
      </c>
      <c r="J293" s="70" t="s">
        <v>1422</v>
      </c>
      <c r="K293" s="70" t="s">
        <v>1285</v>
      </c>
      <c r="L293" s="70" t="s">
        <v>3224</v>
      </c>
      <c r="M293" s="70" t="s">
        <v>1988</v>
      </c>
      <c r="N293" s="70" t="s">
        <v>1973</v>
      </c>
      <c r="O293" s="70" t="s">
        <v>1807</v>
      </c>
      <c r="P293" s="70" t="s">
        <v>1793</v>
      </c>
      <c r="Q293" s="69">
        <v>17364060</v>
      </c>
      <c r="R293" s="70"/>
      <c r="S293" s="70" t="s">
        <v>1794</v>
      </c>
      <c r="T293" s="70"/>
      <c r="U293" s="70" t="s">
        <v>3225</v>
      </c>
      <c r="V293" s="70"/>
    </row>
    <row r="294" spans="1:22" ht="15.75" customHeight="1">
      <c r="A294" s="66">
        <v>37530</v>
      </c>
      <c r="B294" s="67">
        <f t="shared" ca="1" si="2"/>
        <v>23.686585424277013</v>
      </c>
      <c r="C294" s="68" t="str">
        <f t="shared" ca="1" si="3"/>
        <v>23 years, 8 months</v>
      </c>
      <c r="D294" s="69">
        <v>9449305056</v>
      </c>
      <c r="E294" s="69">
        <v>20021001</v>
      </c>
      <c r="F294" s="70"/>
      <c r="G294" s="70" t="s">
        <v>3226</v>
      </c>
      <c r="H294" s="70" t="s">
        <v>2330</v>
      </c>
      <c r="I294" s="70" t="s">
        <v>3227</v>
      </c>
      <c r="J294" s="70" t="s">
        <v>1314</v>
      </c>
      <c r="K294" s="70" t="s">
        <v>1263</v>
      </c>
      <c r="L294" s="70"/>
      <c r="M294" s="70" t="s">
        <v>3228</v>
      </c>
      <c r="N294" s="70"/>
      <c r="O294" s="70" t="s">
        <v>1800</v>
      </c>
      <c r="P294" s="70" t="s">
        <v>1793</v>
      </c>
      <c r="Q294" s="69">
        <v>7333360</v>
      </c>
      <c r="R294" s="70"/>
      <c r="S294" s="70" t="s">
        <v>1794</v>
      </c>
      <c r="T294" s="70"/>
      <c r="U294" s="70" t="s">
        <v>3229</v>
      </c>
      <c r="V294" s="70"/>
    </row>
    <row r="295" spans="1:22" ht="15.75" customHeight="1">
      <c r="A295" s="66">
        <v>37533</v>
      </c>
      <c r="B295" s="67">
        <f t="shared" ca="1" si="2"/>
        <v>23.67836624619482</v>
      </c>
      <c r="C295" s="68" t="str">
        <f t="shared" ca="1" si="3"/>
        <v>23 years, 8 months</v>
      </c>
      <c r="D295" s="69">
        <v>9449306214</v>
      </c>
      <c r="E295" s="69">
        <v>20021004</v>
      </c>
      <c r="F295" s="70"/>
      <c r="G295" s="70" t="s">
        <v>3230</v>
      </c>
      <c r="H295" s="70" t="s">
        <v>3231</v>
      </c>
      <c r="I295" s="70" t="s">
        <v>3232</v>
      </c>
      <c r="J295" s="70" t="s">
        <v>1422</v>
      </c>
      <c r="K295" s="70" t="s">
        <v>1932</v>
      </c>
      <c r="L295" s="70"/>
      <c r="M295" s="70" t="s">
        <v>3233</v>
      </c>
      <c r="N295" s="70"/>
      <c r="O295" s="70" t="s">
        <v>1906</v>
      </c>
      <c r="P295" s="70" t="s">
        <v>1793</v>
      </c>
      <c r="Q295" s="69">
        <v>20169963</v>
      </c>
      <c r="R295" s="70"/>
      <c r="S295" s="70" t="s">
        <v>1794</v>
      </c>
      <c r="T295" s="70"/>
      <c r="U295" s="70" t="s">
        <v>3234</v>
      </c>
      <c r="V295" s="70"/>
    </row>
    <row r="296" spans="1:22" ht="15.75" customHeight="1">
      <c r="A296" s="66">
        <v>37554</v>
      </c>
      <c r="B296" s="67">
        <f t="shared" ca="1" si="2"/>
        <v>23.62083199961948</v>
      </c>
      <c r="C296" s="68" t="str">
        <f t="shared" ca="1" si="3"/>
        <v>23 years, 7 months</v>
      </c>
      <c r="D296" s="69">
        <v>9449304041</v>
      </c>
      <c r="E296" s="69">
        <v>20021025</v>
      </c>
      <c r="F296" s="70"/>
      <c r="G296" s="70" t="s">
        <v>3235</v>
      </c>
      <c r="H296" s="70"/>
      <c r="I296" s="70" t="s">
        <v>3236</v>
      </c>
      <c r="J296" s="70" t="s">
        <v>1422</v>
      </c>
      <c r="K296" s="70" t="s">
        <v>1285</v>
      </c>
      <c r="L296" s="70"/>
      <c r="M296" s="70" t="s">
        <v>3237</v>
      </c>
      <c r="N296" s="70"/>
      <c r="O296" s="70" t="s">
        <v>1792</v>
      </c>
      <c r="P296" s="70" t="s">
        <v>1793</v>
      </c>
      <c r="Q296" s="69">
        <v>7297926</v>
      </c>
      <c r="R296" s="70"/>
      <c r="S296" s="70" t="s">
        <v>1794</v>
      </c>
      <c r="T296" s="70"/>
      <c r="U296" s="70" t="s">
        <v>3238</v>
      </c>
      <c r="V296" s="70"/>
    </row>
    <row r="297" spans="1:22" ht="15.75" customHeight="1">
      <c r="A297" s="66">
        <v>37727</v>
      </c>
      <c r="B297" s="67">
        <f t="shared" ca="1" si="2"/>
        <v>23.146859396879751</v>
      </c>
      <c r="C297" s="68" t="str">
        <f t="shared" ca="1" si="3"/>
        <v>23 years, 1 months</v>
      </c>
      <c r="D297" s="69">
        <v>9449305803</v>
      </c>
      <c r="E297" s="69">
        <v>20030416</v>
      </c>
      <c r="F297" s="70"/>
      <c r="G297" s="70" t="s">
        <v>3239</v>
      </c>
      <c r="H297" s="70"/>
      <c r="I297" s="70" t="s">
        <v>3240</v>
      </c>
      <c r="J297" s="70" t="s">
        <v>1422</v>
      </c>
      <c r="K297" s="70" t="s">
        <v>1285</v>
      </c>
      <c r="L297" s="70"/>
      <c r="M297" s="70" t="s">
        <v>3241</v>
      </c>
      <c r="N297" s="70"/>
      <c r="O297" s="70" t="s">
        <v>1800</v>
      </c>
      <c r="P297" s="70" t="s">
        <v>1793</v>
      </c>
      <c r="Q297" s="69">
        <v>7341682</v>
      </c>
      <c r="R297" s="70"/>
      <c r="S297" s="70" t="s">
        <v>1794</v>
      </c>
      <c r="T297" s="70"/>
      <c r="U297" s="70" t="s">
        <v>3242</v>
      </c>
      <c r="V297" s="70"/>
    </row>
    <row r="298" spans="1:22" ht="15.75" customHeight="1">
      <c r="A298" s="66">
        <v>37744</v>
      </c>
      <c r="B298" s="67">
        <f t="shared" ca="1" si="2"/>
        <v>23.100284054413997</v>
      </c>
      <c r="C298" s="68" t="str">
        <f t="shared" ca="1" si="3"/>
        <v>23 years, 1 months</v>
      </c>
      <c r="D298" s="69">
        <v>9449304610</v>
      </c>
      <c r="E298" s="69">
        <v>20030503</v>
      </c>
      <c r="F298" s="70"/>
      <c r="G298" s="70" t="s">
        <v>3243</v>
      </c>
      <c r="H298" s="70"/>
      <c r="I298" s="70" t="s">
        <v>3244</v>
      </c>
      <c r="J298" s="70" t="s">
        <v>1391</v>
      </c>
      <c r="K298" s="70" t="s">
        <v>1263</v>
      </c>
      <c r="L298" s="70"/>
      <c r="M298" s="70" t="s">
        <v>3245</v>
      </c>
      <c r="N298" s="70"/>
      <c r="O298" s="70" t="s">
        <v>1800</v>
      </c>
      <c r="P298" s="70" t="s">
        <v>1793</v>
      </c>
      <c r="Q298" s="69">
        <v>17348864</v>
      </c>
      <c r="R298" s="70"/>
      <c r="S298" s="70" t="s">
        <v>1794</v>
      </c>
      <c r="T298" s="70"/>
      <c r="U298" s="70" t="s">
        <v>3246</v>
      </c>
      <c r="V298" s="70"/>
    </row>
    <row r="299" spans="1:22" ht="15.75" customHeight="1">
      <c r="A299" s="66">
        <v>37747</v>
      </c>
      <c r="B299" s="67">
        <f t="shared" ca="1" si="2"/>
        <v>23.092064876331808</v>
      </c>
      <c r="C299" s="68" t="str">
        <f t="shared" ca="1" si="3"/>
        <v>23 years, 1 months</v>
      </c>
      <c r="D299" s="69">
        <v>9449308845</v>
      </c>
      <c r="E299" s="69">
        <v>20030506</v>
      </c>
      <c r="F299" s="70"/>
      <c r="G299" s="70" t="s">
        <v>2940</v>
      </c>
      <c r="H299" s="70"/>
      <c r="I299" s="70" t="s">
        <v>3247</v>
      </c>
      <c r="J299" s="70" t="s">
        <v>1422</v>
      </c>
      <c r="K299" s="70" t="s">
        <v>1285</v>
      </c>
      <c r="L299" s="70"/>
      <c r="M299" s="70" t="s">
        <v>3248</v>
      </c>
      <c r="N299" s="70"/>
      <c r="O299" s="70" t="s">
        <v>1862</v>
      </c>
      <c r="P299" s="70" t="s">
        <v>1793</v>
      </c>
      <c r="Q299" s="69">
        <v>9572210</v>
      </c>
      <c r="R299" s="70"/>
      <c r="S299" s="70" t="s">
        <v>1794</v>
      </c>
      <c r="T299" s="70"/>
      <c r="U299" s="70" t="s">
        <v>3249</v>
      </c>
      <c r="V299" s="70"/>
    </row>
    <row r="300" spans="1:22" ht="15.75" customHeight="1">
      <c r="A300" s="66">
        <v>37777</v>
      </c>
      <c r="B300" s="67">
        <f t="shared" ca="1" si="2"/>
        <v>23.009873095509889</v>
      </c>
      <c r="C300" s="68" t="str">
        <f t="shared" ca="1" si="3"/>
        <v>23 years, 0 months</v>
      </c>
      <c r="D300" s="69">
        <v>9449304238</v>
      </c>
      <c r="E300" s="69">
        <v>20030605</v>
      </c>
      <c r="F300" s="70"/>
      <c r="G300" s="70" t="s">
        <v>3250</v>
      </c>
      <c r="H300" s="70"/>
      <c r="I300" s="70" t="s">
        <v>3251</v>
      </c>
      <c r="J300" s="70" t="s">
        <v>1391</v>
      </c>
      <c r="K300" s="70" t="s">
        <v>1263</v>
      </c>
      <c r="L300" s="70"/>
      <c r="M300" s="70" t="s">
        <v>3252</v>
      </c>
      <c r="N300" s="70"/>
      <c r="O300" s="70" t="s">
        <v>1792</v>
      </c>
      <c r="P300" s="70"/>
      <c r="Q300" s="69">
        <v>7299440</v>
      </c>
      <c r="R300" s="70"/>
      <c r="S300" s="70" t="s">
        <v>1794</v>
      </c>
      <c r="T300" s="70"/>
      <c r="U300" s="70" t="s">
        <v>3253</v>
      </c>
      <c r="V300" s="70"/>
    </row>
    <row r="301" spans="1:22" ht="15.75" customHeight="1">
      <c r="A301" s="66">
        <v>37786</v>
      </c>
      <c r="B301" s="67">
        <f t="shared" ca="1" si="2"/>
        <v>22.985215561263313</v>
      </c>
      <c r="C301" s="68" t="str">
        <f t="shared" ca="1" si="3"/>
        <v>22 years, 11 months</v>
      </c>
      <c r="D301" s="69">
        <v>9449308543</v>
      </c>
      <c r="E301" s="69">
        <v>20030614</v>
      </c>
      <c r="F301" s="70"/>
      <c r="G301" s="70" t="s">
        <v>3254</v>
      </c>
      <c r="H301" s="70" t="s">
        <v>1896</v>
      </c>
      <c r="I301" s="70" t="s">
        <v>3255</v>
      </c>
      <c r="J301" s="70" t="s">
        <v>1391</v>
      </c>
      <c r="K301" s="70" t="s">
        <v>1263</v>
      </c>
      <c r="L301" s="70" t="s">
        <v>3256</v>
      </c>
      <c r="M301" s="70" t="s">
        <v>3257</v>
      </c>
      <c r="N301" s="70" t="s">
        <v>2576</v>
      </c>
      <c r="O301" s="70" t="s">
        <v>2577</v>
      </c>
      <c r="P301" s="70" t="s">
        <v>1793</v>
      </c>
      <c r="Q301" s="69">
        <v>18352634</v>
      </c>
      <c r="R301" s="70"/>
      <c r="S301" s="70" t="s">
        <v>1794</v>
      </c>
      <c r="T301" s="70"/>
      <c r="U301" s="70" t="s">
        <v>3258</v>
      </c>
      <c r="V301" s="70"/>
    </row>
    <row r="302" spans="1:22" ht="15.75" customHeight="1">
      <c r="A302" s="66">
        <v>37814</v>
      </c>
      <c r="B302" s="67">
        <f t="shared" ca="1" si="2"/>
        <v>22.908503232496191</v>
      </c>
      <c r="C302" s="68" t="str">
        <f t="shared" ca="1" si="3"/>
        <v>22 years, 10 months</v>
      </c>
      <c r="D302" s="69">
        <v>9449310440</v>
      </c>
      <c r="E302" s="69">
        <v>20030712</v>
      </c>
      <c r="F302" s="70"/>
      <c r="G302" s="70" t="s">
        <v>3259</v>
      </c>
      <c r="H302" s="70" t="s">
        <v>3260</v>
      </c>
      <c r="I302" s="70" t="s">
        <v>3261</v>
      </c>
      <c r="J302" s="70" t="s">
        <v>1314</v>
      </c>
      <c r="K302" s="70" t="s">
        <v>1263</v>
      </c>
      <c r="L302" s="70"/>
      <c r="M302" s="70" t="s">
        <v>3262</v>
      </c>
      <c r="N302" s="70"/>
      <c r="O302" s="70" t="s">
        <v>1834</v>
      </c>
      <c r="P302" s="70" t="s">
        <v>1793</v>
      </c>
      <c r="Q302" s="69">
        <v>7357826</v>
      </c>
      <c r="R302" s="70"/>
      <c r="S302" s="70" t="s">
        <v>1794</v>
      </c>
      <c r="T302" s="70"/>
      <c r="U302" s="70" t="s">
        <v>3263</v>
      </c>
      <c r="V302" s="70"/>
    </row>
    <row r="303" spans="1:22" ht="15.75" customHeight="1">
      <c r="A303" s="66">
        <v>37865</v>
      </c>
      <c r="B303" s="67">
        <f t="shared" ca="1" si="2"/>
        <v>22.768777205098932</v>
      </c>
      <c r="C303" s="68" t="str">
        <f t="shared" ca="1" si="3"/>
        <v>22 years, 9 months</v>
      </c>
      <c r="D303" s="69">
        <v>9449303517</v>
      </c>
      <c r="E303" s="69">
        <v>20030901</v>
      </c>
      <c r="F303" s="70"/>
      <c r="G303" s="70" t="s">
        <v>3264</v>
      </c>
      <c r="H303" s="70"/>
      <c r="I303" s="70" t="s">
        <v>3265</v>
      </c>
      <c r="J303" s="70" t="s">
        <v>1391</v>
      </c>
      <c r="K303" s="70" t="s">
        <v>1932</v>
      </c>
      <c r="L303" s="70" t="s">
        <v>3266</v>
      </c>
      <c r="M303" s="70" t="s">
        <v>3267</v>
      </c>
      <c r="N303" s="70" t="s">
        <v>2079</v>
      </c>
      <c r="O303" s="70" t="s">
        <v>1845</v>
      </c>
      <c r="P303" s="70"/>
      <c r="Q303" s="69">
        <v>21852491</v>
      </c>
      <c r="R303" s="70"/>
      <c r="S303" s="70" t="s">
        <v>1794</v>
      </c>
      <c r="T303" s="70"/>
      <c r="U303" s="70" t="s">
        <v>3268</v>
      </c>
      <c r="V303" s="70"/>
    </row>
    <row r="304" spans="1:22" ht="15.75" customHeight="1">
      <c r="A304" s="66">
        <v>37869</v>
      </c>
      <c r="B304" s="67">
        <f t="shared" ca="1" si="2"/>
        <v>22.757818300989342</v>
      </c>
      <c r="C304" s="68" t="str">
        <f t="shared" ca="1" si="3"/>
        <v>22 years, 9 months</v>
      </c>
      <c r="D304" s="69">
        <v>9449304475</v>
      </c>
      <c r="E304" s="69">
        <v>20030905</v>
      </c>
      <c r="F304" s="70"/>
      <c r="G304" s="70" t="s">
        <v>3269</v>
      </c>
      <c r="H304" s="70" t="s">
        <v>3270</v>
      </c>
      <c r="I304" s="70" t="s">
        <v>3271</v>
      </c>
      <c r="J304" s="70" t="s">
        <v>1314</v>
      </c>
      <c r="K304" s="70" t="s">
        <v>1263</v>
      </c>
      <c r="L304" s="70" t="s">
        <v>3272</v>
      </c>
      <c r="M304" s="70" t="s">
        <v>1868</v>
      </c>
      <c r="N304" s="70" t="s">
        <v>1874</v>
      </c>
      <c r="O304" s="70" t="s">
        <v>1800</v>
      </c>
      <c r="P304" s="70" t="s">
        <v>1793</v>
      </c>
      <c r="Q304" s="69">
        <v>21396668</v>
      </c>
      <c r="R304" s="70"/>
      <c r="S304" s="70" t="s">
        <v>1794</v>
      </c>
      <c r="T304" s="70"/>
      <c r="U304" s="70" t="s">
        <v>3273</v>
      </c>
      <c r="V304" s="70"/>
    </row>
    <row r="305" spans="1:22" ht="15.75" customHeight="1">
      <c r="A305" s="66">
        <v>37882</v>
      </c>
      <c r="B305" s="67">
        <f t="shared" ca="1" si="2"/>
        <v>22.722201862633177</v>
      </c>
      <c r="C305" s="68" t="str">
        <f t="shared" ca="1" si="3"/>
        <v>22 years, 8 months</v>
      </c>
      <c r="D305" s="69">
        <v>9449309353</v>
      </c>
      <c r="E305" s="69">
        <v>20030918</v>
      </c>
      <c r="F305" s="70"/>
      <c r="G305" s="70" t="s">
        <v>3274</v>
      </c>
      <c r="H305" s="70"/>
      <c r="I305" s="70" t="s">
        <v>3275</v>
      </c>
      <c r="J305" s="70" t="s">
        <v>1422</v>
      </c>
      <c r="K305" s="70" t="s">
        <v>1285</v>
      </c>
      <c r="L305" s="70" t="s">
        <v>3276</v>
      </c>
      <c r="M305" s="70" t="s">
        <v>3277</v>
      </c>
      <c r="N305" s="70" t="s">
        <v>3278</v>
      </c>
      <c r="O305" s="70" t="s">
        <v>1862</v>
      </c>
      <c r="P305" s="70" t="s">
        <v>1793</v>
      </c>
      <c r="Q305" s="69">
        <v>18358834</v>
      </c>
      <c r="R305" s="70"/>
      <c r="S305" s="70" t="s">
        <v>1794</v>
      </c>
      <c r="T305" s="70"/>
      <c r="U305" s="70" t="s">
        <v>3279</v>
      </c>
      <c r="V305" s="70"/>
    </row>
    <row r="306" spans="1:22" ht="15.75" customHeight="1">
      <c r="A306" s="66">
        <v>37894</v>
      </c>
      <c r="B306" s="67">
        <f t="shared" ca="1" si="2"/>
        <v>22.689325150304409</v>
      </c>
      <c r="C306" s="68" t="str">
        <f t="shared" ca="1" si="3"/>
        <v>22 years, 8 months</v>
      </c>
      <c r="D306" s="69">
        <v>9449308705</v>
      </c>
      <c r="E306" s="69">
        <v>20030930</v>
      </c>
      <c r="F306" s="70"/>
      <c r="G306" s="70" t="s">
        <v>3280</v>
      </c>
      <c r="H306" s="70"/>
      <c r="I306" s="70" t="s">
        <v>3281</v>
      </c>
      <c r="J306" s="70" t="s">
        <v>1422</v>
      </c>
      <c r="K306" s="70" t="s">
        <v>1285</v>
      </c>
      <c r="L306" s="70"/>
      <c r="M306" s="70" t="s">
        <v>3282</v>
      </c>
      <c r="N306" s="70" t="s">
        <v>2677</v>
      </c>
      <c r="O306" s="70" t="s">
        <v>2678</v>
      </c>
      <c r="P306" s="70" t="s">
        <v>1793</v>
      </c>
      <c r="Q306" s="69">
        <v>9570815</v>
      </c>
      <c r="R306" s="70"/>
      <c r="S306" s="70" t="s">
        <v>1794</v>
      </c>
      <c r="T306" s="70"/>
      <c r="U306" s="70" t="s">
        <v>3283</v>
      </c>
      <c r="V306" s="70"/>
    </row>
    <row r="307" spans="1:22" ht="15.75" customHeight="1">
      <c r="A307" s="66">
        <v>37914</v>
      </c>
      <c r="B307" s="67">
        <f t="shared" ca="1" si="2"/>
        <v>22.634530629756465</v>
      </c>
      <c r="C307" s="68" t="str">
        <f t="shared" ca="1" si="3"/>
        <v>22 years, 7 months</v>
      </c>
      <c r="D307" s="69">
        <v>9449308012</v>
      </c>
      <c r="E307" s="69">
        <v>20031020</v>
      </c>
      <c r="F307" s="70"/>
      <c r="G307" s="70" t="s">
        <v>3284</v>
      </c>
      <c r="H307" s="70"/>
      <c r="I307" s="70" t="s">
        <v>3285</v>
      </c>
      <c r="J307" s="70" t="s">
        <v>1422</v>
      </c>
      <c r="K307" s="70" t="s">
        <v>1285</v>
      </c>
      <c r="L307" s="70"/>
      <c r="M307" s="70" t="s">
        <v>3286</v>
      </c>
      <c r="N307" s="70" t="s">
        <v>2036</v>
      </c>
      <c r="O307" s="70" t="s">
        <v>2037</v>
      </c>
      <c r="P307" s="70"/>
      <c r="Q307" s="69">
        <v>7391555</v>
      </c>
      <c r="R307" s="70"/>
      <c r="S307" s="70" t="s">
        <v>1794</v>
      </c>
      <c r="T307" s="70"/>
      <c r="U307" s="70" t="s">
        <v>3287</v>
      </c>
      <c r="V307" s="70"/>
    </row>
    <row r="308" spans="1:22" ht="15.75" customHeight="1">
      <c r="A308" s="66">
        <v>37953</v>
      </c>
      <c r="B308" s="67">
        <f t="shared" ca="1" si="2"/>
        <v>22.527681314687971</v>
      </c>
      <c r="C308" s="68" t="str">
        <f t="shared" ca="1" si="3"/>
        <v>22 years, 6 months</v>
      </c>
      <c r="D308" s="69">
        <v>9449306370</v>
      </c>
      <c r="E308" s="69">
        <v>20031128</v>
      </c>
      <c r="F308" s="70"/>
      <c r="G308" s="70" t="s">
        <v>3288</v>
      </c>
      <c r="H308" s="70" t="s">
        <v>2954</v>
      </c>
      <c r="I308" s="70" t="s">
        <v>3289</v>
      </c>
      <c r="J308" s="70" t="s">
        <v>1391</v>
      </c>
      <c r="K308" s="70" t="s">
        <v>1263</v>
      </c>
      <c r="L308" s="70" t="s">
        <v>3290</v>
      </c>
      <c r="M308" s="70" t="s">
        <v>3291</v>
      </c>
      <c r="N308" s="70"/>
      <c r="O308" s="70" t="s">
        <v>1906</v>
      </c>
      <c r="P308" s="70" t="s">
        <v>1793</v>
      </c>
      <c r="Q308" s="69">
        <v>21972362</v>
      </c>
      <c r="R308" s="70"/>
      <c r="S308" s="70" t="s">
        <v>1794</v>
      </c>
      <c r="T308" s="70"/>
      <c r="U308" s="70" t="s">
        <v>3292</v>
      </c>
      <c r="V308" s="70"/>
    </row>
    <row r="309" spans="1:22" ht="15.75" customHeight="1">
      <c r="A309" s="66">
        <v>37983</v>
      </c>
      <c r="B309" s="67">
        <f t="shared" ca="1" si="2"/>
        <v>22.445489533866052</v>
      </c>
      <c r="C309" s="68" t="str">
        <f t="shared" ca="1" si="3"/>
        <v>22 years, 5 months</v>
      </c>
      <c r="D309" s="69">
        <v>9449309868</v>
      </c>
      <c r="E309" s="69">
        <v>20031228</v>
      </c>
      <c r="F309" s="70"/>
      <c r="G309" s="70" t="s">
        <v>3293</v>
      </c>
      <c r="H309" s="70"/>
      <c r="I309" s="70" t="s">
        <v>3294</v>
      </c>
      <c r="J309" s="70" t="s">
        <v>1422</v>
      </c>
      <c r="K309" s="70" t="s">
        <v>1285</v>
      </c>
      <c r="L309" s="70"/>
      <c r="M309" s="70" t="s">
        <v>3295</v>
      </c>
      <c r="N309" s="70"/>
      <c r="O309" s="70" t="s">
        <v>1886</v>
      </c>
      <c r="P309" s="70" t="s">
        <v>1793</v>
      </c>
      <c r="Q309" s="69">
        <v>9722288</v>
      </c>
      <c r="R309" s="70"/>
      <c r="S309" s="70" t="s">
        <v>1794</v>
      </c>
      <c r="T309" s="70"/>
      <c r="U309" s="70" t="s">
        <v>3296</v>
      </c>
      <c r="V309" s="70"/>
    </row>
    <row r="310" spans="1:22" ht="15.75" customHeight="1">
      <c r="A310" s="66">
        <v>38005</v>
      </c>
      <c r="B310" s="67">
        <f t="shared" ca="1" si="2"/>
        <v>22.385215561263312</v>
      </c>
      <c r="C310" s="68" t="str">
        <f t="shared" ca="1" si="3"/>
        <v>22 years, 4 months</v>
      </c>
      <c r="D310" s="69">
        <v>9449306575</v>
      </c>
      <c r="E310" s="69">
        <v>20040119</v>
      </c>
      <c r="F310" s="70"/>
      <c r="G310" s="70" t="s">
        <v>2517</v>
      </c>
      <c r="H310" s="70" t="s">
        <v>3297</v>
      </c>
      <c r="I310" s="70" t="s">
        <v>3298</v>
      </c>
      <c r="J310" s="70" t="s">
        <v>1314</v>
      </c>
      <c r="K310" s="70" t="s">
        <v>1263</v>
      </c>
      <c r="L310" s="70"/>
      <c r="M310" s="70" t="s">
        <v>3299</v>
      </c>
      <c r="N310" s="70" t="s">
        <v>2532</v>
      </c>
      <c r="O310" s="70" t="s">
        <v>1906</v>
      </c>
      <c r="P310" s="70"/>
      <c r="Q310" s="69">
        <v>7356001</v>
      </c>
      <c r="R310" s="70"/>
      <c r="S310" s="70" t="s">
        <v>1794</v>
      </c>
      <c r="T310" s="70"/>
      <c r="U310" s="70" t="s">
        <v>3300</v>
      </c>
      <c r="V310" s="70"/>
    </row>
    <row r="311" spans="1:22" ht="15.75" customHeight="1">
      <c r="A311" s="66">
        <v>38014</v>
      </c>
      <c r="B311" s="67">
        <f t="shared" ca="1" si="2"/>
        <v>22.360558027016737</v>
      </c>
      <c r="C311" s="68" t="str">
        <f t="shared" ca="1" si="3"/>
        <v>22 years, 4 months</v>
      </c>
      <c r="D311" s="69">
        <v>9449307318</v>
      </c>
      <c r="E311" s="69">
        <v>20040128</v>
      </c>
      <c r="F311" s="70"/>
      <c r="G311" s="70" t="s">
        <v>2590</v>
      </c>
      <c r="H311" s="70"/>
      <c r="I311" s="70" t="s">
        <v>3301</v>
      </c>
      <c r="J311" s="70" t="s">
        <v>1314</v>
      </c>
      <c r="K311" s="70" t="s">
        <v>1263</v>
      </c>
      <c r="L311" s="70" t="s">
        <v>3302</v>
      </c>
      <c r="M311" s="70" t="s">
        <v>3303</v>
      </c>
      <c r="N311" s="70"/>
      <c r="O311" s="70" t="s">
        <v>1807</v>
      </c>
      <c r="P311" s="70" t="s">
        <v>1793</v>
      </c>
      <c r="Q311" s="69">
        <v>21972894</v>
      </c>
      <c r="R311" s="70"/>
      <c r="S311" s="70" t="s">
        <v>1794</v>
      </c>
      <c r="T311" s="70"/>
      <c r="U311" s="70" t="s">
        <v>2763</v>
      </c>
      <c r="V311" s="70"/>
    </row>
    <row r="312" spans="1:22" ht="15.75" customHeight="1">
      <c r="A312" s="66">
        <v>38033</v>
      </c>
      <c r="B312" s="67">
        <f t="shared" ca="1" si="2"/>
        <v>22.308503232496189</v>
      </c>
      <c r="C312" s="68" t="str">
        <f t="shared" ca="1" si="3"/>
        <v>22 years, 3 months</v>
      </c>
      <c r="D312" s="69">
        <v>9449308721</v>
      </c>
      <c r="E312" s="69">
        <v>20040216</v>
      </c>
      <c r="F312" s="70"/>
      <c r="G312" s="70" t="s">
        <v>3304</v>
      </c>
      <c r="H312" s="70" t="s">
        <v>3305</v>
      </c>
      <c r="I312" s="70" t="s">
        <v>3306</v>
      </c>
      <c r="J312" s="70" t="s">
        <v>1422</v>
      </c>
      <c r="K312" s="70" t="s">
        <v>1285</v>
      </c>
      <c r="L312" s="70"/>
      <c r="M312" s="70" t="s">
        <v>3307</v>
      </c>
      <c r="N312" s="70" t="s">
        <v>2677</v>
      </c>
      <c r="O312" s="70" t="s">
        <v>2678</v>
      </c>
      <c r="P312" s="70" t="s">
        <v>1793</v>
      </c>
      <c r="Q312" s="69">
        <v>9570972</v>
      </c>
      <c r="R312" s="70"/>
      <c r="S312" s="70" t="s">
        <v>1794</v>
      </c>
      <c r="T312" s="70"/>
      <c r="U312" s="70" t="s">
        <v>3308</v>
      </c>
      <c r="V312" s="70"/>
    </row>
    <row r="313" spans="1:22" ht="15.75" customHeight="1">
      <c r="A313" s="66">
        <v>38034</v>
      </c>
      <c r="B313" s="67">
        <f t="shared" ca="1" si="2"/>
        <v>22.305763506468793</v>
      </c>
      <c r="C313" s="68" t="str">
        <f t="shared" ca="1" si="3"/>
        <v>22 years, 3 months</v>
      </c>
      <c r="D313" s="69">
        <v>9449308632</v>
      </c>
      <c r="E313" s="69">
        <v>20040217</v>
      </c>
      <c r="F313" s="70"/>
      <c r="G313" s="70" t="s">
        <v>3309</v>
      </c>
      <c r="H313" s="70" t="s">
        <v>3310</v>
      </c>
      <c r="I313" s="70" t="s">
        <v>3311</v>
      </c>
      <c r="J313" s="70" t="s">
        <v>1391</v>
      </c>
      <c r="K313" s="70" t="s">
        <v>1263</v>
      </c>
      <c r="L313" s="70"/>
      <c r="M313" s="70" t="s">
        <v>3312</v>
      </c>
      <c r="N313" s="70" t="s">
        <v>2677</v>
      </c>
      <c r="O313" s="70" t="s">
        <v>2678</v>
      </c>
      <c r="P313" s="70" t="s">
        <v>1793</v>
      </c>
      <c r="Q313" s="69">
        <v>9570460</v>
      </c>
      <c r="R313" s="70"/>
      <c r="S313" s="70" t="s">
        <v>1794</v>
      </c>
      <c r="T313" s="70"/>
      <c r="U313" s="70" t="s">
        <v>3313</v>
      </c>
      <c r="V313" s="70"/>
    </row>
    <row r="314" spans="1:22" ht="15.75" customHeight="1">
      <c r="A314" s="66">
        <v>38043</v>
      </c>
      <c r="B314" s="67">
        <f t="shared" ca="1" si="2"/>
        <v>22.281105972222218</v>
      </c>
      <c r="C314" s="68" t="str">
        <f t="shared" ca="1" si="3"/>
        <v>22 years, 3 months</v>
      </c>
      <c r="D314" s="69">
        <v>9449309221</v>
      </c>
      <c r="E314" s="69">
        <v>20040226</v>
      </c>
      <c r="F314" s="70"/>
      <c r="G314" s="70" t="s">
        <v>3314</v>
      </c>
      <c r="H314" s="70"/>
      <c r="I314" s="70" t="s">
        <v>3315</v>
      </c>
      <c r="J314" s="70" t="s">
        <v>1422</v>
      </c>
      <c r="K314" s="70" t="s">
        <v>1285</v>
      </c>
      <c r="L314" s="70" t="s">
        <v>3316</v>
      </c>
      <c r="M314" s="70" t="s">
        <v>2121</v>
      </c>
      <c r="N314" s="70" t="s">
        <v>2122</v>
      </c>
      <c r="O314" s="70" t="s">
        <v>1862</v>
      </c>
      <c r="P314" s="70"/>
      <c r="Q314" s="69">
        <v>18358316</v>
      </c>
      <c r="R314" s="70"/>
      <c r="S314" s="70" t="s">
        <v>1794</v>
      </c>
      <c r="T314" s="70"/>
      <c r="U314" s="70" t="s">
        <v>3317</v>
      </c>
      <c r="V314" s="70"/>
    </row>
    <row r="315" spans="1:22" ht="15.75" customHeight="1">
      <c r="A315" s="66">
        <v>38080</v>
      </c>
      <c r="B315" s="67">
        <f t="shared" ca="1" si="2"/>
        <v>22.17973610920852</v>
      </c>
      <c r="C315" s="68" t="str">
        <f t="shared" ca="1" si="3"/>
        <v>22 years, 2 months</v>
      </c>
      <c r="D315" s="69">
        <v>9449304742</v>
      </c>
      <c r="E315" s="69">
        <v>20040403</v>
      </c>
      <c r="F315" s="70"/>
      <c r="G315" s="70" t="s">
        <v>3318</v>
      </c>
      <c r="H315" s="70"/>
      <c r="I315" s="70" t="s">
        <v>3319</v>
      </c>
      <c r="J315" s="70" t="s">
        <v>1422</v>
      </c>
      <c r="K315" s="70" t="s">
        <v>1285</v>
      </c>
      <c r="L315" s="70"/>
      <c r="M315" s="70" t="s">
        <v>3320</v>
      </c>
      <c r="N315" s="70"/>
      <c r="O315" s="70" t="s">
        <v>1800</v>
      </c>
      <c r="P315" s="70" t="s">
        <v>1793</v>
      </c>
      <c r="Q315" s="69">
        <v>7331144</v>
      </c>
      <c r="R315" s="70"/>
      <c r="S315" s="70" t="s">
        <v>1794</v>
      </c>
      <c r="T315" s="70"/>
      <c r="U315" s="70" t="s">
        <v>3321</v>
      </c>
      <c r="V315" s="70"/>
    </row>
    <row r="316" spans="1:22" ht="15.75" customHeight="1">
      <c r="A316" s="66">
        <v>38096</v>
      </c>
      <c r="B316" s="67">
        <f t="shared" ca="1" si="2"/>
        <v>22.135900492770162</v>
      </c>
      <c r="C316" s="68" t="str">
        <f t="shared" ca="1" si="3"/>
        <v>22 years, 1 months</v>
      </c>
      <c r="D316" s="69">
        <v>9449307008</v>
      </c>
      <c r="E316" s="69">
        <v>20040419</v>
      </c>
      <c r="F316" s="70"/>
      <c r="G316" s="70" t="s">
        <v>3322</v>
      </c>
      <c r="H316" s="70" t="s">
        <v>3323</v>
      </c>
      <c r="I316" s="70" t="s">
        <v>3324</v>
      </c>
      <c r="J316" s="70" t="s">
        <v>1422</v>
      </c>
      <c r="K316" s="70" t="s">
        <v>1285</v>
      </c>
      <c r="L316" s="70" t="s">
        <v>3325</v>
      </c>
      <c r="M316" s="70" t="s">
        <v>3326</v>
      </c>
      <c r="N316" s="70" t="s">
        <v>1806</v>
      </c>
      <c r="O316" s="70" t="s">
        <v>1807</v>
      </c>
      <c r="P316" s="70"/>
      <c r="Q316" s="69">
        <v>17360918</v>
      </c>
      <c r="R316" s="70"/>
      <c r="S316" s="70" t="s">
        <v>1794</v>
      </c>
      <c r="T316" s="70"/>
      <c r="U316" s="70" t="s">
        <v>3327</v>
      </c>
      <c r="V316" s="70"/>
    </row>
    <row r="317" spans="1:22" ht="15.75" customHeight="1">
      <c r="A317" s="66">
        <v>38103</v>
      </c>
      <c r="B317" s="67">
        <f t="shared" ca="1" si="2"/>
        <v>22.116722410578383</v>
      </c>
      <c r="C317" s="68" t="str">
        <f t="shared" ca="1" si="3"/>
        <v>22 years, 1 months</v>
      </c>
      <c r="D317" s="69">
        <v>9449303525</v>
      </c>
      <c r="E317" s="69">
        <v>20040426</v>
      </c>
      <c r="F317" s="70"/>
      <c r="G317" s="70" t="s">
        <v>3328</v>
      </c>
      <c r="H317" s="70"/>
      <c r="I317" s="70" t="s">
        <v>3329</v>
      </c>
      <c r="J317" s="70" t="s">
        <v>1314</v>
      </c>
      <c r="K317" s="70" t="s">
        <v>1263</v>
      </c>
      <c r="L317" s="70" t="s">
        <v>3330</v>
      </c>
      <c r="M317" s="70" t="s">
        <v>3331</v>
      </c>
      <c r="N317" s="70"/>
      <c r="O317" s="70" t="s">
        <v>1845</v>
      </c>
      <c r="P317" s="70"/>
      <c r="Q317" s="69">
        <v>19911060</v>
      </c>
      <c r="R317" s="70"/>
      <c r="S317" s="70" t="s">
        <v>1794</v>
      </c>
      <c r="T317" s="70"/>
      <c r="U317" s="70" t="s">
        <v>3332</v>
      </c>
      <c r="V317" s="70"/>
    </row>
    <row r="318" spans="1:22" ht="15.75" customHeight="1">
      <c r="A318" s="66">
        <v>38121</v>
      </c>
      <c r="B318" s="67">
        <f t="shared" ca="1" si="2"/>
        <v>22.067407342085232</v>
      </c>
      <c r="C318" s="68" t="str">
        <f t="shared" ca="1" si="3"/>
        <v>22 years, 0 months</v>
      </c>
      <c r="D318" s="69">
        <v>9449303924</v>
      </c>
      <c r="E318" s="69">
        <v>20040514</v>
      </c>
      <c r="F318" s="70"/>
      <c r="G318" s="70" t="s">
        <v>3333</v>
      </c>
      <c r="H318" s="70" t="s">
        <v>3334</v>
      </c>
      <c r="I318" s="70" t="s">
        <v>3335</v>
      </c>
      <c r="J318" s="70" t="s">
        <v>1422</v>
      </c>
      <c r="K318" s="70" t="s">
        <v>1285</v>
      </c>
      <c r="L318" s="70"/>
      <c r="M318" s="70" t="s">
        <v>3336</v>
      </c>
      <c r="N318" s="70"/>
      <c r="O318" s="70" t="s">
        <v>1819</v>
      </c>
      <c r="P318" s="70" t="s">
        <v>1793</v>
      </c>
      <c r="Q318" s="69">
        <v>7296279</v>
      </c>
      <c r="R318" s="70"/>
      <c r="S318" s="70" t="s">
        <v>1794</v>
      </c>
      <c r="T318" s="70"/>
      <c r="U318" s="70" t="s">
        <v>3337</v>
      </c>
      <c r="V318" s="70"/>
    </row>
    <row r="319" spans="1:22" ht="15.75" customHeight="1">
      <c r="A319" s="66">
        <v>38173</v>
      </c>
      <c r="B319" s="67">
        <f t="shared" ca="1" si="2"/>
        <v>21.924941588660573</v>
      </c>
      <c r="C319" s="68" t="str">
        <f t="shared" ca="1" si="3"/>
        <v>21 years, 11 months</v>
      </c>
      <c r="D319" s="69">
        <v>9449305005</v>
      </c>
      <c r="E319" s="69">
        <v>20040705</v>
      </c>
      <c r="F319" s="70"/>
      <c r="G319" s="70" t="s">
        <v>3338</v>
      </c>
      <c r="H319" s="70"/>
      <c r="I319" s="70" t="s">
        <v>3339</v>
      </c>
      <c r="J319" s="70" t="s">
        <v>1391</v>
      </c>
      <c r="K319" s="70" t="s">
        <v>1263</v>
      </c>
      <c r="L319" s="70"/>
      <c r="M319" s="70" t="s">
        <v>3340</v>
      </c>
      <c r="N319" s="70"/>
      <c r="O319" s="70" t="s">
        <v>1800</v>
      </c>
      <c r="P319" s="70" t="s">
        <v>1793</v>
      </c>
      <c r="Q319" s="69">
        <v>7333190</v>
      </c>
      <c r="R319" s="70"/>
      <c r="S319" s="70" t="s">
        <v>1794</v>
      </c>
      <c r="T319" s="70"/>
      <c r="U319" s="70" t="s">
        <v>3341</v>
      </c>
      <c r="V319" s="70"/>
    </row>
    <row r="320" spans="1:22" ht="15.75" customHeight="1">
      <c r="A320" s="66">
        <v>38193</v>
      </c>
      <c r="B320" s="67">
        <f t="shared" ca="1" si="2"/>
        <v>21.87014706811263</v>
      </c>
      <c r="C320" s="68" t="str">
        <f t="shared" ca="1" si="3"/>
        <v>21 years, 10 months</v>
      </c>
      <c r="D320" s="69">
        <v>9449307482</v>
      </c>
      <c r="E320" s="69">
        <v>20040725</v>
      </c>
      <c r="F320" s="70"/>
      <c r="G320" s="70" t="s">
        <v>3342</v>
      </c>
      <c r="H320" s="70"/>
      <c r="I320" s="70" t="s">
        <v>3343</v>
      </c>
      <c r="J320" s="70" t="s">
        <v>1314</v>
      </c>
      <c r="K320" s="70" t="s">
        <v>1263</v>
      </c>
      <c r="L320" s="70"/>
      <c r="M320" s="70" t="s">
        <v>3344</v>
      </c>
      <c r="N320" s="70" t="s">
        <v>2055</v>
      </c>
      <c r="O320" s="70" t="s">
        <v>1807</v>
      </c>
      <c r="P320" s="70" t="s">
        <v>1793</v>
      </c>
      <c r="Q320" s="69">
        <v>7362752</v>
      </c>
      <c r="R320" s="70"/>
      <c r="S320" s="70" t="s">
        <v>1794</v>
      </c>
      <c r="T320" s="70"/>
      <c r="U320" s="70" t="s">
        <v>3345</v>
      </c>
      <c r="V320" s="70"/>
    </row>
    <row r="321" spans="1:22" ht="15.75" customHeight="1">
      <c r="A321" s="66">
        <v>38213</v>
      </c>
      <c r="B321" s="67">
        <f t="shared" ca="1" si="2"/>
        <v>21.815352547564682</v>
      </c>
      <c r="C321" s="68" t="str">
        <f t="shared" ca="1" si="3"/>
        <v>21 years, 9 months</v>
      </c>
      <c r="D321" s="69">
        <v>9449306346</v>
      </c>
      <c r="E321" s="69">
        <v>20040814</v>
      </c>
      <c r="F321" s="70"/>
      <c r="G321" s="70" t="s">
        <v>3346</v>
      </c>
      <c r="H321" s="70" t="s">
        <v>3347</v>
      </c>
      <c r="I321" s="70" t="s">
        <v>3348</v>
      </c>
      <c r="J321" s="70" t="s">
        <v>1422</v>
      </c>
      <c r="K321" s="70" t="s">
        <v>1285</v>
      </c>
      <c r="L321" s="70" t="s">
        <v>3349</v>
      </c>
      <c r="M321" s="70" t="s">
        <v>2194</v>
      </c>
      <c r="N321" s="70" t="s">
        <v>2184</v>
      </c>
      <c r="O321" s="70" t="s">
        <v>1906</v>
      </c>
      <c r="P321" s="70"/>
      <c r="Q321" s="69">
        <v>30856514</v>
      </c>
      <c r="R321" s="70"/>
      <c r="S321" s="70" t="s">
        <v>1794</v>
      </c>
      <c r="T321" s="70"/>
      <c r="U321" s="70" t="s">
        <v>3350</v>
      </c>
      <c r="V321" s="70"/>
    </row>
    <row r="322" spans="1:22" ht="15.75" customHeight="1">
      <c r="A322" s="66">
        <v>38240</v>
      </c>
      <c r="B322" s="67">
        <f t="shared" ca="1" si="2"/>
        <v>21.741379944824956</v>
      </c>
      <c r="C322" s="68" t="str">
        <f t="shared" ca="1" si="3"/>
        <v>21 years, 8 months</v>
      </c>
      <c r="D322" s="69">
        <v>9449305730</v>
      </c>
      <c r="E322" s="69">
        <v>20040910</v>
      </c>
      <c r="F322" s="70"/>
      <c r="G322" s="70" t="s">
        <v>3351</v>
      </c>
      <c r="H322" s="70"/>
      <c r="I322" s="70" t="s">
        <v>3352</v>
      </c>
      <c r="J322" s="70" t="s">
        <v>1391</v>
      </c>
      <c r="K322" s="70" t="s">
        <v>1263</v>
      </c>
      <c r="L322" s="70"/>
      <c r="M322" s="70" t="s">
        <v>3353</v>
      </c>
      <c r="N322" s="70"/>
      <c r="O322" s="70" t="s">
        <v>1800</v>
      </c>
      <c r="P322" s="70" t="s">
        <v>1793</v>
      </c>
      <c r="Q322" s="69">
        <v>7340540</v>
      </c>
      <c r="R322" s="70"/>
      <c r="S322" s="70" t="s">
        <v>1794</v>
      </c>
      <c r="T322" s="70"/>
      <c r="U322" s="70" t="s">
        <v>3354</v>
      </c>
      <c r="V322" s="70"/>
    </row>
    <row r="323" spans="1:22" ht="15.75" customHeight="1">
      <c r="A323" s="66">
        <v>38306</v>
      </c>
      <c r="B323" s="67">
        <f t="shared" ca="1" si="2"/>
        <v>21.560558027016739</v>
      </c>
      <c r="C323" s="68" t="str">
        <f t="shared" ca="1" si="3"/>
        <v>21 years, 6 months</v>
      </c>
      <c r="D323" s="69">
        <v>9449303282</v>
      </c>
      <c r="E323" s="69">
        <v>20041115</v>
      </c>
      <c r="F323" s="70"/>
      <c r="G323" s="70" t="s">
        <v>3235</v>
      </c>
      <c r="H323" s="70" t="s">
        <v>3355</v>
      </c>
      <c r="I323" s="70" t="s">
        <v>3356</v>
      </c>
      <c r="J323" s="70" t="s">
        <v>1422</v>
      </c>
      <c r="K323" s="70" t="s">
        <v>1285</v>
      </c>
      <c r="L323" s="70"/>
      <c r="M323" s="70" t="s">
        <v>3357</v>
      </c>
      <c r="N323" s="70"/>
      <c r="O323" s="70" t="s">
        <v>1834</v>
      </c>
      <c r="P323" s="70" t="s">
        <v>1793</v>
      </c>
      <c r="Q323" s="69">
        <v>21502036</v>
      </c>
      <c r="R323" s="70"/>
      <c r="S323" s="70" t="s">
        <v>1794</v>
      </c>
      <c r="T323" s="70"/>
      <c r="U323" s="70" t="s">
        <v>3358</v>
      </c>
      <c r="V323" s="70"/>
    </row>
    <row r="324" spans="1:22" ht="15.75" customHeight="1">
      <c r="A324" s="66">
        <v>38309</v>
      </c>
      <c r="B324" s="67">
        <f t="shared" ca="1" si="2"/>
        <v>21.552338848934546</v>
      </c>
      <c r="C324" s="68" t="str">
        <f t="shared" ca="1" si="3"/>
        <v>21 years, 6 months</v>
      </c>
      <c r="D324" s="69">
        <v>9449308314</v>
      </c>
      <c r="E324" s="69">
        <v>20041118</v>
      </c>
      <c r="F324" s="70"/>
      <c r="G324" s="70" t="s">
        <v>3359</v>
      </c>
      <c r="H324" s="70" t="s">
        <v>3360</v>
      </c>
      <c r="I324" s="70" t="s">
        <v>3361</v>
      </c>
      <c r="J324" s="70" t="s">
        <v>1422</v>
      </c>
      <c r="K324" s="70" t="s">
        <v>1285</v>
      </c>
      <c r="L324" s="70"/>
      <c r="M324" s="70" t="s">
        <v>3362</v>
      </c>
      <c r="N324" s="70"/>
      <c r="O324" s="70" t="s">
        <v>2524</v>
      </c>
      <c r="P324" s="70" t="s">
        <v>1793</v>
      </c>
      <c r="Q324" s="69">
        <v>17378807</v>
      </c>
      <c r="R324" s="70"/>
      <c r="S324" s="70" t="s">
        <v>1794</v>
      </c>
      <c r="T324" s="70"/>
      <c r="U324" s="70" t="s">
        <v>3363</v>
      </c>
      <c r="V324" s="70"/>
    </row>
    <row r="325" spans="1:22" ht="15.75" customHeight="1">
      <c r="A325" s="66">
        <v>21550</v>
      </c>
      <c r="B325" s="67">
        <f t="shared" ca="1" si="2"/>
        <v>67.467407342085238</v>
      </c>
      <c r="C325" s="68" t="str">
        <f t="shared" ca="1" si="3"/>
        <v>67 years, 5 months</v>
      </c>
      <c r="D325" s="69">
        <v>9449304114</v>
      </c>
      <c r="E325" s="69">
        <v>19581231</v>
      </c>
      <c r="F325" s="70"/>
      <c r="G325" s="70" t="s">
        <v>3364</v>
      </c>
      <c r="H325" s="70" t="s">
        <v>3365</v>
      </c>
      <c r="I325" s="70" t="s">
        <v>3366</v>
      </c>
      <c r="J325" s="70" t="s">
        <v>1391</v>
      </c>
      <c r="K325" s="70" t="s">
        <v>1263</v>
      </c>
      <c r="L325" s="70"/>
      <c r="M325" s="70" t="s">
        <v>3367</v>
      </c>
      <c r="N325" s="70"/>
      <c r="O325" s="70" t="s">
        <v>1792</v>
      </c>
      <c r="P325" s="70"/>
      <c r="Q325" s="69">
        <v>27655636</v>
      </c>
      <c r="R325" s="70"/>
      <c r="S325" s="70" t="s">
        <v>1794</v>
      </c>
      <c r="T325" s="70"/>
      <c r="U325" s="70" t="s">
        <v>3368</v>
      </c>
      <c r="V325" s="70"/>
    </row>
    <row r="326" spans="1:22" ht="15.75" customHeight="1">
      <c r="A326" s="66">
        <v>38361</v>
      </c>
      <c r="B326" s="67">
        <f t="shared" ca="1" si="2"/>
        <v>21.409873095509887</v>
      </c>
      <c r="C326" s="68" t="str">
        <f t="shared" ca="1" si="3"/>
        <v>21 years, 4 months</v>
      </c>
      <c r="D326" s="69">
        <v>9449307520</v>
      </c>
      <c r="E326" s="69">
        <v>20050109</v>
      </c>
      <c r="F326" s="70"/>
      <c r="G326" s="70" t="s">
        <v>3369</v>
      </c>
      <c r="H326" s="70"/>
      <c r="I326" s="70" t="s">
        <v>3370</v>
      </c>
      <c r="J326" s="70" t="s">
        <v>1422</v>
      </c>
      <c r="K326" s="70" t="s">
        <v>2016</v>
      </c>
      <c r="L326" s="70"/>
      <c r="M326" s="70" t="s">
        <v>3371</v>
      </c>
      <c r="N326" s="70" t="s">
        <v>2055</v>
      </c>
      <c r="O326" s="70" t="s">
        <v>1807</v>
      </c>
      <c r="P326" s="70" t="s">
        <v>1793</v>
      </c>
      <c r="Q326" s="69">
        <v>7363113</v>
      </c>
      <c r="R326" s="70"/>
      <c r="S326" s="70" t="s">
        <v>1794</v>
      </c>
      <c r="T326" s="70"/>
      <c r="U326" s="70" t="s">
        <v>3372</v>
      </c>
      <c r="V326" s="70"/>
    </row>
    <row r="327" spans="1:22" ht="15.75" customHeight="1">
      <c r="A327" s="66">
        <v>38473</v>
      </c>
      <c r="B327" s="67">
        <f t="shared" ca="1" si="2"/>
        <v>21.103023780441397</v>
      </c>
      <c r="C327" s="68" t="str">
        <f t="shared" ca="1" si="3"/>
        <v>21 years, 1 months</v>
      </c>
      <c r="D327" s="69">
        <v>9449304181</v>
      </c>
      <c r="E327" s="69">
        <v>20050501</v>
      </c>
      <c r="F327" s="70"/>
      <c r="G327" s="70" t="s">
        <v>3373</v>
      </c>
      <c r="H327" s="70" t="s">
        <v>3374</v>
      </c>
      <c r="I327" s="70" t="s">
        <v>3375</v>
      </c>
      <c r="J327" s="70" t="s">
        <v>1391</v>
      </c>
      <c r="K327" s="70" t="s">
        <v>1263</v>
      </c>
      <c r="L327" s="70"/>
      <c r="M327" s="70" t="s">
        <v>3376</v>
      </c>
      <c r="N327" s="70"/>
      <c r="O327" s="70" t="s">
        <v>1792</v>
      </c>
      <c r="P327" s="70" t="s">
        <v>1793</v>
      </c>
      <c r="Q327" s="69">
        <v>24913250</v>
      </c>
      <c r="R327" s="70"/>
      <c r="S327" s="70" t="s">
        <v>1794</v>
      </c>
      <c r="T327" s="70"/>
      <c r="U327" s="70" t="s">
        <v>3377</v>
      </c>
      <c r="V327" s="70"/>
    </row>
    <row r="328" spans="1:22" ht="15.75" customHeight="1">
      <c r="A328" s="66">
        <v>38475</v>
      </c>
      <c r="B328" s="67">
        <f t="shared" ca="1" si="2"/>
        <v>21.097544328386601</v>
      </c>
      <c r="C328" s="68" t="str">
        <f t="shared" ca="1" si="3"/>
        <v>21 years, 1 months</v>
      </c>
      <c r="D328" s="69">
        <v>9449309116</v>
      </c>
      <c r="E328" s="69">
        <v>20050503</v>
      </c>
      <c r="F328" s="70"/>
      <c r="G328" s="70" t="s">
        <v>3378</v>
      </c>
      <c r="H328" s="70" t="s">
        <v>3379</v>
      </c>
      <c r="I328" s="70" t="s">
        <v>3380</v>
      </c>
      <c r="J328" s="70" t="s">
        <v>1391</v>
      </c>
      <c r="K328" s="70" t="s">
        <v>1263</v>
      </c>
      <c r="L328" s="70"/>
      <c r="M328" s="70" t="s">
        <v>3381</v>
      </c>
      <c r="N328" s="70"/>
      <c r="O328" s="70" t="s">
        <v>1862</v>
      </c>
      <c r="P328" s="70" t="s">
        <v>1793</v>
      </c>
      <c r="Q328" s="69">
        <v>24682053</v>
      </c>
      <c r="R328" s="70"/>
      <c r="S328" s="70" t="s">
        <v>1794</v>
      </c>
      <c r="T328" s="70"/>
      <c r="U328" s="70" t="s">
        <v>3382</v>
      </c>
      <c r="V328" s="70"/>
    </row>
    <row r="329" spans="1:22" ht="15.75" customHeight="1">
      <c r="A329" s="66">
        <v>38491</v>
      </c>
      <c r="B329" s="67">
        <f t="shared" ca="1" si="2"/>
        <v>21.053708711948246</v>
      </c>
      <c r="C329" s="68" t="str">
        <f t="shared" ca="1" si="3"/>
        <v>21 years, 0 months</v>
      </c>
      <c r="D329" s="69">
        <v>9449309442</v>
      </c>
      <c r="E329" s="69">
        <v>20050519</v>
      </c>
      <c r="F329" s="70"/>
      <c r="G329" s="70" t="s">
        <v>3383</v>
      </c>
      <c r="H329" s="70"/>
      <c r="I329" s="70" t="s">
        <v>3384</v>
      </c>
      <c r="J329" s="70" t="s">
        <v>1422</v>
      </c>
      <c r="K329" s="70" t="s">
        <v>1285</v>
      </c>
      <c r="L329" s="70" t="s">
        <v>3385</v>
      </c>
      <c r="M329" s="70" t="s">
        <v>2043</v>
      </c>
      <c r="N329" s="70"/>
      <c r="O329" s="70" t="s">
        <v>1862</v>
      </c>
      <c r="P329" s="70" t="s">
        <v>1793</v>
      </c>
      <c r="Q329" s="69">
        <v>25381597</v>
      </c>
      <c r="R329" s="70"/>
      <c r="S329" s="70" t="s">
        <v>1794</v>
      </c>
      <c r="T329" s="70"/>
      <c r="U329" s="70" t="s">
        <v>2044</v>
      </c>
      <c r="V329" s="70"/>
    </row>
    <row r="330" spans="1:22" ht="15.75" customHeight="1">
      <c r="A330" s="66">
        <v>38507</v>
      </c>
      <c r="B330" s="67">
        <f t="shared" ca="1" si="2"/>
        <v>21.009873095509889</v>
      </c>
      <c r="C330" s="68" t="str">
        <f t="shared" ca="1" si="3"/>
        <v>21 years, 0 months</v>
      </c>
      <c r="D330" s="69">
        <v>9449303916</v>
      </c>
      <c r="E330" s="69">
        <v>20050604</v>
      </c>
      <c r="F330" s="70"/>
      <c r="G330" s="70" t="s">
        <v>3386</v>
      </c>
      <c r="H330" s="70" t="s">
        <v>3387</v>
      </c>
      <c r="I330" s="70" t="s">
        <v>3388</v>
      </c>
      <c r="J330" s="70" t="s">
        <v>1391</v>
      </c>
      <c r="K330" s="70" t="s">
        <v>1263</v>
      </c>
      <c r="L330" s="70"/>
      <c r="M330" s="70" t="s">
        <v>3389</v>
      </c>
      <c r="N330" s="70"/>
      <c r="O330" s="70" t="s">
        <v>1819</v>
      </c>
      <c r="P330" s="70" t="s">
        <v>1793</v>
      </c>
      <c r="Q330" s="69">
        <v>7296123</v>
      </c>
      <c r="R330" s="70"/>
      <c r="S330" s="70" t="s">
        <v>1794</v>
      </c>
      <c r="T330" s="70"/>
      <c r="U330" s="70" t="s">
        <v>3390</v>
      </c>
      <c r="V330" s="70"/>
    </row>
    <row r="331" spans="1:22" ht="15.75" customHeight="1">
      <c r="A331" s="66">
        <v>38512</v>
      </c>
      <c r="B331" s="67">
        <f t="shared" ca="1" si="2"/>
        <v>20.996174465372903</v>
      </c>
      <c r="C331" s="68" t="str">
        <f t="shared" ca="1" si="3"/>
        <v>20 years, 11 months</v>
      </c>
      <c r="D331" s="69">
        <v>9449305439</v>
      </c>
      <c r="E331" s="69">
        <v>20050609</v>
      </c>
      <c r="F331" s="70"/>
      <c r="G331" s="70" t="s">
        <v>3391</v>
      </c>
      <c r="H331" s="70" t="s">
        <v>3392</v>
      </c>
      <c r="I331" s="70" t="s">
        <v>3393</v>
      </c>
      <c r="J331" s="70" t="s">
        <v>1391</v>
      </c>
      <c r="K331" s="70" t="s">
        <v>1263</v>
      </c>
      <c r="L331" s="70"/>
      <c r="M331" s="70" t="s">
        <v>3394</v>
      </c>
      <c r="N331" s="70"/>
      <c r="O331" s="70" t="s">
        <v>1800</v>
      </c>
      <c r="P331" s="70" t="s">
        <v>1793</v>
      </c>
      <c r="Q331" s="69">
        <v>7337616</v>
      </c>
      <c r="R331" s="70"/>
      <c r="S331" s="70" t="s">
        <v>1794</v>
      </c>
      <c r="T331" s="70"/>
      <c r="U331" s="70" t="s">
        <v>3395</v>
      </c>
      <c r="V331" s="70"/>
    </row>
    <row r="332" spans="1:22" ht="15.75" customHeight="1">
      <c r="A332" s="66">
        <v>38528</v>
      </c>
      <c r="B332" s="67">
        <f t="shared" ca="1" si="2"/>
        <v>20.952338848934545</v>
      </c>
      <c r="C332" s="68" t="str">
        <f t="shared" ca="1" si="3"/>
        <v>20 years, 11 months</v>
      </c>
      <c r="D332" s="69">
        <v>9449304815</v>
      </c>
      <c r="E332" s="69">
        <v>20050625</v>
      </c>
      <c r="F332" s="70"/>
      <c r="G332" s="70" t="s">
        <v>3396</v>
      </c>
      <c r="H332" s="70" t="s">
        <v>3397</v>
      </c>
      <c r="I332" s="70" t="s">
        <v>3398</v>
      </c>
      <c r="J332" s="70" t="s">
        <v>1422</v>
      </c>
      <c r="K332" s="70" t="s">
        <v>1932</v>
      </c>
      <c r="L332" s="70"/>
      <c r="M332" s="70" t="s">
        <v>3399</v>
      </c>
      <c r="N332" s="70"/>
      <c r="O332" s="70" t="s">
        <v>1800</v>
      </c>
      <c r="P332" s="70" t="s">
        <v>1793</v>
      </c>
      <c r="Q332" s="69">
        <v>17349477</v>
      </c>
      <c r="R332" s="70"/>
      <c r="S332" s="70" t="s">
        <v>1794</v>
      </c>
      <c r="T332" s="70"/>
      <c r="U332" s="70" t="s">
        <v>3400</v>
      </c>
      <c r="V332" s="70"/>
    </row>
    <row r="333" spans="1:22" ht="15.75" customHeight="1">
      <c r="A333" s="66">
        <v>38548</v>
      </c>
      <c r="B333" s="67">
        <f t="shared" ca="1" si="2"/>
        <v>20.897544328386601</v>
      </c>
      <c r="C333" s="68" t="str">
        <f t="shared" ca="1" si="3"/>
        <v>20 years, 10 months</v>
      </c>
      <c r="D333" s="69">
        <v>9449305455</v>
      </c>
      <c r="E333" s="69">
        <v>20050715</v>
      </c>
      <c r="F333" s="70"/>
      <c r="G333" s="70" t="s">
        <v>3401</v>
      </c>
      <c r="H333" s="70" t="s">
        <v>3402</v>
      </c>
      <c r="I333" s="70" t="s">
        <v>3403</v>
      </c>
      <c r="J333" s="70" t="s">
        <v>1391</v>
      </c>
      <c r="K333" s="70" t="s">
        <v>1263</v>
      </c>
      <c r="L333" s="70"/>
      <c r="M333" s="70" t="s">
        <v>3404</v>
      </c>
      <c r="N333" s="70"/>
      <c r="O333" s="70" t="s">
        <v>1800</v>
      </c>
      <c r="P333" s="70" t="s">
        <v>1793</v>
      </c>
      <c r="Q333" s="69">
        <v>7338703</v>
      </c>
      <c r="R333" s="70"/>
      <c r="S333" s="70" t="s">
        <v>1794</v>
      </c>
      <c r="T333" s="70"/>
      <c r="U333" s="70" t="s">
        <v>3405</v>
      </c>
      <c r="V333" s="70"/>
    </row>
    <row r="334" spans="1:22" ht="15.75" customHeight="1">
      <c r="A334" s="66">
        <v>38559</v>
      </c>
      <c r="B334" s="67">
        <f t="shared" ca="1" si="2"/>
        <v>20.86740734208523</v>
      </c>
      <c r="C334" s="68" t="str">
        <f t="shared" ca="1" si="3"/>
        <v>20 years, 10 months</v>
      </c>
      <c r="D334" s="69">
        <v>9449306729</v>
      </c>
      <c r="E334" s="69">
        <v>20050726</v>
      </c>
      <c r="F334" s="70"/>
      <c r="G334" s="70" t="s">
        <v>3406</v>
      </c>
      <c r="H334" s="70" t="s">
        <v>3407</v>
      </c>
      <c r="I334" s="70" t="s">
        <v>3408</v>
      </c>
      <c r="J334" s="70" t="s">
        <v>1391</v>
      </c>
      <c r="K334" s="70" t="s">
        <v>1263</v>
      </c>
      <c r="L334" s="70"/>
      <c r="M334" s="70" t="s">
        <v>3409</v>
      </c>
      <c r="N334" s="70"/>
      <c r="O334" s="70" t="s">
        <v>1834</v>
      </c>
      <c r="P334" s="70" t="s">
        <v>1793</v>
      </c>
      <c r="Q334" s="69">
        <v>25830338</v>
      </c>
      <c r="R334" s="70"/>
      <c r="S334" s="70" t="s">
        <v>1794</v>
      </c>
      <c r="T334" s="70"/>
      <c r="U334" s="70" t="s">
        <v>3410</v>
      </c>
      <c r="V334" s="70"/>
    </row>
    <row r="335" spans="1:22" ht="15.75" customHeight="1">
      <c r="A335" s="66">
        <v>38582</v>
      </c>
      <c r="B335" s="67">
        <f t="shared" ca="1" si="2"/>
        <v>20.804393643455093</v>
      </c>
      <c r="C335" s="68" t="str">
        <f t="shared" ca="1" si="3"/>
        <v>20 years, 9 months</v>
      </c>
      <c r="D335" s="69">
        <v>9449303843</v>
      </c>
      <c r="E335" s="69">
        <v>20050818</v>
      </c>
      <c r="F335" s="70"/>
      <c r="G335" s="70" t="s">
        <v>3411</v>
      </c>
      <c r="H335" s="70" t="s">
        <v>3412</v>
      </c>
      <c r="I335" s="70" t="s">
        <v>3413</v>
      </c>
      <c r="J335" s="70" t="s">
        <v>1391</v>
      </c>
      <c r="K335" s="70" t="s">
        <v>1263</v>
      </c>
      <c r="L335" s="70"/>
      <c r="M335" s="70" t="s">
        <v>3414</v>
      </c>
      <c r="N335" s="70"/>
      <c r="O335" s="70" t="s">
        <v>1819</v>
      </c>
      <c r="P335" s="70" t="s">
        <v>1793</v>
      </c>
      <c r="Q335" s="69">
        <v>7295504</v>
      </c>
      <c r="R335" s="70"/>
      <c r="S335" s="70" t="s">
        <v>1794</v>
      </c>
      <c r="T335" s="70"/>
      <c r="U335" s="70" t="s">
        <v>3415</v>
      </c>
      <c r="V335" s="70"/>
    </row>
    <row r="336" spans="1:22" ht="15.75" customHeight="1">
      <c r="A336" s="66">
        <v>38609</v>
      </c>
      <c r="B336" s="67">
        <f t="shared" ca="1" si="2"/>
        <v>20.730421040715367</v>
      </c>
      <c r="C336" s="68" t="str">
        <f t="shared" ca="1" si="3"/>
        <v>20 years, 8 months</v>
      </c>
      <c r="D336" s="69">
        <v>9449303959</v>
      </c>
      <c r="E336" s="69">
        <v>20050914</v>
      </c>
      <c r="F336" s="70"/>
      <c r="G336" s="70" t="s">
        <v>3416</v>
      </c>
      <c r="H336" s="70"/>
      <c r="I336" s="70" t="s">
        <v>3417</v>
      </c>
      <c r="J336" s="70" t="s">
        <v>1422</v>
      </c>
      <c r="K336" s="70" t="s">
        <v>1285</v>
      </c>
      <c r="L336" s="70"/>
      <c r="M336" s="70" t="s">
        <v>3418</v>
      </c>
      <c r="N336" s="70"/>
      <c r="O336" s="70" t="s">
        <v>1792</v>
      </c>
      <c r="P336" s="70" t="s">
        <v>1793</v>
      </c>
      <c r="Q336" s="69">
        <v>20166864</v>
      </c>
      <c r="R336" s="70"/>
      <c r="S336" s="70" t="s">
        <v>1794</v>
      </c>
      <c r="T336" s="70"/>
      <c r="U336" s="70" t="s">
        <v>3419</v>
      </c>
      <c r="V336" s="70"/>
    </row>
    <row r="337" spans="1:22" ht="15.75" customHeight="1">
      <c r="A337" s="66">
        <v>38632</v>
      </c>
      <c r="B337" s="67">
        <f t="shared" ca="1" si="2"/>
        <v>20.66740734208523</v>
      </c>
      <c r="C337" s="68" t="str">
        <f t="shared" ca="1" si="3"/>
        <v>20 years, 8 months</v>
      </c>
      <c r="D337" s="69">
        <v>9449307849</v>
      </c>
      <c r="E337" s="69">
        <v>20051007</v>
      </c>
      <c r="F337" s="70"/>
      <c r="G337" s="70" t="s">
        <v>3420</v>
      </c>
      <c r="H337" s="70" t="s">
        <v>3421</v>
      </c>
      <c r="I337" s="70" t="s">
        <v>3422</v>
      </c>
      <c r="J337" s="70" t="s">
        <v>1422</v>
      </c>
      <c r="K337" s="70" t="s">
        <v>1285</v>
      </c>
      <c r="L337" s="70" t="s">
        <v>3423</v>
      </c>
      <c r="M337" s="70" t="s">
        <v>3424</v>
      </c>
      <c r="N337" s="70" t="s">
        <v>1973</v>
      </c>
      <c r="O337" s="70" t="s">
        <v>1807</v>
      </c>
      <c r="P337" s="70" t="s">
        <v>1793</v>
      </c>
      <c r="Q337" s="69">
        <v>17364173</v>
      </c>
      <c r="R337" s="70"/>
      <c r="S337" s="70" t="s">
        <v>1794</v>
      </c>
      <c r="T337" s="70"/>
      <c r="U337" s="70" t="s">
        <v>3425</v>
      </c>
      <c r="V337" s="70"/>
    </row>
    <row r="338" spans="1:22" ht="15.75" customHeight="1">
      <c r="A338" s="66">
        <v>38659</v>
      </c>
      <c r="B338" s="67">
        <f t="shared" ca="1" si="2"/>
        <v>20.593434739345504</v>
      </c>
      <c r="C338" s="68" t="str">
        <f t="shared" ca="1" si="3"/>
        <v>20 years, 7 months</v>
      </c>
      <c r="D338" s="69">
        <v>9449304718</v>
      </c>
      <c r="E338" s="69">
        <v>20051103</v>
      </c>
      <c r="F338" s="70"/>
      <c r="G338" s="70" t="s">
        <v>3426</v>
      </c>
      <c r="H338" s="70" t="s">
        <v>3427</v>
      </c>
      <c r="I338" s="70" t="s">
        <v>3428</v>
      </c>
      <c r="J338" s="70" t="s">
        <v>1391</v>
      </c>
      <c r="K338" s="70" t="s">
        <v>1263</v>
      </c>
      <c r="L338" s="70"/>
      <c r="M338" s="70" t="s">
        <v>3429</v>
      </c>
      <c r="N338" s="70"/>
      <c r="O338" s="70" t="s">
        <v>1800</v>
      </c>
      <c r="P338" s="70" t="s">
        <v>1793</v>
      </c>
      <c r="Q338" s="69">
        <v>7330791</v>
      </c>
      <c r="R338" s="70"/>
      <c r="S338" s="70" t="s">
        <v>1794</v>
      </c>
      <c r="T338" s="70"/>
      <c r="U338" s="70" t="s">
        <v>3430</v>
      </c>
      <c r="V338" s="70"/>
    </row>
    <row r="339" spans="1:22" ht="15.75" customHeight="1">
      <c r="A339" s="66">
        <v>38705</v>
      </c>
      <c r="B339" s="67">
        <f t="shared" ca="1" si="2"/>
        <v>20.467407342085231</v>
      </c>
      <c r="C339" s="68" t="str">
        <f t="shared" ca="1" si="3"/>
        <v>20 years, 5 months</v>
      </c>
      <c r="D339" s="69">
        <v>9449307873</v>
      </c>
      <c r="E339" s="69">
        <v>20051219</v>
      </c>
      <c r="F339" s="70"/>
      <c r="G339" s="70" t="s">
        <v>3431</v>
      </c>
      <c r="H339" s="70" t="s">
        <v>3432</v>
      </c>
      <c r="I339" s="70" t="s">
        <v>3433</v>
      </c>
      <c r="J339" s="70" t="s">
        <v>1422</v>
      </c>
      <c r="K339" s="70" t="s">
        <v>1285</v>
      </c>
      <c r="L339" s="70"/>
      <c r="M339" s="70" t="s">
        <v>3434</v>
      </c>
      <c r="N339" s="70"/>
      <c r="O339" s="70" t="s">
        <v>1812</v>
      </c>
      <c r="P339" s="70" t="s">
        <v>1793</v>
      </c>
      <c r="Q339" s="69">
        <v>27695970</v>
      </c>
      <c r="R339" s="70"/>
      <c r="S339" s="70" t="s">
        <v>1794</v>
      </c>
      <c r="T339" s="70"/>
      <c r="U339" s="70" t="s">
        <v>3435</v>
      </c>
      <c r="V339" s="70"/>
    </row>
    <row r="340" spans="1:22" ht="15.75" customHeight="1">
      <c r="A340" s="66">
        <v>38707</v>
      </c>
      <c r="B340" s="67">
        <f t="shared" ca="1" si="2"/>
        <v>20.461927890030438</v>
      </c>
      <c r="C340" s="68" t="str">
        <f t="shared" ca="1" si="3"/>
        <v>20 years, 5 months</v>
      </c>
      <c r="D340" s="69">
        <v>9449305072</v>
      </c>
      <c r="E340" s="69">
        <v>20051221</v>
      </c>
      <c r="F340" s="70"/>
      <c r="G340" s="70" t="s">
        <v>1888</v>
      </c>
      <c r="H340" s="70" t="s">
        <v>3436</v>
      </c>
      <c r="I340" s="70" t="s">
        <v>3437</v>
      </c>
      <c r="J340" s="70" t="s">
        <v>1391</v>
      </c>
      <c r="K340" s="70" t="s">
        <v>1263</v>
      </c>
      <c r="L340" s="70"/>
      <c r="M340" s="70" t="s">
        <v>3438</v>
      </c>
      <c r="N340" s="70"/>
      <c r="O340" s="70" t="s">
        <v>1800</v>
      </c>
      <c r="P340" s="70" t="s">
        <v>1793</v>
      </c>
      <c r="Q340" s="69">
        <v>7333418</v>
      </c>
      <c r="R340" s="70"/>
      <c r="S340" s="70" t="s">
        <v>1794</v>
      </c>
      <c r="T340" s="70"/>
      <c r="U340" s="70" t="s">
        <v>3439</v>
      </c>
      <c r="V340" s="70"/>
    </row>
    <row r="341" spans="1:22" ht="15.75" customHeight="1">
      <c r="A341" s="66">
        <v>38825</v>
      </c>
      <c r="B341" s="67">
        <f t="shared" ca="1" si="2"/>
        <v>20.138640218797558</v>
      </c>
      <c r="C341" s="68" t="str">
        <f t="shared" ca="1" si="3"/>
        <v>20 years, 1 months</v>
      </c>
      <c r="D341" s="69">
        <v>9449305676</v>
      </c>
      <c r="E341" s="69">
        <v>20060418</v>
      </c>
      <c r="F341" s="70"/>
      <c r="G341" s="70" t="s">
        <v>2265</v>
      </c>
      <c r="H341" s="70"/>
      <c r="I341" s="70" t="s">
        <v>3440</v>
      </c>
      <c r="J341" s="70" t="s">
        <v>1314</v>
      </c>
      <c r="K341" s="70" t="s">
        <v>1263</v>
      </c>
      <c r="L341" s="70"/>
      <c r="M341" s="70" t="s">
        <v>3441</v>
      </c>
      <c r="N341" s="70"/>
      <c r="O341" s="70" t="s">
        <v>1800</v>
      </c>
      <c r="P341" s="70" t="s">
        <v>1793</v>
      </c>
      <c r="Q341" s="69">
        <v>7340289</v>
      </c>
      <c r="R341" s="70"/>
      <c r="S341" s="70" t="s">
        <v>1794</v>
      </c>
      <c r="T341" s="70"/>
      <c r="U341" s="70" t="s">
        <v>3442</v>
      </c>
      <c r="V341" s="70"/>
    </row>
    <row r="342" spans="1:22" ht="15.75" customHeight="1">
      <c r="A342" s="66">
        <v>38825</v>
      </c>
      <c r="B342" s="67">
        <f t="shared" ca="1" si="2"/>
        <v>20.138640218797558</v>
      </c>
      <c r="C342" s="68" t="str">
        <f t="shared" ca="1" si="3"/>
        <v>20 years, 1 months</v>
      </c>
      <c r="D342" s="69">
        <v>9449307164</v>
      </c>
      <c r="E342" s="69">
        <v>20060418</v>
      </c>
      <c r="F342" s="70"/>
      <c r="G342" s="70" t="s">
        <v>3443</v>
      </c>
      <c r="H342" s="70" t="s">
        <v>3444</v>
      </c>
      <c r="I342" s="70" t="s">
        <v>2124</v>
      </c>
      <c r="J342" s="70" t="s">
        <v>1422</v>
      </c>
      <c r="K342" s="70" t="s">
        <v>1285</v>
      </c>
      <c r="L342" s="70"/>
      <c r="M342" s="70" t="s">
        <v>3445</v>
      </c>
      <c r="N342" s="70"/>
      <c r="O342" s="70" t="s">
        <v>1807</v>
      </c>
      <c r="P342" s="70" t="s">
        <v>1793</v>
      </c>
      <c r="Q342" s="69">
        <v>7360859</v>
      </c>
      <c r="R342" s="70"/>
      <c r="S342" s="70" t="s">
        <v>1794</v>
      </c>
      <c r="T342" s="70"/>
      <c r="U342" s="70" t="s">
        <v>3446</v>
      </c>
      <c r="V342" s="70"/>
    </row>
    <row r="343" spans="1:22" ht="15.75" customHeight="1">
      <c r="A343" s="66">
        <v>38839</v>
      </c>
      <c r="B343" s="67">
        <f t="shared" ca="1" si="2"/>
        <v>20.100284054413997</v>
      </c>
      <c r="C343" s="68" t="str">
        <f t="shared" ca="1" si="3"/>
        <v>20 years, 1 months</v>
      </c>
      <c r="D343" s="69">
        <v>9449307229</v>
      </c>
      <c r="E343" s="69">
        <v>20060502</v>
      </c>
      <c r="F343" s="70"/>
      <c r="G343" s="70" t="s">
        <v>3447</v>
      </c>
      <c r="H343" s="70" t="s">
        <v>3448</v>
      </c>
      <c r="I343" s="70" t="s">
        <v>3449</v>
      </c>
      <c r="J343" s="70" t="s">
        <v>1391</v>
      </c>
      <c r="K343" s="70" t="s">
        <v>1263</v>
      </c>
      <c r="L343" s="70"/>
      <c r="M343" s="70" t="s">
        <v>3450</v>
      </c>
      <c r="N343" s="70"/>
      <c r="O343" s="70" t="s">
        <v>1807</v>
      </c>
      <c r="P343" s="70" t="s">
        <v>1793</v>
      </c>
      <c r="Q343" s="69">
        <v>7361349</v>
      </c>
      <c r="R343" s="70"/>
      <c r="S343" s="70" t="s">
        <v>1794</v>
      </c>
      <c r="T343" s="70"/>
      <c r="U343" s="70" t="s">
        <v>3451</v>
      </c>
      <c r="V343" s="70"/>
    </row>
    <row r="344" spans="1:22" ht="15.75" customHeight="1">
      <c r="A344" s="66">
        <v>38919</v>
      </c>
      <c r="B344" s="67">
        <f t="shared" ca="1" si="2"/>
        <v>19.881105972222219</v>
      </c>
      <c r="C344" s="68" t="str">
        <f t="shared" ca="1" si="3"/>
        <v>19 years, 10 months</v>
      </c>
      <c r="D344" s="69">
        <v>9449305358</v>
      </c>
      <c r="E344" s="69">
        <v>20060721</v>
      </c>
      <c r="F344" s="70"/>
      <c r="G344" s="70" t="s">
        <v>3452</v>
      </c>
      <c r="H344" s="70" t="s">
        <v>3453</v>
      </c>
      <c r="I344" s="70" t="s">
        <v>3454</v>
      </c>
      <c r="J344" s="70" t="s">
        <v>1422</v>
      </c>
      <c r="K344" s="70" t="s">
        <v>1285</v>
      </c>
      <c r="L344" s="70"/>
      <c r="M344" s="70" t="s">
        <v>3455</v>
      </c>
      <c r="N344" s="70"/>
      <c r="O344" s="70" t="s">
        <v>1800</v>
      </c>
      <c r="P344" s="70"/>
      <c r="Q344" s="69">
        <v>23376099</v>
      </c>
      <c r="R344" s="70"/>
      <c r="S344" s="70" t="s">
        <v>1794</v>
      </c>
      <c r="T344" s="70"/>
      <c r="U344" s="70" t="s">
        <v>3456</v>
      </c>
      <c r="V344" s="70"/>
    </row>
    <row r="345" spans="1:22" ht="15.75" customHeight="1">
      <c r="A345" s="66">
        <v>38924</v>
      </c>
      <c r="B345" s="67">
        <f t="shared" ca="1" si="2"/>
        <v>19.86740734208523</v>
      </c>
      <c r="C345" s="68" t="str">
        <f t="shared" ca="1" si="3"/>
        <v>19 years, 10 months</v>
      </c>
      <c r="D345" s="69">
        <v>9449306060</v>
      </c>
      <c r="E345" s="69">
        <v>20060726</v>
      </c>
      <c r="F345" s="70"/>
      <c r="G345" s="70" t="s">
        <v>3457</v>
      </c>
      <c r="H345" s="70" t="s">
        <v>3458</v>
      </c>
      <c r="I345" s="70" t="s">
        <v>3459</v>
      </c>
      <c r="J345" s="70" t="s">
        <v>1391</v>
      </c>
      <c r="K345" s="70" t="s">
        <v>1932</v>
      </c>
      <c r="L345" s="70"/>
      <c r="M345" s="70" t="s">
        <v>3460</v>
      </c>
      <c r="N345" s="70"/>
      <c r="O345" s="70" t="s">
        <v>1800</v>
      </c>
      <c r="P345" s="70" t="s">
        <v>1793</v>
      </c>
      <c r="Q345" s="69">
        <v>7345455</v>
      </c>
      <c r="R345" s="70"/>
      <c r="S345" s="70" t="s">
        <v>1794</v>
      </c>
      <c r="T345" s="70"/>
      <c r="U345" s="70" t="s">
        <v>3461</v>
      </c>
      <c r="V345" s="70"/>
    </row>
    <row r="346" spans="1:22" ht="15.75" customHeight="1">
      <c r="A346" s="66">
        <v>38941</v>
      </c>
      <c r="B346" s="67">
        <f t="shared" ca="1" si="2"/>
        <v>19.820831999619479</v>
      </c>
      <c r="C346" s="68" t="str">
        <f t="shared" ca="1" si="3"/>
        <v>19 years, 9 months</v>
      </c>
      <c r="D346" s="69">
        <v>9449307660</v>
      </c>
      <c r="E346" s="69">
        <v>20060812</v>
      </c>
      <c r="F346" s="70"/>
      <c r="G346" s="70" t="s">
        <v>3462</v>
      </c>
      <c r="H346" s="70"/>
      <c r="I346" s="70" t="s">
        <v>3463</v>
      </c>
      <c r="J346" s="70" t="s">
        <v>1391</v>
      </c>
      <c r="K346" s="70" t="s">
        <v>1263</v>
      </c>
      <c r="L346" s="70" t="s">
        <v>3464</v>
      </c>
      <c r="M346" s="70" t="s">
        <v>3465</v>
      </c>
      <c r="N346" s="70" t="s">
        <v>1973</v>
      </c>
      <c r="O346" s="70" t="s">
        <v>1807</v>
      </c>
      <c r="P346" s="70" t="s">
        <v>1793</v>
      </c>
      <c r="Q346" s="69">
        <v>20171121</v>
      </c>
      <c r="R346" s="70"/>
      <c r="S346" s="70" t="s">
        <v>1794</v>
      </c>
      <c r="T346" s="70"/>
      <c r="U346" s="70" t="s">
        <v>3466</v>
      </c>
      <c r="V346" s="70"/>
    </row>
    <row r="347" spans="1:22" ht="15.75" customHeight="1">
      <c r="A347" s="66">
        <v>38988</v>
      </c>
      <c r="B347" s="67">
        <f t="shared" ca="1" si="2"/>
        <v>19.692064876331806</v>
      </c>
      <c r="C347" s="68" t="str">
        <f t="shared" ca="1" si="3"/>
        <v>19 years, 8 months</v>
      </c>
      <c r="D347" s="69">
        <v>9449303533</v>
      </c>
      <c r="E347" s="69">
        <v>20060928</v>
      </c>
      <c r="F347" s="70"/>
      <c r="G347" s="70" t="s">
        <v>3467</v>
      </c>
      <c r="H347" s="70"/>
      <c r="I347" s="70" t="s">
        <v>3468</v>
      </c>
      <c r="J347" s="70" t="s">
        <v>1422</v>
      </c>
      <c r="K347" s="70" t="s">
        <v>1285</v>
      </c>
      <c r="L347" s="70" t="s">
        <v>3469</v>
      </c>
      <c r="M347" s="70" t="s">
        <v>3470</v>
      </c>
      <c r="N347" s="70" t="s">
        <v>2079</v>
      </c>
      <c r="O347" s="70" t="s">
        <v>1845</v>
      </c>
      <c r="P347" s="70"/>
      <c r="Q347" s="69">
        <v>21852494</v>
      </c>
      <c r="R347" s="70"/>
      <c r="S347" s="70" t="s">
        <v>1794</v>
      </c>
      <c r="T347" s="70"/>
      <c r="U347" s="70" t="s">
        <v>3471</v>
      </c>
      <c r="V347" s="70"/>
    </row>
    <row r="348" spans="1:22" ht="15.75" customHeight="1">
      <c r="A348" s="66">
        <v>38998</v>
      </c>
      <c r="B348" s="67">
        <f t="shared" ca="1" si="2"/>
        <v>19.664667616057834</v>
      </c>
      <c r="C348" s="68" t="str">
        <f t="shared" ca="1" si="3"/>
        <v>19 years, 7 months</v>
      </c>
      <c r="D348" s="69">
        <v>9449306486</v>
      </c>
      <c r="E348" s="69">
        <v>20061008</v>
      </c>
      <c r="F348" s="70"/>
      <c r="G348" s="70" t="s">
        <v>3472</v>
      </c>
      <c r="H348" s="70" t="s">
        <v>3473</v>
      </c>
      <c r="I348" s="70" t="s">
        <v>3474</v>
      </c>
      <c r="J348" s="70" t="s">
        <v>1422</v>
      </c>
      <c r="K348" s="70" t="s">
        <v>1285</v>
      </c>
      <c r="L348" s="70"/>
      <c r="M348" s="70" t="s">
        <v>3475</v>
      </c>
      <c r="N348" s="70" t="s">
        <v>3476</v>
      </c>
      <c r="O348" s="70" t="s">
        <v>1906</v>
      </c>
      <c r="P348" s="70" t="s">
        <v>1793</v>
      </c>
      <c r="Q348" s="69">
        <v>7355461</v>
      </c>
      <c r="R348" s="70"/>
      <c r="S348" s="70" t="s">
        <v>1794</v>
      </c>
      <c r="T348" s="70"/>
      <c r="U348" s="70" t="s">
        <v>3477</v>
      </c>
      <c r="V348" s="70"/>
    </row>
    <row r="349" spans="1:22" ht="15.75" customHeight="1">
      <c r="A349" s="66">
        <v>39010</v>
      </c>
      <c r="B349" s="67">
        <f t="shared" ca="1" si="2"/>
        <v>19.631790903729065</v>
      </c>
      <c r="C349" s="68" t="str">
        <f t="shared" ca="1" si="3"/>
        <v>19 years, 7 months</v>
      </c>
      <c r="D349" s="69">
        <v>9449304998</v>
      </c>
      <c r="E349" s="69">
        <v>20061020</v>
      </c>
      <c r="F349" s="70"/>
      <c r="G349" s="70" t="s">
        <v>3478</v>
      </c>
      <c r="H349" s="70" t="s">
        <v>3479</v>
      </c>
      <c r="I349" s="70" t="s">
        <v>3480</v>
      </c>
      <c r="J349" s="70" t="s">
        <v>1314</v>
      </c>
      <c r="K349" s="70" t="s">
        <v>1932</v>
      </c>
      <c r="L349" s="70"/>
      <c r="M349" s="70" t="s">
        <v>3481</v>
      </c>
      <c r="N349" s="70"/>
      <c r="O349" s="70" t="s">
        <v>1800</v>
      </c>
      <c r="P349" s="70" t="s">
        <v>1793</v>
      </c>
      <c r="Q349" s="69">
        <v>7333189</v>
      </c>
      <c r="R349" s="70"/>
      <c r="S349" s="70" t="s">
        <v>1794</v>
      </c>
      <c r="T349" s="70"/>
      <c r="U349" s="70" t="s">
        <v>3341</v>
      </c>
      <c r="V349" s="70"/>
    </row>
    <row r="350" spans="1:22" ht="15.75" customHeight="1">
      <c r="A350" s="66">
        <v>39029</v>
      </c>
      <c r="B350" s="67">
        <f t="shared" ca="1" si="2"/>
        <v>19.579736109208518</v>
      </c>
      <c r="C350" s="68" t="str">
        <f t="shared" ca="1" si="3"/>
        <v>19 years, 6 months</v>
      </c>
      <c r="D350" s="69">
        <v>9449304068</v>
      </c>
      <c r="E350" s="69">
        <v>20061108</v>
      </c>
      <c r="F350" s="70"/>
      <c r="G350" s="70" t="s">
        <v>3482</v>
      </c>
      <c r="H350" s="70" t="s">
        <v>3483</v>
      </c>
      <c r="I350" s="70" t="s">
        <v>3484</v>
      </c>
      <c r="J350" s="70" t="s">
        <v>1391</v>
      </c>
      <c r="K350" s="70" t="s">
        <v>1263</v>
      </c>
      <c r="L350" s="70"/>
      <c r="M350" s="70" t="s">
        <v>3485</v>
      </c>
      <c r="N350" s="70"/>
      <c r="O350" s="70" t="s">
        <v>1792</v>
      </c>
      <c r="P350" s="70" t="s">
        <v>1793</v>
      </c>
      <c r="Q350" s="69">
        <v>7298003</v>
      </c>
      <c r="R350" s="70"/>
      <c r="S350" s="70" t="s">
        <v>1794</v>
      </c>
      <c r="T350" s="70"/>
      <c r="U350" s="70" t="s">
        <v>3486</v>
      </c>
      <c r="V350" s="70"/>
    </row>
    <row r="351" spans="1:22" ht="15.75" customHeight="1">
      <c r="A351" s="66">
        <v>39045</v>
      </c>
      <c r="B351" s="67">
        <f t="shared" ca="1" si="2"/>
        <v>19.535900492770164</v>
      </c>
      <c r="C351" s="68" t="str">
        <f t="shared" ca="1" si="3"/>
        <v>19 years, 6 months</v>
      </c>
      <c r="D351" s="69">
        <v>9449308187</v>
      </c>
      <c r="E351" s="69">
        <v>20061124</v>
      </c>
      <c r="F351" s="70"/>
      <c r="G351" s="70" t="s">
        <v>3487</v>
      </c>
      <c r="H351" s="70"/>
      <c r="I351" s="70" t="s">
        <v>3488</v>
      </c>
      <c r="J351" s="70" t="s">
        <v>1391</v>
      </c>
      <c r="K351" s="70" t="s">
        <v>2016</v>
      </c>
      <c r="L351" s="70"/>
      <c r="M351" s="70" t="s">
        <v>3489</v>
      </c>
      <c r="N351" s="70"/>
      <c r="O351" s="70" t="s">
        <v>2132</v>
      </c>
      <c r="P351" s="70" t="s">
        <v>1793</v>
      </c>
      <c r="Q351" s="69">
        <v>7397571</v>
      </c>
      <c r="R351" s="70"/>
      <c r="S351" s="70" t="s">
        <v>1794</v>
      </c>
      <c r="T351" s="70"/>
      <c r="U351" s="70" t="s">
        <v>3490</v>
      </c>
      <c r="V351" s="70"/>
    </row>
    <row r="352" spans="1:22" ht="15.75" customHeight="1">
      <c r="A352" s="66">
        <v>39060</v>
      </c>
      <c r="B352" s="67">
        <f t="shared" ca="1" si="2"/>
        <v>19.494804602359203</v>
      </c>
      <c r="C352" s="68" t="str">
        <f t="shared" ca="1" si="3"/>
        <v>19 years, 5 months</v>
      </c>
      <c r="D352" s="69">
        <v>9449309167</v>
      </c>
      <c r="E352" s="69">
        <v>20061209</v>
      </c>
      <c r="F352" s="70"/>
      <c r="G352" s="70" t="s">
        <v>3491</v>
      </c>
      <c r="H352" s="70"/>
      <c r="I352" s="70" t="s">
        <v>3492</v>
      </c>
      <c r="J352" s="70" t="s">
        <v>1391</v>
      </c>
      <c r="K352" s="70" t="s">
        <v>1263</v>
      </c>
      <c r="L352" s="70" t="s">
        <v>3493</v>
      </c>
      <c r="M352" s="70" t="s">
        <v>3494</v>
      </c>
      <c r="N352" s="70" t="s">
        <v>1861</v>
      </c>
      <c r="O352" s="70" t="s">
        <v>1862</v>
      </c>
      <c r="P352" s="70" t="s">
        <v>1793</v>
      </c>
      <c r="Q352" s="69">
        <v>21450540</v>
      </c>
      <c r="R352" s="70"/>
      <c r="S352" s="70" t="s">
        <v>1794</v>
      </c>
      <c r="T352" s="70"/>
      <c r="U352" s="70" t="s">
        <v>3495</v>
      </c>
      <c r="V352" s="70"/>
    </row>
    <row r="353" spans="1:22" ht="15.75" customHeight="1">
      <c r="A353" s="66">
        <v>39068</v>
      </c>
      <c r="B353" s="67">
        <f t="shared" ca="1" si="2"/>
        <v>19.472886794140027</v>
      </c>
      <c r="C353" s="68" t="str">
        <f t="shared" ca="1" si="3"/>
        <v>19 years, 5 months</v>
      </c>
      <c r="D353" s="69">
        <v>9449305749</v>
      </c>
      <c r="E353" s="69">
        <v>20061217</v>
      </c>
      <c r="F353" s="70"/>
      <c r="G353" s="70" t="s">
        <v>3496</v>
      </c>
      <c r="H353" s="70"/>
      <c r="I353" s="70" t="s">
        <v>3497</v>
      </c>
      <c r="J353" s="70" t="s">
        <v>1422</v>
      </c>
      <c r="K353" s="70" t="s">
        <v>1285</v>
      </c>
      <c r="L353" s="70" t="s">
        <v>3498</v>
      </c>
      <c r="M353" s="70" t="s">
        <v>3499</v>
      </c>
      <c r="N353" s="70"/>
      <c r="O353" s="70" t="s">
        <v>1800</v>
      </c>
      <c r="P353" s="70" t="s">
        <v>1793</v>
      </c>
      <c r="Q353" s="69">
        <v>20169633</v>
      </c>
      <c r="R353" s="70"/>
      <c r="S353" s="70" t="s">
        <v>1794</v>
      </c>
      <c r="T353" s="70"/>
      <c r="U353" s="70" t="s">
        <v>3500</v>
      </c>
      <c r="V353" s="70"/>
    </row>
    <row r="354" spans="1:22" ht="15.75" customHeight="1">
      <c r="A354" s="66">
        <v>39073</v>
      </c>
      <c r="B354" s="67">
        <f t="shared" ca="1" si="2"/>
        <v>19.459188164003038</v>
      </c>
      <c r="C354" s="68" t="str">
        <f t="shared" ca="1" si="3"/>
        <v>19 years, 5 months</v>
      </c>
      <c r="D354" s="69">
        <v>9449304599</v>
      </c>
      <c r="E354" s="69">
        <v>20061222</v>
      </c>
      <c r="F354" s="70"/>
      <c r="G354" s="70" t="s">
        <v>3501</v>
      </c>
      <c r="H354" s="70" t="s">
        <v>3502</v>
      </c>
      <c r="I354" s="70" t="s">
        <v>3503</v>
      </c>
      <c r="J354" s="70" t="s">
        <v>1422</v>
      </c>
      <c r="K354" s="70" t="s">
        <v>1285</v>
      </c>
      <c r="L354" s="70"/>
      <c r="M354" s="70" t="s">
        <v>3504</v>
      </c>
      <c r="N354" s="70"/>
      <c r="O354" s="70" t="s">
        <v>1800</v>
      </c>
      <c r="P354" s="70" t="s">
        <v>1793</v>
      </c>
      <c r="Q354" s="69">
        <v>7329435</v>
      </c>
      <c r="R354" s="70"/>
      <c r="S354" s="70" t="s">
        <v>1794</v>
      </c>
      <c r="T354" s="70"/>
      <c r="U354" s="70" t="s">
        <v>3505</v>
      </c>
      <c r="V354" s="70"/>
    </row>
    <row r="355" spans="1:22" ht="15.75" customHeight="1">
      <c r="A355" s="66">
        <v>39099</v>
      </c>
      <c r="B355" s="67">
        <f t="shared" ca="1" si="2"/>
        <v>19.387955287290712</v>
      </c>
      <c r="C355" s="68" t="str">
        <f t="shared" ca="1" si="3"/>
        <v>19 years, 4 months</v>
      </c>
      <c r="D355" s="69">
        <v>9449308810</v>
      </c>
      <c r="E355" s="69">
        <v>20070117</v>
      </c>
      <c r="F355" s="70"/>
      <c r="G355" s="70" t="s">
        <v>3506</v>
      </c>
      <c r="H355" s="70" t="s">
        <v>3507</v>
      </c>
      <c r="I355" s="70" t="s">
        <v>3508</v>
      </c>
      <c r="J355" s="70" t="s">
        <v>1422</v>
      </c>
      <c r="K355" s="70" t="s">
        <v>1285</v>
      </c>
      <c r="L355" s="70"/>
      <c r="M355" s="70" t="s">
        <v>3509</v>
      </c>
      <c r="N355" s="70"/>
      <c r="O355" s="70" t="s">
        <v>1862</v>
      </c>
      <c r="P355" s="70" t="s">
        <v>1793</v>
      </c>
      <c r="Q355" s="69">
        <v>9571374</v>
      </c>
      <c r="R355" s="70"/>
      <c r="S355" s="70" t="s">
        <v>1794</v>
      </c>
      <c r="T355" s="70"/>
      <c r="U355" s="70" t="s">
        <v>3510</v>
      </c>
      <c r="V355" s="70"/>
    </row>
    <row r="356" spans="1:22" ht="15.75" customHeight="1">
      <c r="A356" s="66">
        <v>39101</v>
      </c>
      <c r="B356" s="67">
        <f t="shared" ca="1" si="2"/>
        <v>19.382475835235915</v>
      </c>
      <c r="C356" s="68" t="str">
        <f t="shared" ca="1" si="3"/>
        <v>19 years, 4 months</v>
      </c>
      <c r="D356" s="69">
        <v>9449307733</v>
      </c>
      <c r="E356" s="69">
        <v>20070119</v>
      </c>
      <c r="F356" s="70"/>
      <c r="G356" s="70" t="s">
        <v>3511</v>
      </c>
      <c r="H356" s="70" t="s">
        <v>3512</v>
      </c>
      <c r="I356" s="70" t="s">
        <v>3513</v>
      </c>
      <c r="J356" s="70" t="s">
        <v>1422</v>
      </c>
      <c r="K356" s="70" t="s">
        <v>1285</v>
      </c>
      <c r="L356" s="70"/>
      <c r="M356" s="70" t="s">
        <v>3514</v>
      </c>
      <c r="N356" s="70" t="s">
        <v>1973</v>
      </c>
      <c r="O356" s="70" t="s">
        <v>1807</v>
      </c>
      <c r="P356" s="70"/>
      <c r="Q356" s="69">
        <v>32565598</v>
      </c>
      <c r="R356" s="70"/>
      <c r="S356" s="70" t="s">
        <v>1794</v>
      </c>
      <c r="T356" s="70"/>
      <c r="U356" s="70" t="s">
        <v>2406</v>
      </c>
      <c r="V356" s="70"/>
    </row>
    <row r="357" spans="1:22" ht="15.75" customHeight="1">
      <c r="A357" s="66">
        <v>39134</v>
      </c>
      <c r="B357" s="67">
        <f t="shared" ca="1" si="2"/>
        <v>19.292064876331807</v>
      </c>
      <c r="C357" s="68" t="str">
        <f t="shared" ca="1" si="3"/>
        <v>19 years, 3 months</v>
      </c>
      <c r="D357" s="69">
        <v>9449309434</v>
      </c>
      <c r="E357" s="69">
        <v>20070221</v>
      </c>
      <c r="F357" s="70"/>
      <c r="G357" s="70" t="s">
        <v>3515</v>
      </c>
      <c r="H357" s="70"/>
      <c r="I357" s="70" t="s">
        <v>3516</v>
      </c>
      <c r="J357" s="70" t="s">
        <v>1391</v>
      </c>
      <c r="K357" s="70" t="s">
        <v>1263</v>
      </c>
      <c r="L357" s="70"/>
      <c r="M357" s="70" t="s">
        <v>3517</v>
      </c>
      <c r="N357" s="70" t="s">
        <v>2400</v>
      </c>
      <c r="O357" s="70" t="s">
        <v>1862</v>
      </c>
      <c r="P357" s="70" t="s">
        <v>1793</v>
      </c>
      <c r="Q357" s="69">
        <v>9576364</v>
      </c>
      <c r="R357" s="70"/>
      <c r="S357" s="70" t="s">
        <v>1794</v>
      </c>
      <c r="T357" s="70"/>
      <c r="U357" s="70" t="s">
        <v>3518</v>
      </c>
      <c r="V357" s="70"/>
    </row>
    <row r="358" spans="1:22" ht="15.75" customHeight="1">
      <c r="A358" s="66">
        <v>39149</v>
      </c>
      <c r="B358" s="67">
        <f t="shared" ca="1" si="2"/>
        <v>19.250968985920849</v>
      </c>
      <c r="C358" s="68" t="str">
        <f t="shared" ca="1" si="3"/>
        <v>19 years, 3 months</v>
      </c>
      <c r="D358" s="69">
        <v>9449306249</v>
      </c>
      <c r="E358" s="69">
        <v>20070308</v>
      </c>
      <c r="F358" s="70"/>
      <c r="G358" s="70" t="s">
        <v>3519</v>
      </c>
      <c r="H358" s="70" t="s">
        <v>3520</v>
      </c>
      <c r="I358" s="70" t="s">
        <v>3521</v>
      </c>
      <c r="J358" s="70" t="s">
        <v>1391</v>
      </c>
      <c r="K358" s="70" t="s">
        <v>1263</v>
      </c>
      <c r="L358" s="70"/>
      <c r="M358" s="70" t="s">
        <v>3522</v>
      </c>
      <c r="N358" s="70"/>
      <c r="O358" s="70" t="s">
        <v>1906</v>
      </c>
      <c r="P358" s="70" t="s">
        <v>1793</v>
      </c>
      <c r="Q358" s="69">
        <v>7354704</v>
      </c>
      <c r="R358" s="70"/>
      <c r="S358" s="70" t="s">
        <v>1794</v>
      </c>
      <c r="T358" s="70"/>
      <c r="U358" s="70" t="s">
        <v>3523</v>
      </c>
      <c r="V358" s="70"/>
    </row>
    <row r="359" spans="1:22" ht="15.75" customHeight="1">
      <c r="A359" s="66">
        <v>39168</v>
      </c>
      <c r="B359" s="67">
        <f t="shared" ca="1" si="2"/>
        <v>19.198914191400299</v>
      </c>
      <c r="C359" s="68" t="str">
        <f t="shared" ca="1" si="3"/>
        <v>19 years, 2 months</v>
      </c>
      <c r="D359" s="69">
        <v>9449304645</v>
      </c>
      <c r="E359" s="69">
        <v>20070327</v>
      </c>
      <c r="F359" s="70"/>
      <c r="G359" s="70" t="s">
        <v>2461</v>
      </c>
      <c r="H359" s="70" t="s">
        <v>3264</v>
      </c>
      <c r="I359" s="70" t="s">
        <v>3524</v>
      </c>
      <c r="J359" s="70" t="s">
        <v>1391</v>
      </c>
      <c r="K359" s="70" t="s">
        <v>1263</v>
      </c>
      <c r="L359" s="70"/>
      <c r="M359" s="70" t="s">
        <v>3525</v>
      </c>
      <c r="N359" s="70"/>
      <c r="O359" s="70" t="s">
        <v>1800</v>
      </c>
      <c r="P359" s="70" t="s">
        <v>1793</v>
      </c>
      <c r="Q359" s="69">
        <v>7330493</v>
      </c>
      <c r="R359" s="70"/>
      <c r="S359" s="70" t="s">
        <v>1794</v>
      </c>
      <c r="T359" s="70"/>
      <c r="U359" s="70" t="s">
        <v>3526</v>
      </c>
      <c r="V359" s="70"/>
    </row>
    <row r="360" spans="1:22" ht="15.75" customHeight="1">
      <c r="A360" s="66">
        <v>39169</v>
      </c>
      <c r="B360" s="67">
        <f t="shared" ca="1" si="2"/>
        <v>19.196174465372902</v>
      </c>
      <c r="C360" s="68" t="str">
        <f t="shared" ca="1" si="3"/>
        <v>19 years, 2 months</v>
      </c>
      <c r="D360" s="69">
        <v>9449310424</v>
      </c>
      <c r="E360" s="69">
        <v>20070328</v>
      </c>
      <c r="F360" s="70"/>
      <c r="G360" s="70" t="s">
        <v>3527</v>
      </c>
      <c r="H360" s="70" t="s">
        <v>3528</v>
      </c>
      <c r="I360" s="70" t="s">
        <v>3529</v>
      </c>
      <c r="J360" s="70" t="s">
        <v>1391</v>
      </c>
      <c r="K360" s="70" t="s">
        <v>1263</v>
      </c>
      <c r="L360" s="70"/>
      <c r="M360" s="70" t="s">
        <v>3530</v>
      </c>
      <c r="N360" s="70"/>
      <c r="O360" s="70" t="s">
        <v>1834</v>
      </c>
      <c r="P360" s="70" t="s">
        <v>1793</v>
      </c>
      <c r="Q360" s="69">
        <v>7356884</v>
      </c>
      <c r="R360" s="70"/>
      <c r="S360" s="70" t="s">
        <v>1794</v>
      </c>
      <c r="T360" s="70"/>
      <c r="U360" s="70" t="s">
        <v>3531</v>
      </c>
      <c r="V360" s="70" t="s">
        <v>3532</v>
      </c>
    </row>
    <row r="361" spans="1:22" ht="15.75" customHeight="1">
      <c r="A361" s="66">
        <v>39169</v>
      </c>
      <c r="B361" s="67">
        <f t="shared" ca="1" si="2"/>
        <v>19.196174465372902</v>
      </c>
      <c r="C361" s="68" t="str">
        <f t="shared" ca="1" si="3"/>
        <v>19 years, 2 months</v>
      </c>
      <c r="D361" s="69">
        <v>9449310416</v>
      </c>
      <c r="E361" s="69">
        <v>20070328</v>
      </c>
      <c r="F361" s="70"/>
      <c r="G361" s="70" t="s">
        <v>3527</v>
      </c>
      <c r="H361" s="70" t="s">
        <v>3533</v>
      </c>
      <c r="I361" s="70" t="s">
        <v>3529</v>
      </c>
      <c r="J361" s="70" t="s">
        <v>1391</v>
      </c>
      <c r="K361" s="70" t="s">
        <v>1263</v>
      </c>
      <c r="L361" s="70"/>
      <c r="M361" s="70" t="s">
        <v>3530</v>
      </c>
      <c r="N361" s="70"/>
      <c r="O361" s="70" t="s">
        <v>1834</v>
      </c>
      <c r="P361" s="70" t="s">
        <v>1793</v>
      </c>
      <c r="Q361" s="69">
        <v>7356884</v>
      </c>
      <c r="R361" s="70"/>
      <c r="S361" s="70" t="s">
        <v>1794</v>
      </c>
      <c r="T361" s="70"/>
      <c r="U361" s="70" t="s">
        <v>3531</v>
      </c>
      <c r="V361" s="70"/>
    </row>
    <row r="362" spans="1:22" ht="15.75" customHeight="1">
      <c r="A362" s="66">
        <v>39191</v>
      </c>
      <c r="B362" s="67">
        <f t="shared" ca="1" si="2"/>
        <v>19.135900492770162</v>
      </c>
      <c r="C362" s="68" t="str">
        <f t="shared" ca="1" si="3"/>
        <v>19 years, 1 months</v>
      </c>
      <c r="D362" s="69">
        <v>9449309248</v>
      </c>
      <c r="E362" s="69">
        <v>20070419</v>
      </c>
      <c r="F362" s="70"/>
      <c r="G362" s="70" t="s">
        <v>3534</v>
      </c>
      <c r="H362" s="70" t="s">
        <v>3535</v>
      </c>
      <c r="I362" s="70" t="s">
        <v>3536</v>
      </c>
      <c r="J362" s="70" t="s">
        <v>1422</v>
      </c>
      <c r="K362" s="70" t="s">
        <v>1285</v>
      </c>
      <c r="L362" s="70" t="s">
        <v>3537</v>
      </c>
      <c r="M362" s="70" t="s">
        <v>3538</v>
      </c>
      <c r="N362" s="70" t="s">
        <v>2122</v>
      </c>
      <c r="O362" s="70" t="s">
        <v>1862</v>
      </c>
      <c r="P362" s="70"/>
      <c r="Q362" s="69">
        <v>18358337</v>
      </c>
      <c r="R362" s="70"/>
      <c r="S362" s="70" t="s">
        <v>1794</v>
      </c>
      <c r="T362" s="70"/>
      <c r="U362" s="70" t="s">
        <v>3539</v>
      </c>
      <c r="V362" s="70"/>
    </row>
    <row r="363" spans="1:22" ht="15.75" customHeight="1">
      <c r="A363" s="66">
        <v>39199</v>
      </c>
      <c r="B363" s="67">
        <f t="shared" ca="1" si="2"/>
        <v>19.113982684550983</v>
      </c>
      <c r="C363" s="68" t="str">
        <f t="shared" ca="1" si="3"/>
        <v>19 years, 1 months</v>
      </c>
      <c r="D363" s="69">
        <v>9449304831</v>
      </c>
      <c r="E363" s="69">
        <v>20070427</v>
      </c>
      <c r="F363" s="70"/>
      <c r="G363" s="70" t="s">
        <v>3049</v>
      </c>
      <c r="H363" s="70"/>
      <c r="I363" s="70" t="s">
        <v>3540</v>
      </c>
      <c r="J363" s="70" t="s">
        <v>1422</v>
      </c>
      <c r="K363" s="70" t="s">
        <v>1285</v>
      </c>
      <c r="L363" s="70"/>
      <c r="M363" s="70" t="s">
        <v>3541</v>
      </c>
      <c r="N363" s="70"/>
      <c r="O363" s="70" t="s">
        <v>1800</v>
      </c>
      <c r="P363" s="70" t="s">
        <v>1793</v>
      </c>
      <c r="Q363" s="69">
        <v>17349506</v>
      </c>
      <c r="R363" s="70"/>
      <c r="S363" s="70" t="s">
        <v>1794</v>
      </c>
      <c r="T363" s="70"/>
      <c r="U363" s="70" t="s">
        <v>3542</v>
      </c>
      <c r="V363" s="70"/>
    </row>
    <row r="364" spans="1:22" ht="15.75" customHeight="1">
      <c r="A364" s="66">
        <v>39200</v>
      </c>
      <c r="B364" s="67">
        <f t="shared" ca="1" si="2"/>
        <v>19.111242958523587</v>
      </c>
      <c r="C364" s="68" t="str">
        <f t="shared" ca="1" si="3"/>
        <v>19 years, 1 months</v>
      </c>
      <c r="D364" s="76">
        <v>9449306052</v>
      </c>
      <c r="E364" s="69">
        <v>20070428</v>
      </c>
      <c r="F364" s="70"/>
      <c r="G364" s="70" t="s">
        <v>3543</v>
      </c>
      <c r="H364" s="70" t="s">
        <v>1882</v>
      </c>
      <c r="I364" s="70" t="s">
        <v>3544</v>
      </c>
      <c r="J364" s="70" t="s">
        <v>1422</v>
      </c>
      <c r="K364" s="70" t="s">
        <v>1285</v>
      </c>
      <c r="L364" s="70"/>
      <c r="M364" s="70" t="s">
        <v>3545</v>
      </c>
      <c r="N364" s="70"/>
      <c r="O364" s="70" t="s">
        <v>1800</v>
      </c>
      <c r="P364" s="70" t="s">
        <v>1793</v>
      </c>
      <c r="Q364" s="69">
        <v>7345281</v>
      </c>
      <c r="R364" s="70"/>
      <c r="S364" s="70" t="s">
        <v>1794</v>
      </c>
      <c r="T364" s="70"/>
      <c r="U364" s="70" t="s">
        <v>3546</v>
      </c>
      <c r="V364" s="70"/>
    </row>
    <row r="365" spans="1:22" ht="15.75" customHeight="1">
      <c r="A365" s="66">
        <v>39216</v>
      </c>
      <c r="B365" s="67">
        <f t="shared" ca="1" si="2"/>
        <v>19.067407342085232</v>
      </c>
      <c r="C365" s="68" t="str">
        <f t="shared" ca="1" si="3"/>
        <v>19 years, 0 months</v>
      </c>
      <c r="D365" s="69">
        <v>9449308349</v>
      </c>
      <c r="E365" s="69">
        <v>20070514</v>
      </c>
      <c r="F365" s="70"/>
      <c r="G365" s="70" t="s">
        <v>3547</v>
      </c>
      <c r="H365" s="70"/>
      <c r="I365" s="70" t="s">
        <v>3548</v>
      </c>
      <c r="J365" s="70" t="s">
        <v>1422</v>
      </c>
      <c r="K365" s="70" t="s">
        <v>1285</v>
      </c>
      <c r="L365" s="70"/>
      <c r="M365" s="70" t="s">
        <v>3549</v>
      </c>
      <c r="N365" s="70"/>
      <c r="O365" s="70" t="s">
        <v>2524</v>
      </c>
      <c r="P365" s="70" t="s">
        <v>1793</v>
      </c>
      <c r="Q365" s="69">
        <v>7402416</v>
      </c>
      <c r="R365" s="70"/>
      <c r="S365" s="70" t="s">
        <v>1794</v>
      </c>
      <c r="T365" s="70"/>
      <c r="U365" s="70" t="s">
        <v>3550</v>
      </c>
      <c r="V365" s="70"/>
    </row>
    <row r="366" spans="1:22" ht="15.75" customHeight="1">
      <c r="A366" s="66">
        <v>39217</v>
      </c>
      <c r="B366" s="67">
        <f t="shared" ca="1" si="2"/>
        <v>19.064667616057832</v>
      </c>
      <c r="C366" s="68" t="str">
        <f t="shared" ca="1" si="3"/>
        <v>19 years, 0 months</v>
      </c>
      <c r="D366" s="69">
        <v>9449305420</v>
      </c>
      <c r="E366" s="69">
        <v>20070515</v>
      </c>
      <c r="F366" s="70"/>
      <c r="G366" s="70" t="s">
        <v>3551</v>
      </c>
      <c r="H366" s="70" t="s">
        <v>3552</v>
      </c>
      <c r="I366" s="70" t="s">
        <v>3553</v>
      </c>
      <c r="J366" s="70" t="s">
        <v>1422</v>
      </c>
      <c r="K366" s="70" t="s">
        <v>2016</v>
      </c>
      <c r="L366" s="70"/>
      <c r="M366" s="70" t="s">
        <v>3554</v>
      </c>
      <c r="N366" s="70"/>
      <c r="O366" s="70" t="s">
        <v>1800</v>
      </c>
      <c r="P366" s="70" t="s">
        <v>1793</v>
      </c>
      <c r="Q366" s="69">
        <v>7337615</v>
      </c>
      <c r="R366" s="70"/>
      <c r="S366" s="70" t="s">
        <v>1794</v>
      </c>
      <c r="T366" s="70"/>
      <c r="U366" s="70" t="s">
        <v>3395</v>
      </c>
      <c r="V366" s="70"/>
    </row>
    <row r="367" spans="1:22" ht="15.75" customHeight="1">
      <c r="A367" s="66">
        <v>39274</v>
      </c>
      <c r="B367" s="67">
        <f t="shared" ca="1" si="2"/>
        <v>18.908503232496191</v>
      </c>
      <c r="C367" s="68" t="str">
        <f t="shared" ca="1" si="3"/>
        <v>18 years, 10 months</v>
      </c>
      <c r="D367" s="69">
        <v>9449303231</v>
      </c>
      <c r="E367" s="69">
        <v>20070711</v>
      </c>
      <c r="F367" s="70"/>
      <c r="G367" s="70" t="s">
        <v>3555</v>
      </c>
      <c r="H367" s="70" t="s">
        <v>3556</v>
      </c>
      <c r="I367" s="70" t="s">
        <v>3557</v>
      </c>
      <c r="J367" s="70" t="s">
        <v>1391</v>
      </c>
      <c r="K367" s="70" t="s">
        <v>1932</v>
      </c>
      <c r="L367" s="70"/>
      <c r="M367" s="70" t="s">
        <v>3558</v>
      </c>
      <c r="N367" s="70"/>
      <c r="O367" s="70" t="s">
        <v>1800</v>
      </c>
      <c r="P367" s="70" t="s">
        <v>1793</v>
      </c>
      <c r="Q367" s="69">
        <v>7330849</v>
      </c>
      <c r="R367" s="70"/>
      <c r="S367" s="70" t="s">
        <v>1794</v>
      </c>
      <c r="T367" s="70"/>
      <c r="U367" s="70" t="s">
        <v>3559</v>
      </c>
      <c r="V367" s="70"/>
    </row>
    <row r="368" spans="1:22" ht="15.75" customHeight="1">
      <c r="A368" s="66">
        <v>39283</v>
      </c>
      <c r="B368" s="67">
        <f t="shared" ca="1" si="2"/>
        <v>18.883845698249615</v>
      </c>
      <c r="C368" s="68" t="str">
        <f t="shared" ca="1" si="3"/>
        <v>18 years, 10 months</v>
      </c>
      <c r="D368" s="69">
        <v>9449303711</v>
      </c>
      <c r="E368" s="69">
        <v>20070720</v>
      </c>
      <c r="F368" s="70"/>
      <c r="G368" s="70" t="s">
        <v>3560</v>
      </c>
      <c r="H368" s="70" t="s">
        <v>3561</v>
      </c>
      <c r="I368" s="70" t="s">
        <v>3562</v>
      </c>
      <c r="J368" s="70" t="s">
        <v>1422</v>
      </c>
      <c r="K368" s="70" t="s">
        <v>1285</v>
      </c>
      <c r="L368" s="70"/>
      <c r="M368" s="70" t="s">
        <v>3563</v>
      </c>
      <c r="N368" s="70" t="s">
        <v>1818</v>
      </c>
      <c r="O368" s="70" t="s">
        <v>1819</v>
      </c>
      <c r="P368" s="70" t="s">
        <v>1793</v>
      </c>
      <c r="Q368" s="69">
        <v>7294300</v>
      </c>
      <c r="R368" s="70"/>
      <c r="S368" s="70" t="s">
        <v>1794</v>
      </c>
      <c r="T368" s="70"/>
      <c r="U368" s="70" t="s">
        <v>3564</v>
      </c>
      <c r="V368" s="70"/>
    </row>
    <row r="369" spans="1:22" ht="15.75" customHeight="1">
      <c r="A369" s="66">
        <v>39295</v>
      </c>
      <c r="B369" s="67">
        <f t="shared" ca="1" si="2"/>
        <v>18.850968985920847</v>
      </c>
      <c r="C369" s="68" t="str">
        <f t="shared" ca="1" si="3"/>
        <v>18 years, 10 months</v>
      </c>
      <c r="D369" s="69">
        <v>9449304874</v>
      </c>
      <c r="E369" s="69">
        <v>20070801</v>
      </c>
      <c r="F369" s="70"/>
      <c r="G369" s="70" t="s">
        <v>3565</v>
      </c>
      <c r="H369" s="70" t="s">
        <v>3566</v>
      </c>
      <c r="I369" s="70" t="s">
        <v>3567</v>
      </c>
      <c r="J369" s="70" t="s">
        <v>1391</v>
      </c>
      <c r="K369" s="70" t="s">
        <v>1263</v>
      </c>
      <c r="L369" s="70"/>
      <c r="M369" s="70" t="s">
        <v>3568</v>
      </c>
      <c r="N369" s="70"/>
      <c r="O369" s="70" t="s">
        <v>1800</v>
      </c>
      <c r="P369" s="70" t="s">
        <v>1793</v>
      </c>
      <c r="Q369" s="69">
        <v>7331826</v>
      </c>
      <c r="R369" s="70"/>
      <c r="S369" s="70" t="s">
        <v>1794</v>
      </c>
      <c r="T369" s="70"/>
      <c r="U369" s="70" t="s">
        <v>3569</v>
      </c>
      <c r="V369" s="70"/>
    </row>
    <row r="370" spans="1:22" ht="15.75" customHeight="1">
      <c r="A370" s="66">
        <v>39306</v>
      </c>
      <c r="B370" s="67">
        <f t="shared" ca="1" si="2"/>
        <v>18.820831999619479</v>
      </c>
      <c r="C370" s="68" t="str">
        <f t="shared" ca="1" si="3"/>
        <v>18 years, 9 months</v>
      </c>
      <c r="D370" s="69">
        <v>9449310270</v>
      </c>
      <c r="E370" s="69">
        <v>20070812</v>
      </c>
      <c r="F370" s="70"/>
      <c r="G370" s="70" t="s">
        <v>3570</v>
      </c>
      <c r="H370" s="70" t="s">
        <v>3571</v>
      </c>
      <c r="I370" s="70" t="s">
        <v>3572</v>
      </c>
      <c r="J370" s="70" t="s">
        <v>1422</v>
      </c>
      <c r="K370" s="70" t="s">
        <v>1285</v>
      </c>
      <c r="L370" s="70"/>
      <c r="M370" s="70" t="s">
        <v>3573</v>
      </c>
      <c r="N370" s="70" t="s">
        <v>2532</v>
      </c>
      <c r="O370" s="70" t="s">
        <v>1906</v>
      </c>
      <c r="P370" s="70"/>
      <c r="Q370" s="69">
        <v>7356135</v>
      </c>
      <c r="R370" s="70"/>
      <c r="S370" s="70" t="s">
        <v>1794</v>
      </c>
      <c r="T370" s="70"/>
      <c r="U370" s="70" t="s">
        <v>3574</v>
      </c>
      <c r="V370" s="70"/>
    </row>
    <row r="371" spans="1:22" ht="15.75" customHeight="1">
      <c r="A371" s="66">
        <v>39312</v>
      </c>
      <c r="B371" s="67">
        <f t="shared" ca="1" si="2"/>
        <v>18.804393643455093</v>
      </c>
      <c r="C371" s="68" t="str">
        <f t="shared" ca="1" si="3"/>
        <v>18 years, 9 months</v>
      </c>
      <c r="D371" s="69">
        <v>9449308446</v>
      </c>
      <c r="E371" s="69">
        <v>20070818</v>
      </c>
      <c r="F371" s="70"/>
      <c r="G371" s="70" t="s">
        <v>3575</v>
      </c>
      <c r="H371" s="70" t="s">
        <v>2538</v>
      </c>
      <c r="I371" s="70" t="s">
        <v>3576</v>
      </c>
      <c r="J371" s="70" t="s">
        <v>1422</v>
      </c>
      <c r="K371" s="70" t="s">
        <v>1285</v>
      </c>
      <c r="L371" s="70"/>
      <c r="M371" s="70" t="s">
        <v>3577</v>
      </c>
      <c r="N371" s="70"/>
      <c r="O371" s="70" t="s">
        <v>2524</v>
      </c>
      <c r="P371" s="70" t="s">
        <v>1793</v>
      </c>
      <c r="Q371" s="69">
        <v>7399885</v>
      </c>
      <c r="R371" s="70"/>
      <c r="S371" s="70" t="s">
        <v>1794</v>
      </c>
      <c r="T371" s="70"/>
      <c r="U371" s="70" t="s">
        <v>3578</v>
      </c>
      <c r="V371" s="70"/>
    </row>
    <row r="372" spans="1:22" ht="15.75" customHeight="1">
      <c r="A372" s="66">
        <v>39322</v>
      </c>
      <c r="B372" s="67">
        <f t="shared" ca="1" si="2"/>
        <v>18.776996383181121</v>
      </c>
      <c r="C372" s="68" t="str">
        <f t="shared" ca="1" si="3"/>
        <v>18 years, 9 months</v>
      </c>
      <c r="D372" s="69">
        <v>9449306389</v>
      </c>
      <c r="E372" s="69">
        <v>20070828</v>
      </c>
      <c r="F372" s="70"/>
      <c r="G372" s="70" t="s">
        <v>3579</v>
      </c>
      <c r="H372" s="70"/>
      <c r="I372" s="70" t="s">
        <v>3580</v>
      </c>
      <c r="J372" s="70" t="s">
        <v>1422</v>
      </c>
      <c r="K372" s="70" t="s">
        <v>1285</v>
      </c>
      <c r="L372" s="70" t="s">
        <v>3581</v>
      </c>
      <c r="M372" s="70" t="s">
        <v>3582</v>
      </c>
      <c r="N372" s="70" t="s">
        <v>2184</v>
      </c>
      <c r="O372" s="70" t="s">
        <v>1906</v>
      </c>
      <c r="P372" s="70" t="s">
        <v>1793</v>
      </c>
      <c r="Q372" s="69">
        <v>17358148</v>
      </c>
      <c r="R372" s="70"/>
      <c r="S372" s="70" t="s">
        <v>1794</v>
      </c>
      <c r="T372" s="70"/>
      <c r="U372" s="70" t="s">
        <v>3583</v>
      </c>
      <c r="V372" s="70"/>
    </row>
    <row r="373" spans="1:22" ht="15.75" customHeight="1">
      <c r="A373" s="66">
        <v>39323</v>
      </c>
      <c r="B373" s="67">
        <f t="shared" ca="1" si="2"/>
        <v>18.774256657153725</v>
      </c>
      <c r="C373" s="68" t="str">
        <f t="shared" ca="1" si="3"/>
        <v>18 years, 9 months</v>
      </c>
      <c r="D373" s="69">
        <v>9449309736</v>
      </c>
      <c r="E373" s="69">
        <v>20070829</v>
      </c>
      <c r="F373" s="70"/>
      <c r="G373" s="70" t="s">
        <v>3584</v>
      </c>
      <c r="H373" s="70" t="s">
        <v>3585</v>
      </c>
      <c r="I373" s="70" t="s">
        <v>3586</v>
      </c>
      <c r="J373" s="70" t="s">
        <v>1391</v>
      </c>
      <c r="K373" s="70" t="s">
        <v>1263</v>
      </c>
      <c r="L373" s="70" t="s">
        <v>3587</v>
      </c>
      <c r="M373" s="70" t="s">
        <v>3588</v>
      </c>
      <c r="N373" s="70"/>
      <c r="O373" s="70" t="s">
        <v>1886</v>
      </c>
      <c r="P373" s="70"/>
      <c r="Q373" s="69">
        <v>32605159</v>
      </c>
      <c r="R373" s="70"/>
      <c r="S373" s="70" t="s">
        <v>1794</v>
      </c>
      <c r="T373" s="70"/>
      <c r="U373" s="70" t="s">
        <v>3589</v>
      </c>
      <c r="V373" s="70"/>
    </row>
    <row r="374" spans="1:22" ht="15.75" customHeight="1">
      <c r="A374" s="66">
        <v>39325</v>
      </c>
      <c r="B374" s="67">
        <f t="shared" ca="1" si="2"/>
        <v>18.768777205098932</v>
      </c>
      <c r="C374" s="68" t="str">
        <f t="shared" ca="1" si="3"/>
        <v>18 years, 9 months</v>
      </c>
      <c r="D374" s="69">
        <v>9449307121</v>
      </c>
      <c r="E374" s="69">
        <v>20070831</v>
      </c>
      <c r="F374" s="70"/>
      <c r="G374" s="70" t="s">
        <v>3590</v>
      </c>
      <c r="H374" s="70" t="s">
        <v>3591</v>
      </c>
      <c r="I374" s="70" t="s">
        <v>3592</v>
      </c>
      <c r="J374" s="70" t="s">
        <v>1314</v>
      </c>
      <c r="K374" s="70" t="s">
        <v>1263</v>
      </c>
      <c r="L374" s="70"/>
      <c r="M374" s="70" t="s">
        <v>3593</v>
      </c>
      <c r="N374" s="70"/>
      <c r="O374" s="70" t="s">
        <v>1807</v>
      </c>
      <c r="P374" s="70" t="s">
        <v>1793</v>
      </c>
      <c r="Q374" s="69">
        <v>7360735</v>
      </c>
      <c r="R374" s="70"/>
      <c r="S374" s="70" t="s">
        <v>1794</v>
      </c>
      <c r="T374" s="70"/>
      <c r="U374" s="70" t="s">
        <v>3594</v>
      </c>
      <c r="V374" s="70"/>
    </row>
    <row r="375" spans="1:22" ht="15.75" customHeight="1">
      <c r="A375" s="66">
        <v>39359</v>
      </c>
      <c r="B375" s="67">
        <f t="shared" ca="1" si="2"/>
        <v>18.675626520167423</v>
      </c>
      <c r="C375" s="68" t="str">
        <f t="shared" ca="1" si="3"/>
        <v>18 years, 8 months</v>
      </c>
      <c r="D375" s="69">
        <v>9449303436</v>
      </c>
      <c r="E375" s="69">
        <v>20071004</v>
      </c>
      <c r="F375" s="70"/>
      <c r="G375" s="70" t="s">
        <v>3595</v>
      </c>
      <c r="H375" s="70"/>
      <c r="I375" s="70" t="s">
        <v>3596</v>
      </c>
      <c r="J375" s="70" t="s">
        <v>1422</v>
      </c>
      <c r="K375" s="70" t="s">
        <v>1285</v>
      </c>
      <c r="L375" s="70" t="s">
        <v>3597</v>
      </c>
      <c r="M375" s="70" t="s">
        <v>3598</v>
      </c>
      <c r="N375" s="70" t="s">
        <v>2079</v>
      </c>
      <c r="O375" s="70" t="s">
        <v>1845</v>
      </c>
      <c r="P375" s="70"/>
      <c r="Q375" s="69">
        <v>16406137</v>
      </c>
      <c r="R375" s="70"/>
      <c r="S375" s="70" t="s">
        <v>1794</v>
      </c>
      <c r="T375" s="70"/>
      <c r="U375" s="70" t="s">
        <v>3599</v>
      </c>
      <c r="V375" s="70"/>
    </row>
    <row r="376" spans="1:22" ht="15.75" customHeight="1">
      <c r="A376" s="66">
        <v>39366</v>
      </c>
      <c r="B376" s="67">
        <f t="shared" ca="1" si="2"/>
        <v>18.656448437975641</v>
      </c>
      <c r="C376" s="68" t="str">
        <f t="shared" ca="1" si="3"/>
        <v>18 years, 7 months</v>
      </c>
      <c r="D376" s="69">
        <v>9449307059</v>
      </c>
      <c r="E376" s="69">
        <v>20071011</v>
      </c>
      <c r="F376" s="70"/>
      <c r="G376" s="70" t="s">
        <v>3600</v>
      </c>
      <c r="H376" s="70" t="s">
        <v>3601</v>
      </c>
      <c r="I376" s="70" t="s">
        <v>3602</v>
      </c>
      <c r="J376" s="70" t="s">
        <v>1391</v>
      </c>
      <c r="K376" s="70" t="s">
        <v>2016</v>
      </c>
      <c r="L376" s="70" t="s">
        <v>3603</v>
      </c>
      <c r="M376" s="70" t="s">
        <v>3604</v>
      </c>
      <c r="N376" s="70"/>
      <c r="O376" s="70" t="s">
        <v>1807</v>
      </c>
      <c r="P376" s="70" t="s">
        <v>1793</v>
      </c>
      <c r="Q376" s="69">
        <v>17361030</v>
      </c>
      <c r="R376" s="70"/>
      <c r="S376" s="70" t="s">
        <v>1794</v>
      </c>
      <c r="T376" s="70"/>
      <c r="U376" s="70" t="s">
        <v>3605</v>
      </c>
      <c r="V376" s="70"/>
    </row>
    <row r="377" spans="1:22" ht="15.75" customHeight="1">
      <c r="A377" s="66">
        <v>39375</v>
      </c>
      <c r="B377" s="67">
        <f t="shared" ca="1" si="2"/>
        <v>18.631790903729065</v>
      </c>
      <c r="C377" s="68" t="str">
        <f t="shared" ca="1" si="3"/>
        <v>18 years, 7 months</v>
      </c>
      <c r="D377" s="69">
        <v>9449305048</v>
      </c>
      <c r="E377" s="69">
        <v>20071020</v>
      </c>
      <c r="F377" s="70"/>
      <c r="G377" s="70" t="s">
        <v>3606</v>
      </c>
      <c r="H377" s="70" t="s">
        <v>2118</v>
      </c>
      <c r="I377" s="70" t="s">
        <v>3607</v>
      </c>
      <c r="J377" s="70" t="s">
        <v>1422</v>
      </c>
      <c r="K377" s="70" t="s">
        <v>1285</v>
      </c>
      <c r="L377" s="70"/>
      <c r="M377" s="70" t="s">
        <v>3608</v>
      </c>
      <c r="N377" s="70"/>
      <c r="O377" s="70" t="s">
        <v>1800</v>
      </c>
      <c r="P377" s="70" t="s">
        <v>1793</v>
      </c>
      <c r="Q377" s="69">
        <v>7333318</v>
      </c>
      <c r="R377" s="70"/>
      <c r="S377" s="70" t="s">
        <v>1794</v>
      </c>
      <c r="T377" s="70"/>
      <c r="U377" s="70" t="s">
        <v>3609</v>
      </c>
      <c r="V377" s="70"/>
    </row>
    <row r="378" spans="1:22" ht="15.75" customHeight="1">
      <c r="A378" s="66">
        <v>39375</v>
      </c>
      <c r="B378" s="67">
        <f t="shared" ca="1" si="2"/>
        <v>18.631790903729065</v>
      </c>
      <c r="C378" s="68" t="str">
        <f t="shared" ca="1" si="3"/>
        <v>18 years, 7 months</v>
      </c>
      <c r="D378" s="69">
        <v>9449304319</v>
      </c>
      <c r="E378" s="69">
        <v>20071020</v>
      </c>
      <c r="F378" s="70"/>
      <c r="G378" s="70" t="s">
        <v>3610</v>
      </c>
      <c r="H378" s="70" t="s">
        <v>2330</v>
      </c>
      <c r="I378" s="70" t="s">
        <v>3611</v>
      </c>
      <c r="J378" s="70" t="s">
        <v>1391</v>
      </c>
      <c r="K378" s="70" t="s">
        <v>1263</v>
      </c>
      <c r="L378" s="70" t="s">
        <v>2131</v>
      </c>
      <c r="M378" s="70" t="s">
        <v>3612</v>
      </c>
      <c r="N378" s="70" t="s">
        <v>3613</v>
      </c>
      <c r="O378" s="70" t="s">
        <v>1792</v>
      </c>
      <c r="P378" s="70"/>
      <c r="Q378" s="69">
        <v>21535518</v>
      </c>
      <c r="R378" s="70"/>
      <c r="S378" s="70" t="s">
        <v>1794</v>
      </c>
      <c r="T378" s="70"/>
      <c r="U378" s="70" t="s">
        <v>3614</v>
      </c>
      <c r="V378" s="70"/>
    </row>
    <row r="379" spans="1:22" ht="15.75" customHeight="1">
      <c r="A379" s="66">
        <v>39421</v>
      </c>
      <c r="B379" s="67">
        <f t="shared" ca="1" si="2"/>
        <v>18.505763506468792</v>
      </c>
      <c r="C379" s="68" t="str">
        <f t="shared" ca="1" si="3"/>
        <v>18 years, 6 months</v>
      </c>
      <c r="D379" s="69">
        <v>9449310572</v>
      </c>
      <c r="E379" s="69">
        <v>20071205</v>
      </c>
      <c r="F379" s="70"/>
      <c r="G379" s="70" t="s">
        <v>3615</v>
      </c>
      <c r="H379" s="70" t="s">
        <v>3192</v>
      </c>
      <c r="I379" s="70" t="s">
        <v>3616</v>
      </c>
      <c r="J379" s="70" t="s">
        <v>1422</v>
      </c>
      <c r="K379" s="70" t="s">
        <v>1285</v>
      </c>
      <c r="L379" s="70"/>
      <c r="M379" s="70" t="s">
        <v>3617</v>
      </c>
      <c r="N379" s="70"/>
      <c r="O379" s="70" t="s">
        <v>2132</v>
      </c>
      <c r="P379" s="70" t="s">
        <v>1793</v>
      </c>
      <c r="Q379" s="69">
        <v>17376788</v>
      </c>
      <c r="R379" s="70"/>
      <c r="S379" s="70" t="s">
        <v>1794</v>
      </c>
      <c r="T379" s="70"/>
      <c r="U379" s="70" t="s">
        <v>3618</v>
      </c>
      <c r="V379" s="70"/>
    </row>
    <row r="380" spans="1:22" ht="15.75" customHeight="1">
      <c r="A380" s="66">
        <v>39433</v>
      </c>
      <c r="B380" s="67">
        <f t="shared" ca="1" si="2"/>
        <v>18.472886794140027</v>
      </c>
      <c r="C380" s="68" t="str">
        <f t="shared" ca="1" si="3"/>
        <v>18 years, 5 months</v>
      </c>
      <c r="D380" s="69">
        <v>9449304025</v>
      </c>
      <c r="E380" s="69">
        <v>20071217</v>
      </c>
      <c r="F380" s="70"/>
      <c r="G380" s="70" t="s">
        <v>3619</v>
      </c>
      <c r="H380" s="70" t="s">
        <v>3620</v>
      </c>
      <c r="I380" s="70" t="s">
        <v>3621</v>
      </c>
      <c r="J380" s="70" t="s">
        <v>1314</v>
      </c>
      <c r="K380" s="70" t="s">
        <v>1263</v>
      </c>
      <c r="L380" s="70"/>
      <c r="M380" s="70" t="s">
        <v>3622</v>
      </c>
      <c r="N380" s="70"/>
      <c r="O380" s="70" t="s">
        <v>1792</v>
      </c>
      <c r="P380" s="70" t="s">
        <v>1793</v>
      </c>
      <c r="Q380" s="69">
        <v>28110363</v>
      </c>
      <c r="R380" s="70"/>
      <c r="S380" s="70" t="s">
        <v>1794</v>
      </c>
      <c r="T380" s="70"/>
      <c r="U380" s="70" t="s">
        <v>3623</v>
      </c>
      <c r="V380" s="70"/>
    </row>
    <row r="381" spans="1:22" ht="15.75" customHeight="1">
      <c r="A381" s="66">
        <v>39445</v>
      </c>
      <c r="B381" s="67">
        <f t="shared" ca="1" si="2"/>
        <v>18.440010081811259</v>
      </c>
      <c r="C381" s="68" t="str">
        <f t="shared" ca="1" si="3"/>
        <v>18 years, 5 months</v>
      </c>
      <c r="D381" s="69">
        <v>9449309566</v>
      </c>
      <c r="E381" s="69">
        <v>20071229</v>
      </c>
      <c r="F381" s="70"/>
      <c r="G381" s="70" t="s">
        <v>3624</v>
      </c>
      <c r="H381" s="70" t="s">
        <v>3625</v>
      </c>
      <c r="I381" s="70" t="s">
        <v>3626</v>
      </c>
      <c r="J381" s="70" t="s">
        <v>1391</v>
      </c>
      <c r="K381" s="70" t="s">
        <v>1263</v>
      </c>
      <c r="L381" s="70" t="s">
        <v>3627</v>
      </c>
      <c r="M381" s="70" t="s">
        <v>3628</v>
      </c>
      <c r="N381" s="70"/>
      <c r="O381" s="70" t="s">
        <v>2344</v>
      </c>
      <c r="P381" s="70"/>
      <c r="Q381" s="69">
        <v>22558077</v>
      </c>
      <c r="R381" s="70"/>
      <c r="S381" s="70" t="s">
        <v>1794</v>
      </c>
      <c r="T381" s="70"/>
      <c r="U381" s="70" t="s">
        <v>3629</v>
      </c>
      <c r="V381" s="70"/>
    </row>
    <row r="382" spans="1:22" ht="15.75" customHeight="1">
      <c r="A382" s="66">
        <v>39472</v>
      </c>
      <c r="B382" s="67">
        <f t="shared" ca="1" si="2"/>
        <v>18.366037479071533</v>
      </c>
      <c r="C382" s="68" t="str">
        <f t="shared" ca="1" si="3"/>
        <v>18 years, 4 months</v>
      </c>
      <c r="D382" s="69">
        <v>9449309299</v>
      </c>
      <c r="E382" s="69">
        <v>20080125</v>
      </c>
      <c r="F382" s="70"/>
      <c r="G382" s="70" t="s">
        <v>3630</v>
      </c>
      <c r="H382" s="70" t="s">
        <v>3631</v>
      </c>
      <c r="I382" s="70" t="s">
        <v>3632</v>
      </c>
      <c r="J382" s="70" t="s">
        <v>1314</v>
      </c>
      <c r="K382" s="70" t="s">
        <v>1263</v>
      </c>
      <c r="L382" s="70"/>
      <c r="M382" s="70" t="s">
        <v>3633</v>
      </c>
      <c r="N382" s="70" t="s">
        <v>1918</v>
      </c>
      <c r="O382" s="70" t="s">
        <v>1862</v>
      </c>
      <c r="P382" s="70" t="s">
        <v>1793</v>
      </c>
      <c r="Q382" s="69">
        <v>23552344</v>
      </c>
      <c r="R382" s="70"/>
      <c r="S382" s="70" t="s">
        <v>1794</v>
      </c>
      <c r="T382" s="70"/>
      <c r="U382" s="70" t="s">
        <v>3634</v>
      </c>
      <c r="V382" s="70"/>
    </row>
    <row r="383" spans="1:22" ht="15.75" customHeight="1">
      <c r="A383" s="66">
        <v>39481</v>
      </c>
      <c r="B383" s="67">
        <f t="shared" ca="1" si="2"/>
        <v>18.341379944824958</v>
      </c>
      <c r="C383" s="68" t="str">
        <f t="shared" ca="1" si="3"/>
        <v>18 years, 4 months</v>
      </c>
      <c r="D383" s="69">
        <v>9449309744</v>
      </c>
      <c r="E383" s="69">
        <v>20080203</v>
      </c>
      <c r="F383" s="70"/>
      <c r="G383" s="70" t="s">
        <v>3635</v>
      </c>
      <c r="H383" s="70" t="s">
        <v>3636</v>
      </c>
      <c r="I383" s="70" t="s">
        <v>3637</v>
      </c>
      <c r="J383" s="70" t="s">
        <v>1391</v>
      </c>
      <c r="K383" s="70" t="s">
        <v>2016</v>
      </c>
      <c r="L383" s="70" t="s">
        <v>3638</v>
      </c>
      <c r="M383" s="70" t="s">
        <v>3639</v>
      </c>
      <c r="N383" s="70"/>
      <c r="O383" s="70" t="s">
        <v>1886</v>
      </c>
      <c r="P383" s="70" t="s">
        <v>1793</v>
      </c>
      <c r="Q383" s="69">
        <v>23867335</v>
      </c>
      <c r="R383" s="70"/>
      <c r="S383" s="70" t="s">
        <v>1794</v>
      </c>
      <c r="T383" s="70"/>
      <c r="U383" s="70" t="s">
        <v>3640</v>
      </c>
      <c r="V383" s="70"/>
    </row>
    <row r="384" spans="1:22" ht="15.75" customHeight="1">
      <c r="A384" s="66">
        <v>39483</v>
      </c>
      <c r="B384" s="67">
        <f t="shared" ca="1" si="2"/>
        <v>18.335900492770161</v>
      </c>
      <c r="C384" s="68" t="str">
        <f t="shared" ca="1" si="3"/>
        <v>18 years, 4 months</v>
      </c>
      <c r="D384" s="69">
        <v>9449305021</v>
      </c>
      <c r="E384" s="69">
        <v>20080205</v>
      </c>
      <c r="F384" s="70"/>
      <c r="G384" s="70" t="s">
        <v>3641</v>
      </c>
      <c r="H384" s="70" t="s">
        <v>3642</v>
      </c>
      <c r="I384" s="70" t="s">
        <v>3643</v>
      </c>
      <c r="J384" s="70" t="s">
        <v>1391</v>
      </c>
      <c r="K384" s="70" t="s">
        <v>1263</v>
      </c>
      <c r="L384" s="70"/>
      <c r="M384" s="70" t="s">
        <v>3644</v>
      </c>
      <c r="N384" s="70"/>
      <c r="O384" s="70" t="s">
        <v>1800</v>
      </c>
      <c r="P384" s="70" t="s">
        <v>1793</v>
      </c>
      <c r="Q384" s="69">
        <v>7333228</v>
      </c>
      <c r="R384" s="70"/>
      <c r="S384" s="70" t="s">
        <v>1794</v>
      </c>
      <c r="T384" s="70"/>
      <c r="U384" s="70" t="s">
        <v>3645</v>
      </c>
      <c r="V384" s="70"/>
    </row>
    <row r="385" spans="1:22" ht="15.75" customHeight="1">
      <c r="A385" s="66">
        <v>39490</v>
      </c>
      <c r="B385" s="67">
        <f t="shared" ca="1" si="2"/>
        <v>18.316722410578382</v>
      </c>
      <c r="C385" s="68" t="str">
        <f t="shared" ca="1" si="3"/>
        <v>18 years, 3 months</v>
      </c>
      <c r="D385" s="69">
        <v>9449309574</v>
      </c>
      <c r="E385" s="69">
        <v>20080212</v>
      </c>
      <c r="F385" s="70"/>
      <c r="G385" s="70" t="s">
        <v>3270</v>
      </c>
      <c r="H385" s="70"/>
      <c r="I385" s="70" t="s">
        <v>3646</v>
      </c>
      <c r="J385" s="70" t="s">
        <v>1422</v>
      </c>
      <c r="K385" s="70" t="s">
        <v>1932</v>
      </c>
      <c r="L385" s="70" t="s">
        <v>3647</v>
      </c>
      <c r="M385" s="70" t="s">
        <v>2839</v>
      </c>
      <c r="N385" s="70" t="s">
        <v>2840</v>
      </c>
      <c r="O385" s="70" t="s">
        <v>2344</v>
      </c>
      <c r="P385" s="70" t="s">
        <v>1793</v>
      </c>
      <c r="Q385" s="69">
        <v>18359760</v>
      </c>
      <c r="R385" s="70"/>
      <c r="S385" s="70" t="s">
        <v>1794</v>
      </c>
      <c r="T385" s="70"/>
      <c r="U385" s="70" t="s">
        <v>3648</v>
      </c>
      <c r="V385" s="70"/>
    </row>
    <row r="386" spans="1:22" ht="15.75" customHeight="1">
      <c r="A386" s="66">
        <v>39509</v>
      </c>
      <c r="B386" s="67">
        <f t="shared" ca="1" si="2"/>
        <v>18.264667616057835</v>
      </c>
      <c r="C386" s="68" t="str">
        <f t="shared" ca="1" si="3"/>
        <v>18 years, 3 months</v>
      </c>
      <c r="D386" s="69">
        <v>9449310343</v>
      </c>
      <c r="E386" s="69">
        <v>20080302</v>
      </c>
      <c r="F386" s="70"/>
      <c r="G386" s="70" t="s">
        <v>3649</v>
      </c>
      <c r="H386" s="70" t="s">
        <v>3650</v>
      </c>
      <c r="I386" s="70" t="s">
        <v>3651</v>
      </c>
      <c r="J386" s="70" t="s">
        <v>1422</v>
      </c>
      <c r="K386" s="70" t="s">
        <v>1285</v>
      </c>
      <c r="L386" s="70"/>
      <c r="M386" s="70" t="s">
        <v>3652</v>
      </c>
      <c r="N386" s="70"/>
      <c r="O386" s="70" t="s">
        <v>1792</v>
      </c>
      <c r="P386" s="70" t="s">
        <v>1793</v>
      </c>
      <c r="Q386" s="69">
        <v>25911404</v>
      </c>
      <c r="R386" s="70"/>
      <c r="S386" s="70" t="s">
        <v>1794</v>
      </c>
      <c r="T386" s="70"/>
      <c r="U386" s="70" t="s">
        <v>3653</v>
      </c>
      <c r="V386" s="70"/>
    </row>
    <row r="387" spans="1:22" ht="15.75" customHeight="1">
      <c r="A387" s="66">
        <v>39532</v>
      </c>
      <c r="B387" s="67">
        <f t="shared" ca="1" si="2"/>
        <v>18.201653917427699</v>
      </c>
      <c r="C387" s="68" t="str">
        <f t="shared" ca="1" si="3"/>
        <v>18 years, 2 months</v>
      </c>
      <c r="D387" s="69">
        <v>9449304912</v>
      </c>
      <c r="E387" s="69">
        <v>20080325</v>
      </c>
      <c r="F387" s="70"/>
      <c r="G387" s="70" t="s">
        <v>3654</v>
      </c>
      <c r="H387" s="70"/>
      <c r="I387" s="70" t="s">
        <v>3655</v>
      </c>
      <c r="J387" s="70" t="s">
        <v>1422</v>
      </c>
      <c r="K387" s="70" t="s">
        <v>1285</v>
      </c>
      <c r="L387" s="70"/>
      <c r="M387" s="70" t="s">
        <v>3656</v>
      </c>
      <c r="N387" s="70"/>
      <c r="O387" s="70" t="s">
        <v>1800</v>
      </c>
      <c r="P387" s="70" t="s">
        <v>1793</v>
      </c>
      <c r="Q387" s="69">
        <v>7332855</v>
      </c>
      <c r="R387" s="70"/>
      <c r="S387" s="70" t="s">
        <v>1794</v>
      </c>
      <c r="T387" s="70"/>
      <c r="U387" s="70" t="s">
        <v>3657</v>
      </c>
      <c r="V387" s="70"/>
    </row>
    <row r="388" spans="1:22" ht="15.75" customHeight="1">
      <c r="A388" s="66">
        <v>39558</v>
      </c>
      <c r="B388" s="67">
        <f t="shared" ca="1" si="2"/>
        <v>18.130421040715369</v>
      </c>
      <c r="C388" s="68" t="str">
        <f t="shared" ca="1" si="3"/>
        <v>18 years, 1 months</v>
      </c>
      <c r="D388" s="69">
        <v>9449308292</v>
      </c>
      <c r="E388" s="69">
        <v>20080420</v>
      </c>
      <c r="F388" s="70"/>
      <c r="G388" s="70" t="s">
        <v>3658</v>
      </c>
      <c r="H388" s="70" t="s">
        <v>3659</v>
      </c>
      <c r="I388" s="70" t="s">
        <v>2627</v>
      </c>
      <c r="J388" s="70" t="s">
        <v>1422</v>
      </c>
      <c r="K388" s="70" t="s">
        <v>1285</v>
      </c>
      <c r="L388" s="70"/>
      <c r="M388" s="70" t="s">
        <v>3660</v>
      </c>
      <c r="N388" s="70"/>
      <c r="O388" s="70" t="s">
        <v>2524</v>
      </c>
      <c r="P388" s="70" t="s">
        <v>1793</v>
      </c>
      <c r="Q388" s="69">
        <v>7401808</v>
      </c>
      <c r="R388" s="70"/>
      <c r="S388" s="70" t="s">
        <v>1794</v>
      </c>
      <c r="T388" s="70"/>
      <c r="U388" s="70" t="s">
        <v>3661</v>
      </c>
      <c r="V388" s="70"/>
    </row>
    <row r="389" spans="1:22" ht="15.75" customHeight="1">
      <c r="A389" s="66">
        <v>39573</v>
      </c>
      <c r="B389" s="67">
        <f t="shared" ca="1" si="2"/>
        <v>18.089325150304408</v>
      </c>
      <c r="C389" s="68" t="str">
        <f t="shared" ca="1" si="3"/>
        <v>18 years, 1 months</v>
      </c>
      <c r="D389" s="69">
        <v>9449306478</v>
      </c>
      <c r="E389" s="69">
        <v>20080505</v>
      </c>
      <c r="F389" s="70"/>
      <c r="G389" s="70" t="s">
        <v>3662</v>
      </c>
      <c r="H389" s="70" t="s">
        <v>3663</v>
      </c>
      <c r="I389" s="70" t="s">
        <v>3664</v>
      </c>
      <c r="J389" s="70" t="s">
        <v>1391</v>
      </c>
      <c r="K389" s="70" t="s">
        <v>1263</v>
      </c>
      <c r="L389" s="70" t="s">
        <v>3665</v>
      </c>
      <c r="M389" s="70" t="s">
        <v>3666</v>
      </c>
      <c r="N389" s="70"/>
      <c r="O389" s="70" t="s">
        <v>1906</v>
      </c>
      <c r="P389" s="70"/>
      <c r="Q389" s="69">
        <v>30898144</v>
      </c>
      <c r="R389" s="70"/>
      <c r="S389" s="70" t="s">
        <v>1794</v>
      </c>
      <c r="T389" s="70"/>
      <c r="U389" s="70" t="s">
        <v>3667</v>
      </c>
      <c r="V389" s="70"/>
    </row>
    <row r="390" spans="1:22" ht="15.75" customHeight="1">
      <c r="A390" s="66">
        <v>39581</v>
      </c>
      <c r="B390" s="67">
        <f t="shared" ca="1" si="2"/>
        <v>18.067407342085232</v>
      </c>
      <c r="C390" s="68" t="str">
        <f t="shared" ca="1" si="3"/>
        <v>18 years, 0 months</v>
      </c>
      <c r="D390" s="69">
        <v>9449305366</v>
      </c>
      <c r="E390" s="69">
        <v>20080513</v>
      </c>
      <c r="F390" s="70"/>
      <c r="G390" s="70" t="s">
        <v>3668</v>
      </c>
      <c r="H390" s="70" t="s">
        <v>3364</v>
      </c>
      <c r="I390" s="70" t="s">
        <v>3669</v>
      </c>
      <c r="J390" s="70" t="s">
        <v>1314</v>
      </c>
      <c r="K390" s="70" t="s">
        <v>1263</v>
      </c>
      <c r="L390" s="70"/>
      <c r="M390" s="70" t="s">
        <v>3670</v>
      </c>
      <c r="N390" s="70"/>
      <c r="O390" s="70" t="s">
        <v>1800</v>
      </c>
      <c r="P390" s="70" t="s">
        <v>1793</v>
      </c>
      <c r="Q390" s="69">
        <v>7336537</v>
      </c>
      <c r="R390" s="70"/>
      <c r="S390" s="70" t="s">
        <v>1794</v>
      </c>
      <c r="T390" s="70"/>
      <c r="U390" s="70" t="s">
        <v>3671</v>
      </c>
      <c r="V390" s="70"/>
    </row>
    <row r="391" spans="1:22" ht="15.75" customHeight="1">
      <c r="A391" s="66">
        <v>39589</v>
      </c>
      <c r="B391" s="67">
        <f t="shared" ca="1" si="2"/>
        <v>18.045489533866053</v>
      </c>
      <c r="C391" s="68" t="str">
        <f t="shared" ca="1" si="3"/>
        <v>18 years, 0 months</v>
      </c>
      <c r="D391" s="69">
        <v>9449306583</v>
      </c>
      <c r="E391" s="69">
        <v>20080521</v>
      </c>
      <c r="F391" s="70"/>
      <c r="G391" s="70" t="s">
        <v>2369</v>
      </c>
      <c r="H391" s="70"/>
      <c r="I391" s="70" t="s">
        <v>3672</v>
      </c>
      <c r="J391" s="70" t="s">
        <v>1422</v>
      </c>
      <c r="K391" s="70" t="s">
        <v>1285</v>
      </c>
      <c r="L391" s="70" t="s">
        <v>3673</v>
      </c>
      <c r="M391" s="70" t="s">
        <v>3674</v>
      </c>
      <c r="N391" s="70"/>
      <c r="O391" s="70" t="s">
        <v>1834</v>
      </c>
      <c r="P391" s="70" t="s">
        <v>1793</v>
      </c>
      <c r="Q391" s="69">
        <v>17358851</v>
      </c>
      <c r="R391" s="70"/>
      <c r="S391" s="70" t="s">
        <v>1794</v>
      </c>
      <c r="T391" s="70"/>
      <c r="U391" s="70" t="s">
        <v>3675</v>
      </c>
      <c r="V391" s="70"/>
    </row>
    <row r="392" spans="1:22" ht="15.75" customHeight="1">
      <c r="A392" s="66">
        <v>39603</v>
      </c>
      <c r="B392" s="67">
        <f t="shared" ca="1" si="2"/>
        <v>18.007133369482492</v>
      </c>
      <c r="C392" s="68" t="str">
        <f t="shared" ca="1" si="3"/>
        <v>18 years, 0 months</v>
      </c>
      <c r="D392" s="69">
        <v>9449305951</v>
      </c>
      <c r="E392" s="69">
        <v>20080604</v>
      </c>
      <c r="F392" s="70"/>
      <c r="G392" s="70" t="s">
        <v>3676</v>
      </c>
      <c r="H392" s="70" t="s">
        <v>3677</v>
      </c>
      <c r="I392" s="70" t="s">
        <v>3678</v>
      </c>
      <c r="J392" s="70" t="s">
        <v>1422</v>
      </c>
      <c r="K392" s="70" t="s">
        <v>1285</v>
      </c>
      <c r="L392" s="70"/>
      <c r="M392" s="70" t="s">
        <v>3679</v>
      </c>
      <c r="N392" s="70" t="s">
        <v>3680</v>
      </c>
      <c r="O392" s="70" t="s">
        <v>1800</v>
      </c>
      <c r="P392" s="70" t="s">
        <v>1793</v>
      </c>
      <c r="Q392" s="69">
        <v>27875704</v>
      </c>
      <c r="R392" s="70"/>
      <c r="S392" s="70" t="s">
        <v>1794</v>
      </c>
      <c r="T392" s="70"/>
      <c r="U392" s="70" t="s">
        <v>3681</v>
      </c>
      <c r="V392" s="70"/>
    </row>
    <row r="393" spans="1:22" ht="15.75" customHeight="1">
      <c r="A393" s="66">
        <v>39615</v>
      </c>
      <c r="B393" s="67">
        <f t="shared" ca="1" si="2"/>
        <v>17.974256657153724</v>
      </c>
      <c r="C393" s="68" t="str">
        <f t="shared" ca="1" si="3"/>
        <v>17 years, 11 months</v>
      </c>
      <c r="D393" s="69">
        <v>9449308357</v>
      </c>
      <c r="E393" s="69">
        <v>20080616</v>
      </c>
      <c r="F393" s="70"/>
      <c r="G393" s="70" t="s">
        <v>3682</v>
      </c>
      <c r="H393" s="70" t="s">
        <v>3683</v>
      </c>
      <c r="I393" s="70" t="s">
        <v>3684</v>
      </c>
      <c r="J393" s="70" t="s">
        <v>1314</v>
      </c>
      <c r="K393" s="70" t="s">
        <v>1263</v>
      </c>
      <c r="L393" s="70"/>
      <c r="M393" s="70" t="s">
        <v>3685</v>
      </c>
      <c r="N393" s="70"/>
      <c r="O393" s="70" t="s">
        <v>2524</v>
      </c>
      <c r="P393" s="70" t="s">
        <v>1793</v>
      </c>
      <c r="Q393" s="69">
        <v>7402596</v>
      </c>
      <c r="R393" s="70"/>
      <c r="S393" s="70" t="s">
        <v>1794</v>
      </c>
      <c r="T393" s="70"/>
      <c r="U393" s="70" t="s">
        <v>3686</v>
      </c>
      <c r="V393" s="70"/>
    </row>
    <row r="394" spans="1:22" ht="15.75" customHeight="1">
      <c r="A394" s="66">
        <v>39626</v>
      </c>
      <c r="B394" s="67">
        <f t="shared" ca="1" si="2"/>
        <v>17.944119670852356</v>
      </c>
      <c r="C394" s="68" t="str">
        <f t="shared" ca="1" si="3"/>
        <v>17 years, 11 months</v>
      </c>
      <c r="D394" s="69">
        <v>9449303274</v>
      </c>
      <c r="E394" s="69">
        <v>20080627</v>
      </c>
      <c r="F394" s="70"/>
      <c r="G394" s="70" t="s">
        <v>3687</v>
      </c>
      <c r="H394" s="70" t="s">
        <v>3688</v>
      </c>
      <c r="I394" s="70" t="s">
        <v>3689</v>
      </c>
      <c r="J394" s="70" t="s">
        <v>1422</v>
      </c>
      <c r="K394" s="70" t="s">
        <v>1285</v>
      </c>
      <c r="L394" s="70" t="s">
        <v>3690</v>
      </c>
      <c r="M394" s="70" t="s">
        <v>3691</v>
      </c>
      <c r="N394" s="70" t="s">
        <v>3692</v>
      </c>
      <c r="O394" s="70" t="s">
        <v>3693</v>
      </c>
      <c r="P394" s="70" t="s">
        <v>3694</v>
      </c>
      <c r="Q394" s="69">
        <v>17360159</v>
      </c>
      <c r="R394" s="70"/>
      <c r="S394" s="70" t="s">
        <v>1794</v>
      </c>
      <c r="T394" s="70"/>
      <c r="U394" s="70" t="s">
        <v>3695</v>
      </c>
      <c r="V394" s="70"/>
    </row>
    <row r="395" spans="1:22" ht="15.75" customHeight="1">
      <c r="A395" s="66">
        <v>39631</v>
      </c>
      <c r="B395" s="67">
        <f t="shared" ca="1" si="2"/>
        <v>17.93042104071537</v>
      </c>
      <c r="C395" s="68" t="str">
        <f t="shared" ca="1" si="3"/>
        <v>17 years, 11 months</v>
      </c>
      <c r="D395" s="69">
        <v>9449309531</v>
      </c>
      <c r="E395" s="69">
        <v>20080702</v>
      </c>
      <c r="F395" s="70"/>
      <c r="G395" s="70" t="s">
        <v>3696</v>
      </c>
      <c r="H395" s="70" t="s">
        <v>3697</v>
      </c>
      <c r="I395" s="70" t="s">
        <v>3698</v>
      </c>
      <c r="J395" s="70" t="s">
        <v>1422</v>
      </c>
      <c r="K395" s="70" t="s">
        <v>2016</v>
      </c>
      <c r="L395" s="70"/>
      <c r="M395" s="70" t="s">
        <v>3699</v>
      </c>
      <c r="N395" s="70" t="s">
        <v>2343</v>
      </c>
      <c r="O395" s="70" t="s">
        <v>2344</v>
      </c>
      <c r="P395" s="70" t="s">
        <v>1793</v>
      </c>
      <c r="Q395" s="69">
        <v>20525113</v>
      </c>
      <c r="R395" s="70"/>
      <c r="S395" s="70" t="s">
        <v>1794</v>
      </c>
      <c r="T395" s="70"/>
      <c r="U395" s="70" t="s">
        <v>3700</v>
      </c>
      <c r="V395" s="70"/>
    </row>
    <row r="396" spans="1:22" ht="15.75" customHeight="1">
      <c r="A396" s="66">
        <v>39664</v>
      </c>
      <c r="B396" s="67">
        <f t="shared" ca="1" si="2"/>
        <v>17.840010081811258</v>
      </c>
      <c r="C396" s="68" t="str">
        <f t="shared" ca="1" si="3"/>
        <v>17 years, 10 months</v>
      </c>
      <c r="D396" s="69">
        <v>9464341793</v>
      </c>
      <c r="E396" s="69">
        <v>20080804</v>
      </c>
      <c r="F396" s="70"/>
      <c r="G396" s="70" t="s">
        <v>3701</v>
      </c>
      <c r="H396" s="70" t="s">
        <v>3702</v>
      </c>
      <c r="I396" s="70" t="s">
        <v>3703</v>
      </c>
      <c r="J396" s="70" t="s">
        <v>1422</v>
      </c>
      <c r="K396" s="70" t="s">
        <v>1285</v>
      </c>
      <c r="L396" s="70" t="s">
        <v>3704</v>
      </c>
      <c r="M396" s="70" t="s">
        <v>3705</v>
      </c>
      <c r="N396" s="70"/>
      <c r="O396" s="70" t="s">
        <v>3706</v>
      </c>
      <c r="P396" s="70" t="s">
        <v>1793</v>
      </c>
      <c r="Q396" s="69">
        <v>18809573</v>
      </c>
      <c r="R396" s="70"/>
      <c r="S396" s="70" t="s">
        <v>3707</v>
      </c>
      <c r="T396" s="70"/>
      <c r="U396" s="70" t="s">
        <v>3708</v>
      </c>
      <c r="V396" s="70"/>
    </row>
    <row r="397" spans="1:22" ht="15.75" customHeight="1">
      <c r="A397" s="66">
        <v>39666</v>
      </c>
      <c r="B397" s="67">
        <f t="shared" ca="1" si="2"/>
        <v>17.834530629756465</v>
      </c>
      <c r="C397" s="68" t="str">
        <f t="shared" ca="1" si="3"/>
        <v>17 years, 10 months</v>
      </c>
      <c r="D397" s="69">
        <v>9449305404</v>
      </c>
      <c r="E397" s="69">
        <v>20080806</v>
      </c>
      <c r="F397" s="70"/>
      <c r="G397" s="70" t="s">
        <v>3709</v>
      </c>
      <c r="H397" s="70" t="s">
        <v>3710</v>
      </c>
      <c r="I397" s="70" t="s">
        <v>3711</v>
      </c>
      <c r="J397" s="70" t="s">
        <v>1314</v>
      </c>
      <c r="K397" s="70" t="s">
        <v>1263</v>
      </c>
      <c r="L397" s="70"/>
      <c r="M397" s="70" t="s">
        <v>3712</v>
      </c>
      <c r="N397" s="70"/>
      <c r="O397" s="70" t="s">
        <v>1800</v>
      </c>
      <c r="P397" s="70" t="s">
        <v>1793</v>
      </c>
      <c r="Q397" s="69">
        <v>7337319</v>
      </c>
      <c r="R397" s="70"/>
      <c r="S397" s="70" t="s">
        <v>1794</v>
      </c>
      <c r="T397" s="70"/>
      <c r="U397" s="70" t="s">
        <v>3713</v>
      </c>
      <c r="V397" s="70"/>
    </row>
    <row r="398" spans="1:22" ht="15.75" customHeight="1">
      <c r="A398" s="66">
        <v>39700</v>
      </c>
      <c r="B398" s="67">
        <f t="shared" ca="1" si="2"/>
        <v>17.741379944824956</v>
      </c>
      <c r="C398" s="68" t="str">
        <f t="shared" ca="1" si="3"/>
        <v>17 years, 8 months</v>
      </c>
      <c r="D398" s="69">
        <v>9449309086</v>
      </c>
      <c r="E398" s="69">
        <v>20080909</v>
      </c>
      <c r="F398" s="70"/>
      <c r="G398" s="70" t="s">
        <v>3714</v>
      </c>
      <c r="H398" s="70" t="s">
        <v>3715</v>
      </c>
      <c r="I398" s="70" t="s">
        <v>3716</v>
      </c>
      <c r="J398" s="70" t="s">
        <v>1422</v>
      </c>
      <c r="K398" s="70" t="s">
        <v>1285</v>
      </c>
      <c r="L398" s="70"/>
      <c r="M398" s="70" t="s">
        <v>3717</v>
      </c>
      <c r="N398" s="70"/>
      <c r="O398" s="70" t="s">
        <v>1862</v>
      </c>
      <c r="P398" s="70" t="s">
        <v>1793</v>
      </c>
      <c r="Q398" s="69">
        <v>9574682</v>
      </c>
      <c r="R398" s="70"/>
      <c r="S398" s="70" t="s">
        <v>1794</v>
      </c>
      <c r="T398" s="70"/>
      <c r="U398" s="70" t="s">
        <v>3718</v>
      </c>
      <c r="V398" s="70"/>
    </row>
    <row r="399" spans="1:22" ht="15.75" customHeight="1">
      <c r="A399" s="66">
        <v>39702</v>
      </c>
      <c r="B399" s="67">
        <f t="shared" ca="1" si="2"/>
        <v>17.735900492770163</v>
      </c>
      <c r="C399" s="68" t="str">
        <f t="shared" ca="1" si="3"/>
        <v>17 years, 8 months</v>
      </c>
      <c r="D399" s="69">
        <v>9449310483</v>
      </c>
      <c r="E399" s="69">
        <v>20080911</v>
      </c>
      <c r="F399" s="69">
        <v>20101001</v>
      </c>
      <c r="G399" s="70" t="s">
        <v>3719</v>
      </c>
      <c r="H399" s="70" t="s">
        <v>3720</v>
      </c>
      <c r="I399" s="70" t="s">
        <v>3721</v>
      </c>
      <c r="J399" s="70" t="s">
        <v>1391</v>
      </c>
      <c r="K399" s="70" t="s">
        <v>1263</v>
      </c>
      <c r="L399" s="70" t="s">
        <v>3722</v>
      </c>
      <c r="M399" s="70" t="s">
        <v>2714</v>
      </c>
      <c r="N399" s="70"/>
      <c r="O399" s="70" t="s">
        <v>1834</v>
      </c>
      <c r="P399" s="70" t="s">
        <v>1793</v>
      </c>
      <c r="Q399" s="69">
        <v>21353908</v>
      </c>
      <c r="R399" s="70"/>
      <c r="S399" s="70" t="s">
        <v>1794</v>
      </c>
      <c r="T399" s="70"/>
      <c r="U399" s="70" t="s">
        <v>3723</v>
      </c>
      <c r="V399" s="70"/>
    </row>
    <row r="400" spans="1:22" ht="15.75" customHeight="1">
      <c r="A400" s="66">
        <v>39703</v>
      </c>
      <c r="B400" s="67">
        <f t="shared" ca="1" si="2"/>
        <v>17.733160766742767</v>
      </c>
      <c r="C400" s="68" t="str">
        <f t="shared" ca="1" si="3"/>
        <v>17 years, 8 months</v>
      </c>
      <c r="D400" s="69">
        <v>9449308764</v>
      </c>
      <c r="E400" s="69">
        <v>20080912</v>
      </c>
      <c r="F400" s="70"/>
      <c r="G400" s="70" t="s">
        <v>3724</v>
      </c>
      <c r="H400" s="70" t="s">
        <v>3725</v>
      </c>
      <c r="I400" s="70" t="s">
        <v>3726</v>
      </c>
      <c r="J400" s="70" t="s">
        <v>1314</v>
      </c>
      <c r="K400" s="70" t="s">
        <v>1263</v>
      </c>
      <c r="L400" s="70"/>
      <c r="M400" s="70" t="s">
        <v>3727</v>
      </c>
      <c r="N400" s="70"/>
      <c r="O400" s="70" t="s">
        <v>1862</v>
      </c>
      <c r="P400" s="70"/>
      <c r="Q400" s="69">
        <v>27453768</v>
      </c>
      <c r="R400" s="70"/>
      <c r="S400" s="70" t="s">
        <v>1794</v>
      </c>
      <c r="T400" s="70"/>
      <c r="U400" s="70" t="s">
        <v>3728</v>
      </c>
      <c r="V400" s="70"/>
    </row>
    <row r="401" spans="1:22" ht="15.75" customHeight="1">
      <c r="A401" s="66">
        <v>39708</v>
      </c>
      <c r="B401" s="67">
        <f t="shared" ca="1" si="2"/>
        <v>17.719462136605781</v>
      </c>
      <c r="C401" s="68" t="str">
        <f t="shared" ca="1" si="3"/>
        <v>17 years, 8 months</v>
      </c>
      <c r="D401" s="69">
        <v>9449309809</v>
      </c>
      <c r="E401" s="69">
        <v>20080917</v>
      </c>
      <c r="F401" s="70"/>
      <c r="G401" s="70" t="s">
        <v>3729</v>
      </c>
      <c r="H401" s="70" t="s">
        <v>3730</v>
      </c>
      <c r="I401" s="70" t="s">
        <v>3731</v>
      </c>
      <c r="J401" s="70" t="s">
        <v>1422</v>
      </c>
      <c r="K401" s="70" t="s">
        <v>1285</v>
      </c>
      <c r="L401" s="70"/>
      <c r="M401" s="70" t="s">
        <v>3732</v>
      </c>
      <c r="N401" s="70"/>
      <c r="O401" s="70" t="s">
        <v>1886</v>
      </c>
      <c r="P401" s="70" t="s">
        <v>1793</v>
      </c>
      <c r="Q401" s="69">
        <v>9721430</v>
      </c>
      <c r="R401" s="70"/>
      <c r="S401" s="70" t="s">
        <v>1794</v>
      </c>
      <c r="T401" s="70"/>
      <c r="U401" s="70" t="s">
        <v>3733</v>
      </c>
      <c r="V401" s="70"/>
    </row>
    <row r="402" spans="1:22" ht="15.75" customHeight="1">
      <c r="A402" s="66">
        <v>39708</v>
      </c>
      <c r="B402" s="67">
        <f t="shared" ca="1" si="2"/>
        <v>17.719462136605781</v>
      </c>
      <c r="C402" s="68" t="str">
        <f t="shared" ca="1" si="3"/>
        <v>17 years, 8 months</v>
      </c>
      <c r="D402" s="69">
        <v>9449310513</v>
      </c>
      <c r="E402" s="69">
        <v>20080917</v>
      </c>
      <c r="F402" s="69">
        <v>20100101</v>
      </c>
      <c r="G402" s="70" t="s">
        <v>3364</v>
      </c>
      <c r="H402" s="70" t="s">
        <v>3734</v>
      </c>
      <c r="I402" s="70" t="s">
        <v>2427</v>
      </c>
      <c r="J402" s="70" t="s">
        <v>1391</v>
      </c>
      <c r="K402" s="70" t="s">
        <v>1263</v>
      </c>
      <c r="L402" s="70"/>
      <c r="M402" s="70" t="s">
        <v>3735</v>
      </c>
      <c r="N402" s="70"/>
      <c r="O402" s="70" t="s">
        <v>1807</v>
      </c>
      <c r="P402" s="70" t="s">
        <v>1793</v>
      </c>
      <c r="Q402" s="69">
        <v>7360240</v>
      </c>
      <c r="R402" s="70"/>
      <c r="S402" s="70" t="s">
        <v>1794</v>
      </c>
      <c r="T402" s="70"/>
      <c r="U402" s="70" t="s">
        <v>3736</v>
      </c>
      <c r="V402" s="70"/>
    </row>
    <row r="403" spans="1:22" ht="15.75" customHeight="1">
      <c r="A403" s="66">
        <v>39708</v>
      </c>
      <c r="B403" s="67">
        <f t="shared" ca="1" si="2"/>
        <v>17.719462136605781</v>
      </c>
      <c r="C403" s="68" t="str">
        <f t="shared" ca="1" si="3"/>
        <v>17 years, 8 months</v>
      </c>
      <c r="D403" s="69">
        <v>9449304386</v>
      </c>
      <c r="E403" s="69">
        <v>20080917</v>
      </c>
      <c r="F403" s="70"/>
      <c r="G403" s="70" t="s">
        <v>3737</v>
      </c>
      <c r="H403" s="70"/>
      <c r="I403" s="70" t="s">
        <v>3738</v>
      </c>
      <c r="J403" s="70" t="s">
        <v>1422</v>
      </c>
      <c r="K403" s="70" t="s">
        <v>1932</v>
      </c>
      <c r="L403" s="70" t="s">
        <v>3739</v>
      </c>
      <c r="M403" s="70" t="s">
        <v>3424</v>
      </c>
      <c r="N403" s="70"/>
      <c r="O403" s="70" t="s">
        <v>1800</v>
      </c>
      <c r="P403" s="70"/>
      <c r="Q403" s="69">
        <v>17348099</v>
      </c>
      <c r="R403" s="70"/>
      <c r="S403" s="70" t="s">
        <v>1794</v>
      </c>
      <c r="T403" s="70"/>
      <c r="U403" s="70" t="s">
        <v>3740</v>
      </c>
      <c r="V403" s="70"/>
    </row>
    <row r="404" spans="1:22" ht="15.75" customHeight="1">
      <c r="A404" s="72">
        <v>39711</v>
      </c>
      <c r="B404" s="67">
        <f t="shared" ca="1" si="2"/>
        <v>17.711242958523588</v>
      </c>
      <c r="C404" s="68" t="str">
        <f t="shared" ca="1" si="3"/>
        <v>17 years, 8 months</v>
      </c>
      <c r="D404" s="69">
        <v>9449305552</v>
      </c>
      <c r="E404" s="69">
        <v>20080920</v>
      </c>
      <c r="F404" s="70"/>
      <c r="G404" s="70" t="s">
        <v>3741</v>
      </c>
      <c r="H404" s="70"/>
      <c r="I404" s="70" t="s">
        <v>3742</v>
      </c>
      <c r="J404" s="70" t="s">
        <v>1391</v>
      </c>
      <c r="K404" s="70" t="s">
        <v>1263</v>
      </c>
      <c r="L404" s="70"/>
      <c r="M404" s="70" t="s">
        <v>3743</v>
      </c>
      <c r="N404" s="70"/>
      <c r="O404" s="70" t="s">
        <v>1800</v>
      </c>
      <c r="P404" s="70" t="s">
        <v>1793</v>
      </c>
      <c r="Q404" s="69">
        <v>7339806</v>
      </c>
      <c r="R404" s="70"/>
      <c r="S404" s="70" t="s">
        <v>1794</v>
      </c>
      <c r="T404" s="70"/>
      <c r="U404" s="70" t="s">
        <v>3744</v>
      </c>
      <c r="V404" s="70"/>
    </row>
    <row r="405" spans="1:22" ht="15.75" customHeight="1">
      <c r="A405" s="66">
        <v>39716</v>
      </c>
      <c r="B405" s="67">
        <f t="shared" ca="1" si="2"/>
        <v>17.697544328386602</v>
      </c>
      <c r="C405" s="68" t="str">
        <f t="shared" ca="1" si="3"/>
        <v>17 years, 8 months</v>
      </c>
      <c r="D405" s="69">
        <v>9449306419</v>
      </c>
      <c r="E405" s="69">
        <v>20080925</v>
      </c>
      <c r="F405" s="70"/>
      <c r="G405" s="70" t="s">
        <v>3745</v>
      </c>
      <c r="H405" s="70" t="s">
        <v>3746</v>
      </c>
      <c r="I405" s="70" t="s">
        <v>3747</v>
      </c>
      <c r="J405" s="70" t="s">
        <v>1422</v>
      </c>
      <c r="K405" s="70" t="s">
        <v>1285</v>
      </c>
      <c r="L405" s="70" t="s">
        <v>3748</v>
      </c>
      <c r="M405" s="70" t="s">
        <v>2724</v>
      </c>
      <c r="N405" s="70" t="s">
        <v>2184</v>
      </c>
      <c r="O405" s="70" t="s">
        <v>1906</v>
      </c>
      <c r="P405" s="70" t="s">
        <v>1793</v>
      </c>
      <c r="Q405" s="69">
        <v>17358227</v>
      </c>
      <c r="R405" s="70"/>
      <c r="S405" s="70" t="s">
        <v>1794</v>
      </c>
      <c r="T405" s="70"/>
      <c r="U405" s="70" t="s">
        <v>3749</v>
      </c>
      <c r="V405" s="70"/>
    </row>
    <row r="406" spans="1:22" ht="15.75" customHeight="1">
      <c r="A406" s="66">
        <v>39727</v>
      </c>
      <c r="B406" s="67">
        <f t="shared" ca="1" si="2"/>
        <v>17.66740734208523</v>
      </c>
      <c r="C406" s="68" t="str">
        <f t="shared" ca="1" si="3"/>
        <v>17 years, 8 months</v>
      </c>
      <c r="D406" s="69">
        <v>9449308934</v>
      </c>
      <c r="E406" s="69">
        <v>20081006</v>
      </c>
      <c r="F406" s="70"/>
      <c r="G406" s="70" t="s">
        <v>3750</v>
      </c>
      <c r="H406" s="70"/>
      <c r="I406" s="70" t="s">
        <v>3751</v>
      </c>
      <c r="J406" s="70" t="s">
        <v>1422</v>
      </c>
      <c r="K406" s="70" t="s">
        <v>1285</v>
      </c>
      <c r="L406" s="70"/>
      <c r="M406" s="70" t="s">
        <v>3752</v>
      </c>
      <c r="N406" s="70"/>
      <c r="O406" s="70" t="s">
        <v>1862</v>
      </c>
      <c r="P406" s="70" t="s">
        <v>1793</v>
      </c>
      <c r="Q406" s="69">
        <v>9573028</v>
      </c>
      <c r="R406" s="70"/>
      <c r="S406" s="70" t="s">
        <v>1794</v>
      </c>
      <c r="T406" s="70"/>
      <c r="U406" s="70" t="s">
        <v>3753</v>
      </c>
      <c r="V406" s="70"/>
    </row>
    <row r="407" spans="1:22" ht="15.75" customHeight="1">
      <c r="A407" s="66">
        <v>39737</v>
      </c>
      <c r="B407" s="67">
        <f t="shared" ca="1" si="2"/>
        <v>17.640010081811258</v>
      </c>
      <c r="C407" s="68" t="str">
        <f t="shared" ca="1" si="3"/>
        <v>17 years, 7 months</v>
      </c>
      <c r="D407" s="69">
        <v>9449304661</v>
      </c>
      <c r="E407" s="69">
        <v>20081016</v>
      </c>
      <c r="F407" s="70"/>
      <c r="G407" s="70" t="s">
        <v>3754</v>
      </c>
      <c r="H407" s="70" t="s">
        <v>3755</v>
      </c>
      <c r="I407" s="70" t="s">
        <v>3756</v>
      </c>
      <c r="J407" s="70" t="s">
        <v>1391</v>
      </c>
      <c r="K407" s="70" t="s">
        <v>1263</v>
      </c>
      <c r="L407" s="70"/>
      <c r="M407" s="70" t="s">
        <v>3757</v>
      </c>
      <c r="N407" s="70"/>
      <c r="O407" s="70" t="s">
        <v>1800</v>
      </c>
      <c r="P407" s="70" t="s">
        <v>1793</v>
      </c>
      <c r="Q407" s="69">
        <v>17349267</v>
      </c>
      <c r="R407" s="70"/>
      <c r="S407" s="70" t="s">
        <v>1794</v>
      </c>
      <c r="T407" s="70"/>
      <c r="U407" s="70" t="s">
        <v>3758</v>
      </c>
      <c r="V407" s="70"/>
    </row>
    <row r="408" spans="1:22" ht="15.75" customHeight="1">
      <c r="A408" s="66">
        <v>39770</v>
      </c>
      <c r="B408" s="67">
        <f t="shared" ca="1" si="2"/>
        <v>17.54959912290715</v>
      </c>
      <c r="C408" s="68" t="str">
        <f t="shared" ca="1" si="3"/>
        <v>17 years, 6 months</v>
      </c>
      <c r="D408" s="69">
        <v>9449305323</v>
      </c>
      <c r="E408" s="69">
        <v>20081118</v>
      </c>
      <c r="F408" s="70"/>
      <c r="G408" s="70" t="s">
        <v>3759</v>
      </c>
      <c r="H408" s="70" t="s">
        <v>3760</v>
      </c>
      <c r="I408" s="70" t="s">
        <v>3761</v>
      </c>
      <c r="J408" s="70" t="s">
        <v>1314</v>
      </c>
      <c r="K408" s="70" t="s">
        <v>1263</v>
      </c>
      <c r="L408" s="70"/>
      <c r="M408" s="70" t="s">
        <v>3762</v>
      </c>
      <c r="N408" s="70"/>
      <c r="O408" s="70" t="s">
        <v>1800</v>
      </c>
      <c r="P408" s="70" t="s">
        <v>1793</v>
      </c>
      <c r="Q408" s="69">
        <v>17351755</v>
      </c>
      <c r="R408" s="70"/>
      <c r="S408" s="70" t="s">
        <v>1794</v>
      </c>
      <c r="T408" s="70"/>
      <c r="U408" s="70" t="s">
        <v>3763</v>
      </c>
      <c r="V408" s="70"/>
    </row>
    <row r="409" spans="1:22" ht="15.75" customHeight="1">
      <c r="A409" s="66">
        <v>39781</v>
      </c>
      <c r="B409" s="67">
        <f t="shared" ca="1" si="2"/>
        <v>17.519462136605778</v>
      </c>
      <c r="C409" s="68" t="str">
        <f t="shared" ca="1" si="3"/>
        <v>17 years, 6 months</v>
      </c>
      <c r="D409" s="69">
        <v>9449306796</v>
      </c>
      <c r="E409" s="69">
        <v>20081129</v>
      </c>
      <c r="F409" s="70"/>
      <c r="G409" s="70" t="s">
        <v>3764</v>
      </c>
      <c r="H409" s="70"/>
      <c r="I409" s="70" t="s">
        <v>3765</v>
      </c>
      <c r="J409" s="70" t="s">
        <v>1391</v>
      </c>
      <c r="K409" s="70" t="s">
        <v>1932</v>
      </c>
      <c r="L409" s="70"/>
      <c r="M409" s="70" t="s">
        <v>3766</v>
      </c>
      <c r="N409" s="70"/>
      <c r="O409" s="70" t="s">
        <v>1834</v>
      </c>
      <c r="P409" s="70" t="s">
        <v>1793</v>
      </c>
      <c r="Q409" s="69">
        <v>7358671</v>
      </c>
      <c r="R409" s="70"/>
      <c r="S409" s="70" t="s">
        <v>1794</v>
      </c>
      <c r="T409" s="70"/>
      <c r="U409" s="70" t="s">
        <v>3767</v>
      </c>
      <c r="V409" s="70"/>
    </row>
    <row r="410" spans="1:22" ht="15.75" customHeight="1">
      <c r="A410" s="66">
        <v>39798</v>
      </c>
      <c r="B410" s="67">
        <f t="shared" ca="1" si="2"/>
        <v>17.472886794140027</v>
      </c>
      <c r="C410" s="68" t="str">
        <f t="shared" ca="1" si="3"/>
        <v>17 years, 5 months</v>
      </c>
      <c r="D410" s="69">
        <v>9449307342</v>
      </c>
      <c r="E410" s="69">
        <v>20081216</v>
      </c>
      <c r="F410" s="70"/>
      <c r="G410" s="70" t="s">
        <v>3615</v>
      </c>
      <c r="H410" s="70"/>
      <c r="I410" s="70" t="s">
        <v>3768</v>
      </c>
      <c r="J410" s="70" t="s">
        <v>1422</v>
      </c>
      <c r="K410" s="70" t="s">
        <v>1932</v>
      </c>
      <c r="L410" s="70"/>
      <c r="M410" s="70" t="s">
        <v>3769</v>
      </c>
      <c r="N410" s="70"/>
      <c r="O410" s="70" t="s">
        <v>1807</v>
      </c>
      <c r="P410" s="70" t="s">
        <v>1793</v>
      </c>
      <c r="Q410" s="69">
        <v>7361617</v>
      </c>
      <c r="R410" s="70"/>
      <c r="S410" s="70" t="s">
        <v>1794</v>
      </c>
      <c r="T410" s="70"/>
      <c r="U410" s="70" t="s">
        <v>3770</v>
      </c>
      <c r="V410" s="70"/>
    </row>
    <row r="411" spans="1:22" ht="15.75" customHeight="1">
      <c r="A411" s="66">
        <v>39803</v>
      </c>
      <c r="B411" s="67">
        <f t="shared" ca="1" si="2"/>
        <v>17.459188164003038</v>
      </c>
      <c r="C411" s="68" t="str">
        <f t="shared" ca="1" si="3"/>
        <v>17 years, 5 months</v>
      </c>
      <c r="D411" s="69">
        <v>9449310408</v>
      </c>
      <c r="E411" s="69">
        <v>20081221</v>
      </c>
      <c r="F411" s="70"/>
      <c r="G411" s="70" t="s">
        <v>2020</v>
      </c>
      <c r="H411" s="70"/>
      <c r="I411" s="70" t="s">
        <v>3771</v>
      </c>
      <c r="J411" s="70" t="s">
        <v>1422</v>
      </c>
      <c r="K411" s="70" t="s">
        <v>1285</v>
      </c>
      <c r="L411" s="70" t="s">
        <v>3772</v>
      </c>
      <c r="M411" s="70" t="s">
        <v>1978</v>
      </c>
      <c r="N411" s="70"/>
      <c r="O411" s="70" t="s">
        <v>1834</v>
      </c>
      <c r="P411" s="70" t="s">
        <v>1793</v>
      </c>
      <c r="Q411" s="69">
        <v>17358936</v>
      </c>
      <c r="R411" s="70" t="s">
        <v>1730</v>
      </c>
      <c r="S411" s="70" t="s">
        <v>1794</v>
      </c>
      <c r="T411" s="70"/>
      <c r="U411" s="70" t="s">
        <v>3773</v>
      </c>
      <c r="V411" s="70"/>
    </row>
    <row r="412" spans="1:22" ht="15.75" customHeight="1">
      <c r="A412" s="66">
        <v>39809</v>
      </c>
      <c r="B412" s="67">
        <f t="shared" ca="1" si="2"/>
        <v>17.442749807838656</v>
      </c>
      <c r="C412" s="68" t="str">
        <f t="shared" ca="1" si="3"/>
        <v>17 years, 5 months</v>
      </c>
      <c r="D412" s="69">
        <v>9449305293</v>
      </c>
      <c r="E412" s="69">
        <v>20081227</v>
      </c>
      <c r="F412" s="70"/>
      <c r="G412" s="70" t="s">
        <v>1837</v>
      </c>
      <c r="H412" s="70" t="s">
        <v>3123</v>
      </c>
      <c r="I412" s="70" t="s">
        <v>3774</v>
      </c>
      <c r="J412" s="70" t="s">
        <v>1391</v>
      </c>
      <c r="K412" s="70" t="s">
        <v>1263</v>
      </c>
      <c r="L412" s="70"/>
      <c r="M412" s="70" t="s">
        <v>3775</v>
      </c>
      <c r="N412" s="70"/>
      <c r="O412" s="70" t="s">
        <v>1800</v>
      </c>
      <c r="P412" s="70" t="s">
        <v>1793</v>
      </c>
      <c r="Q412" s="69">
        <v>7335645</v>
      </c>
      <c r="R412" s="70"/>
      <c r="S412" s="70" t="s">
        <v>1794</v>
      </c>
      <c r="T412" s="70"/>
      <c r="U412" s="70" t="s">
        <v>3776</v>
      </c>
      <c r="V412" s="70"/>
    </row>
    <row r="413" spans="1:22" ht="15.75" customHeight="1">
      <c r="A413" s="66">
        <v>39813</v>
      </c>
      <c r="B413" s="67">
        <f t="shared" ca="1" si="2"/>
        <v>17.431790903729066</v>
      </c>
      <c r="C413" s="68" t="str">
        <f t="shared" ca="1" si="3"/>
        <v>17 years, 5 months</v>
      </c>
      <c r="D413" s="69">
        <v>9449307423</v>
      </c>
      <c r="E413" s="69">
        <v>20081231</v>
      </c>
      <c r="F413" s="70"/>
      <c r="G413" s="70" t="s">
        <v>3777</v>
      </c>
      <c r="H413" s="70" t="s">
        <v>3778</v>
      </c>
      <c r="I413" s="70" t="s">
        <v>3779</v>
      </c>
      <c r="J413" s="70" t="s">
        <v>1422</v>
      </c>
      <c r="K413" s="70" t="s">
        <v>2016</v>
      </c>
      <c r="L413" s="70"/>
      <c r="M413" s="70" t="s">
        <v>3780</v>
      </c>
      <c r="N413" s="70"/>
      <c r="O413" s="70" t="s">
        <v>1807</v>
      </c>
      <c r="P413" s="70" t="s">
        <v>1793</v>
      </c>
      <c r="Q413" s="69">
        <v>30397916</v>
      </c>
      <c r="R413" s="70"/>
      <c r="S413" s="70" t="s">
        <v>1794</v>
      </c>
      <c r="T413" s="70"/>
      <c r="U413" s="70" t="s">
        <v>3781</v>
      </c>
      <c r="V413" s="70"/>
    </row>
    <row r="414" spans="1:22" ht="15.75" customHeight="1">
      <c r="A414" s="66">
        <v>39821</v>
      </c>
      <c r="B414" s="67">
        <f t="shared" ca="1" si="2"/>
        <v>17.409873095509887</v>
      </c>
      <c r="C414" s="68" t="str">
        <f t="shared" ca="1" si="3"/>
        <v>17 years, 4 months</v>
      </c>
      <c r="D414" s="69">
        <v>9449310262</v>
      </c>
      <c r="E414" s="69">
        <v>20090108</v>
      </c>
      <c r="F414" s="70"/>
      <c r="G414" s="70" t="s">
        <v>3782</v>
      </c>
      <c r="H414" s="70"/>
      <c r="I414" s="70" t="s">
        <v>3783</v>
      </c>
      <c r="J414" s="70" t="s">
        <v>1284</v>
      </c>
      <c r="K414" s="70" t="s">
        <v>1285</v>
      </c>
      <c r="L414" s="70" t="s">
        <v>3784</v>
      </c>
      <c r="M414" s="70" t="s">
        <v>3785</v>
      </c>
      <c r="N414" s="70"/>
      <c r="O414" s="70" t="s">
        <v>1800</v>
      </c>
      <c r="P414" s="70"/>
      <c r="Q414" s="69">
        <v>30772959</v>
      </c>
      <c r="R414" s="70"/>
      <c r="S414" s="70" t="s">
        <v>1794</v>
      </c>
      <c r="T414" s="70"/>
      <c r="U414" s="70" t="s">
        <v>3786</v>
      </c>
      <c r="V414" s="70"/>
    </row>
    <row r="415" spans="1:22" ht="15.75" customHeight="1">
      <c r="A415" s="66">
        <v>39836</v>
      </c>
      <c r="B415" s="67">
        <f t="shared" ca="1" si="2"/>
        <v>17.36877720509893</v>
      </c>
      <c r="C415" s="68" t="str">
        <f t="shared" ca="1" si="3"/>
        <v>17 years, 4 months</v>
      </c>
      <c r="D415" s="69">
        <v>9449309361</v>
      </c>
      <c r="E415" s="69">
        <v>20090123</v>
      </c>
      <c r="F415" s="70"/>
      <c r="G415" s="70" t="s">
        <v>3787</v>
      </c>
      <c r="H415" s="70"/>
      <c r="I415" s="70" t="s">
        <v>3788</v>
      </c>
      <c r="J415" s="70" t="s">
        <v>1314</v>
      </c>
      <c r="K415" s="70" t="s">
        <v>1263</v>
      </c>
      <c r="L415" s="70" t="s">
        <v>3789</v>
      </c>
      <c r="M415" s="70" t="s">
        <v>3277</v>
      </c>
      <c r="N415" s="70" t="s">
        <v>3278</v>
      </c>
      <c r="O415" s="70" t="s">
        <v>1862</v>
      </c>
      <c r="P415" s="70" t="s">
        <v>1793</v>
      </c>
      <c r="Q415" s="69">
        <v>18358840</v>
      </c>
      <c r="R415" s="70"/>
      <c r="S415" s="70" t="s">
        <v>1794</v>
      </c>
      <c r="T415" s="70"/>
      <c r="U415" s="70" t="s">
        <v>3790</v>
      </c>
      <c r="V415" s="70"/>
    </row>
    <row r="416" spans="1:22" ht="15.75" customHeight="1">
      <c r="A416" s="66">
        <v>39843</v>
      </c>
      <c r="B416" s="67">
        <f t="shared" ca="1" si="2"/>
        <v>17.349599122907151</v>
      </c>
      <c r="C416" s="68" t="str">
        <f t="shared" ca="1" si="3"/>
        <v>17 years, 4 months</v>
      </c>
      <c r="D416" s="69">
        <v>9449308004</v>
      </c>
      <c r="E416" s="69">
        <v>20090130</v>
      </c>
      <c r="F416" s="70"/>
      <c r="G416" s="70" t="s">
        <v>3791</v>
      </c>
      <c r="H416" s="70" t="s">
        <v>3792</v>
      </c>
      <c r="I416" s="70" t="s">
        <v>3793</v>
      </c>
      <c r="J416" s="70" t="s">
        <v>1422</v>
      </c>
      <c r="K416" s="70" t="s">
        <v>1932</v>
      </c>
      <c r="L416" s="70"/>
      <c r="M416" s="70" t="s">
        <v>3794</v>
      </c>
      <c r="N416" s="70" t="s">
        <v>2036</v>
      </c>
      <c r="O416" s="70" t="s">
        <v>2037</v>
      </c>
      <c r="P416" s="70"/>
      <c r="Q416" s="69">
        <v>7391409</v>
      </c>
      <c r="R416" s="70"/>
      <c r="S416" s="70" t="s">
        <v>1794</v>
      </c>
      <c r="T416" s="70"/>
      <c r="U416" s="70" t="s">
        <v>3795</v>
      </c>
      <c r="V416" s="70"/>
    </row>
    <row r="417" spans="1:22" ht="15.75" customHeight="1">
      <c r="A417" s="66">
        <v>39856</v>
      </c>
      <c r="B417" s="67">
        <f t="shared" ca="1" si="2"/>
        <v>17.313982684550986</v>
      </c>
      <c r="C417" s="68" t="str">
        <f t="shared" ca="1" si="3"/>
        <v>17 years, 3 months</v>
      </c>
      <c r="D417" s="69">
        <v>9449306990</v>
      </c>
      <c r="E417" s="69">
        <v>20090212</v>
      </c>
      <c r="F417" s="70"/>
      <c r="G417" s="70" t="s">
        <v>3796</v>
      </c>
      <c r="H417" s="70" t="s">
        <v>3013</v>
      </c>
      <c r="I417" s="70" t="s">
        <v>3797</v>
      </c>
      <c r="J417" s="70" t="s">
        <v>1422</v>
      </c>
      <c r="K417" s="70" t="s">
        <v>1932</v>
      </c>
      <c r="L417" s="70"/>
      <c r="M417" s="70" t="s">
        <v>3798</v>
      </c>
      <c r="N417" s="70" t="s">
        <v>1806</v>
      </c>
      <c r="O417" s="70" t="s">
        <v>1807</v>
      </c>
      <c r="P417" s="70" t="s">
        <v>1793</v>
      </c>
      <c r="Q417" s="69">
        <v>27076440</v>
      </c>
      <c r="R417" s="70"/>
      <c r="S417" s="70" t="s">
        <v>1794</v>
      </c>
      <c r="T417" s="70"/>
      <c r="U417" s="70" t="s">
        <v>3799</v>
      </c>
      <c r="V417" s="70"/>
    </row>
    <row r="418" spans="1:22" ht="15.75" customHeight="1">
      <c r="A418" s="66">
        <v>39859</v>
      </c>
      <c r="B418" s="67">
        <f t="shared" ca="1" si="2"/>
        <v>17.305763506468793</v>
      </c>
      <c r="C418" s="68" t="str">
        <f t="shared" ca="1" si="3"/>
        <v>17 years, 3 months</v>
      </c>
      <c r="D418" s="69">
        <v>9449306613</v>
      </c>
      <c r="E418" s="69">
        <v>20090215</v>
      </c>
      <c r="F418" s="70"/>
      <c r="G418" s="70" t="s">
        <v>3800</v>
      </c>
      <c r="H418" s="70" t="s">
        <v>3801</v>
      </c>
      <c r="I418" s="70" t="s">
        <v>2374</v>
      </c>
      <c r="J418" s="70" t="s">
        <v>1422</v>
      </c>
      <c r="K418" s="70" t="s">
        <v>1285</v>
      </c>
      <c r="L418" s="70" t="s">
        <v>3802</v>
      </c>
      <c r="M418" s="70" t="s">
        <v>3803</v>
      </c>
      <c r="N418" s="70"/>
      <c r="O418" s="70" t="s">
        <v>1834</v>
      </c>
      <c r="P418" s="70" t="s">
        <v>1793</v>
      </c>
      <c r="Q418" s="69">
        <v>20170542</v>
      </c>
      <c r="R418" s="70"/>
      <c r="S418" s="70" t="s">
        <v>1794</v>
      </c>
      <c r="T418" s="70"/>
      <c r="U418" s="70" t="s">
        <v>3804</v>
      </c>
      <c r="V418" s="70"/>
    </row>
    <row r="419" spans="1:22" ht="15.75" customHeight="1">
      <c r="A419" s="66">
        <v>39860</v>
      </c>
      <c r="B419" s="67">
        <f t="shared" ca="1" si="2"/>
        <v>17.303023780441396</v>
      </c>
      <c r="C419" s="68" t="str">
        <f t="shared" ca="1" si="3"/>
        <v>17 years, 3 months</v>
      </c>
      <c r="D419" s="69">
        <v>9449306176</v>
      </c>
      <c r="E419" s="69">
        <v>20090216</v>
      </c>
      <c r="F419" s="70"/>
      <c r="G419" s="70" t="s">
        <v>3805</v>
      </c>
      <c r="H419" s="70" t="s">
        <v>1888</v>
      </c>
      <c r="I419" s="70" t="s">
        <v>3806</v>
      </c>
      <c r="J419" s="70" t="s">
        <v>1422</v>
      </c>
      <c r="K419" s="70" t="s">
        <v>1285</v>
      </c>
      <c r="L419" s="70"/>
      <c r="M419" s="70" t="s">
        <v>3807</v>
      </c>
      <c r="N419" s="70"/>
      <c r="O419" s="70" t="s">
        <v>1906</v>
      </c>
      <c r="P419" s="70" t="s">
        <v>1793</v>
      </c>
      <c r="Q419" s="69">
        <v>7352967</v>
      </c>
      <c r="R419" s="70"/>
      <c r="S419" s="70" t="s">
        <v>1794</v>
      </c>
      <c r="T419" s="70"/>
      <c r="U419" s="70" t="s">
        <v>3808</v>
      </c>
      <c r="V419" s="70"/>
    </row>
    <row r="420" spans="1:22" ht="15.75" customHeight="1">
      <c r="A420" s="66">
        <v>39872</v>
      </c>
      <c r="B420" s="67">
        <f t="shared" ca="1" si="2"/>
        <v>17.270147068112628</v>
      </c>
      <c r="C420" s="68" t="str">
        <f t="shared" ca="1" si="3"/>
        <v>17 years, 3 months</v>
      </c>
      <c r="D420" s="69">
        <v>9449307245</v>
      </c>
      <c r="E420" s="69">
        <v>20090228</v>
      </c>
      <c r="F420" s="70"/>
      <c r="G420" s="70" t="s">
        <v>2623</v>
      </c>
      <c r="H420" s="70" t="s">
        <v>3809</v>
      </c>
      <c r="I420" s="70" t="s">
        <v>3810</v>
      </c>
      <c r="J420" s="70" t="s">
        <v>1391</v>
      </c>
      <c r="K420" s="70" t="s">
        <v>1263</v>
      </c>
      <c r="L420" s="70" t="s">
        <v>3811</v>
      </c>
      <c r="M420" s="70" t="s">
        <v>3812</v>
      </c>
      <c r="N420" s="70"/>
      <c r="O420" s="70" t="s">
        <v>1807</v>
      </c>
      <c r="P420" s="70"/>
      <c r="Q420" s="69">
        <v>31496087</v>
      </c>
      <c r="R420" s="70"/>
      <c r="S420" s="70" t="s">
        <v>1794</v>
      </c>
      <c r="T420" s="70"/>
      <c r="U420" s="70" t="s">
        <v>3813</v>
      </c>
      <c r="V420" s="70"/>
    </row>
    <row r="421" spans="1:22" ht="15.75" customHeight="1">
      <c r="A421" s="66">
        <v>39882</v>
      </c>
      <c r="B421" s="67">
        <f t="shared" ca="1" si="2"/>
        <v>17.242749807838656</v>
      </c>
      <c r="C421" s="68" t="str">
        <f t="shared" ca="1" si="3"/>
        <v>17 years, 2 months</v>
      </c>
      <c r="D421" s="69">
        <v>9449310467</v>
      </c>
      <c r="E421" s="69">
        <v>20090310</v>
      </c>
      <c r="F421" s="70"/>
      <c r="G421" s="70" t="s">
        <v>1904</v>
      </c>
      <c r="H421" s="70" t="s">
        <v>3093</v>
      </c>
      <c r="I421" s="70" t="s">
        <v>3814</v>
      </c>
      <c r="J421" s="70" t="s">
        <v>1422</v>
      </c>
      <c r="K421" s="70" t="s">
        <v>1285</v>
      </c>
      <c r="L421" s="70"/>
      <c r="M421" s="70" t="s">
        <v>3815</v>
      </c>
      <c r="N421" s="70"/>
      <c r="O421" s="70" t="s">
        <v>1834</v>
      </c>
      <c r="P421" s="70" t="s">
        <v>1793</v>
      </c>
      <c r="Q421" s="69">
        <v>17360236</v>
      </c>
      <c r="R421" s="70"/>
      <c r="S421" s="70" t="s">
        <v>1794</v>
      </c>
      <c r="T421" s="70"/>
      <c r="U421" s="70" t="s">
        <v>3816</v>
      </c>
      <c r="V421" s="70"/>
    </row>
    <row r="422" spans="1:22" ht="15.75" customHeight="1">
      <c r="A422" s="66">
        <v>39883</v>
      </c>
      <c r="B422" s="67">
        <f t="shared" ca="1" si="2"/>
        <v>17.24001008181126</v>
      </c>
      <c r="C422" s="68" t="str">
        <f t="shared" ca="1" si="3"/>
        <v>17 years, 2 months</v>
      </c>
      <c r="D422" s="69">
        <v>9449308969</v>
      </c>
      <c r="E422" s="69">
        <v>20090311</v>
      </c>
      <c r="F422" s="70"/>
      <c r="G422" s="70" t="s">
        <v>3817</v>
      </c>
      <c r="H422" s="70"/>
      <c r="I422" s="70" t="s">
        <v>3818</v>
      </c>
      <c r="J422" s="70" t="s">
        <v>1391</v>
      </c>
      <c r="K422" s="70" t="s">
        <v>1263</v>
      </c>
      <c r="L422" s="70"/>
      <c r="M422" s="70" t="s">
        <v>3819</v>
      </c>
      <c r="N422" s="70"/>
      <c r="O422" s="70" t="s">
        <v>1862</v>
      </c>
      <c r="P422" s="70" t="s">
        <v>1793</v>
      </c>
      <c r="Q422" s="69">
        <v>9573146</v>
      </c>
      <c r="R422" s="70"/>
      <c r="S422" s="70" t="s">
        <v>1794</v>
      </c>
      <c r="T422" s="70"/>
      <c r="U422" s="70" t="s">
        <v>3820</v>
      </c>
      <c r="V422" s="70"/>
    </row>
    <row r="423" spans="1:22" ht="15.75" customHeight="1">
      <c r="A423" s="66">
        <v>39891</v>
      </c>
      <c r="B423" s="67">
        <f t="shared" ca="1" si="2"/>
        <v>17.218092273592081</v>
      </c>
      <c r="C423" s="68" t="str">
        <f t="shared" ca="1" si="3"/>
        <v>17 years, 2 months</v>
      </c>
      <c r="D423" s="69">
        <v>9449309655</v>
      </c>
      <c r="E423" s="69">
        <v>20090319</v>
      </c>
      <c r="F423" s="70"/>
      <c r="G423" s="70" t="s">
        <v>2319</v>
      </c>
      <c r="H423" s="70" t="s">
        <v>3821</v>
      </c>
      <c r="I423" s="70" t="s">
        <v>3822</v>
      </c>
      <c r="J423" s="70" t="s">
        <v>1422</v>
      </c>
      <c r="K423" s="70" t="s">
        <v>1285</v>
      </c>
      <c r="L423" s="70"/>
      <c r="M423" s="70" t="s">
        <v>3823</v>
      </c>
      <c r="N423" s="70"/>
      <c r="O423" s="70" t="s">
        <v>1886</v>
      </c>
      <c r="P423" s="70" t="s">
        <v>1793</v>
      </c>
      <c r="Q423" s="69">
        <v>9720026</v>
      </c>
      <c r="R423" s="70"/>
      <c r="S423" s="70" t="s">
        <v>1794</v>
      </c>
      <c r="T423" s="70"/>
      <c r="U423" s="70" t="s">
        <v>3824</v>
      </c>
      <c r="V423" s="70"/>
    </row>
    <row r="424" spans="1:22" ht="15.75" customHeight="1">
      <c r="A424" s="66">
        <v>39897</v>
      </c>
      <c r="B424" s="67">
        <f t="shared" ca="1" si="2"/>
        <v>17.201653917427699</v>
      </c>
      <c r="C424" s="68" t="str">
        <f t="shared" ca="1" si="3"/>
        <v>17 years, 2 months</v>
      </c>
      <c r="D424" s="69">
        <v>9449305633</v>
      </c>
      <c r="E424" s="69">
        <v>20090325</v>
      </c>
      <c r="F424" s="70"/>
      <c r="G424" s="70" t="s">
        <v>3825</v>
      </c>
      <c r="H424" s="70" t="s">
        <v>3826</v>
      </c>
      <c r="I424" s="70" t="s">
        <v>3827</v>
      </c>
      <c r="J424" s="70" t="s">
        <v>1391</v>
      </c>
      <c r="K424" s="70" t="s">
        <v>1263</v>
      </c>
      <c r="L424" s="70"/>
      <c r="M424" s="70" t="s">
        <v>3828</v>
      </c>
      <c r="N424" s="70"/>
      <c r="O424" s="70" t="s">
        <v>1800</v>
      </c>
      <c r="P424" s="70" t="s">
        <v>1793</v>
      </c>
      <c r="Q424" s="69">
        <v>7339972</v>
      </c>
      <c r="R424" s="70"/>
      <c r="S424" s="70" t="s">
        <v>1794</v>
      </c>
      <c r="T424" s="70"/>
      <c r="U424" s="70" t="s">
        <v>3829</v>
      </c>
      <c r="V424" s="70"/>
    </row>
    <row r="425" spans="1:22" ht="15.75" customHeight="1">
      <c r="A425" s="66">
        <v>39898</v>
      </c>
      <c r="B425" s="67">
        <f t="shared" ca="1" si="2"/>
        <v>17.198914191400299</v>
      </c>
      <c r="C425" s="68" t="str">
        <f t="shared" ca="1" si="3"/>
        <v>17 years, 2 months</v>
      </c>
      <c r="D425" s="69">
        <v>9449307563</v>
      </c>
      <c r="E425" s="69">
        <v>20090326</v>
      </c>
      <c r="F425" s="70"/>
      <c r="G425" s="70" t="s">
        <v>3830</v>
      </c>
      <c r="H425" s="70" t="s">
        <v>3831</v>
      </c>
      <c r="I425" s="70" t="s">
        <v>3832</v>
      </c>
      <c r="J425" s="70" t="s">
        <v>1422</v>
      </c>
      <c r="K425" s="70" t="s">
        <v>1932</v>
      </c>
      <c r="L425" s="70"/>
      <c r="M425" s="70" t="s">
        <v>3833</v>
      </c>
      <c r="N425" s="70" t="s">
        <v>2055</v>
      </c>
      <c r="O425" s="70" t="s">
        <v>1807</v>
      </c>
      <c r="P425" s="70" t="s">
        <v>1793</v>
      </c>
      <c r="Q425" s="69">
        <v>17362822</v>
      </c>
      <c r="R425" s="70"/>
      <c r="S425" s="70" t="s">
        <v>1794</v>
      </c>
      <c r="T425" s="70"/>
      <c r="U425" s="70" t="s">
        <v>3834</v>
      </c>
      <c r="V425" s="70"/>
    </row>
    <row r="426" spans="1:22" ht="15.75" customHeight="1">
      <c r="A426" s="66">
        <v>39909</v>
      </c>
      <c r="B426" s="67">
        <f t="shared" ca="1" si="2"/>
        <v>17.16877720509893</v>
      </c>
      <c r="C426" s="68" t="str">
        <f t="shared" ca="1" si="3"/>
        <v>17 years, 2 months</v>
      </c>
      <c r="D426" s="69">
        <v>9449306966</v>
      </c>
      <c r="E426" s="69">
        <v>20090406</v>
      </c>
      <c r="F426" s="70"/>
      <c r="G426" s="70" t="s">
        <v>1949</v>
      </c>
      <c r="H426" s="70" t="s">
        <v>3835</v>
      </c>
      <c r="I426" s="70" t="s">
        <v>3836</v>
      </c>
      <c r="J426" s="70" t="s">
        <v>1422</v>
      </c>
      <c r="K426" s="70" t="s">
        <v>1285</v>
      </c>
      <c r="L426" s="70" t="s">
        <v>3837</v>
      </c>
      <c r="M426" s="70" t="s">
        <v>3838</v>
      </c>
      <c r="N426" s="70" t="s">
        <v>1806</v>
      </c>
      <c r="O426" s="70" t="s">
        <v>1807</v>
      </c>
      <c r="P426" s="70" t="s">
        <v>1793</v>
      </c>
      <c r="Q426" s="69">
        <v>17360737</v>
      </c>
      <c r="R426" s="70"/>
      <c r="S426" s="70" t="s">
        <v>1794</v>
      </c>
      <c r="T426" s="70"/>
      <c r="U426" s="70" t="s">
        <v>3839</v>
      </c>
      <c r="V426" s="70"/>
    </row>
    <row r="427" spans="1:22" ht="15.75" customHeight="1">
      <c r="A427" s="66">
        <v>39911</v>
      </c>
      <c r="B427" s="67">
        <f t="shared" ca="1" si="2"/>
        <v>17.163297753044134</v>
      </c>
      <c r="C427" s="68" t="str">
        <f t="shared" ca="1" si="3"/>
        <v>17 years, 1 months</v>
      </c>
      <c r="D427" s="69">
        <v>9449305374</v>
      </c>
      <c r="E427" s="69">
        <v>20090408</v>
      </c>
      <c r="F427" s="70"/>
      <c r="G427" s="70" t="s">
        <v>3840</v>
      </c>
      <c r="H427" s="70"/>
      <c r="I427" s="70" t="s">
        <v>3841</v>
      </c>
      <c r="J427" s="70" t="s">
        <v>1422</v>
      </c>
      <c r="K427" s="70" t="s">
        <v>1285</v>
      </c>
      <c r="L427" s="70" t="s">
        <v>3842</v>
      </c>
      <c r="M427" s="70" t="s">
        <v>3843</v>
      </c>
      <c r="N427" s="70"/>
      <c r="O427" s="70" t="s">
        <v>1800</v>
      </c>
      <c r="P427" s="70" t="s">
        <v>1793</v>
      </c>
      <c r="Q427" s="69">
        <v>20169590</v>
      </c>
      <c r="R427" s="70"/>
      <c r="S427" s="70" t="s">
        <v>1794</v>
      </c>
      <c r="T427" s="70"/>
      <c r="U427" s="70" t="s">
        <v>3844</v>
      </c>
      <c r="V427" s="70"/>
    </row>
    <row r="428" spans="1:22" ht="15.75" customHeight="1">
      <c r="A428" s="66">
        <v>39923</v>
      </c>
      <c r="B428" s="67">
        <f t="shared" ca="1" si="2"/>
        <v>17.130421040715369</v>
      </c>
      <c r="C428" s="68" t="str">
        <f t="shared" ca="1" si="3"/>
        <v>17 years, 1 months</v>
      </c>
      <c r="D428" s="69">
        <v>9449303266</v>
      </c>
      <c r="E428" s="69">
        <v>20090420</v>
      </c>
      <c r="F428" s="70"/>
      <c r="G428" s="70" t="s">
        <v>3845</v>
      </c>
      <c r="H428" s="70" t="s">
        <v>3846</v>
      </c>
      <c r="I428" s="70" t="s">
        <v>3847</v>
      </c>
      <c r="J428" s="70" t="s">
        <v>1422</v>
      </c>
      <c r="K428" s="70" t="s">
        <v>1285</v>
      </c>
      <c r="L428" s="70" t="s">
        <v>3848</v>
      </c>
      <c r="M428" s="70" t="s">
        <v>3849</v>
      </c>
      <c r="N428" s="70"/>
      <c r="O428" s="70" t="s">
        <v>3850</v>
      </c>
      <c r="P428" s="70"/>
      <c r="Q428" s="70"/>
      <c r="R428" s="70"/>
      <c r="S428" s="70" t="s">
        <v>1794</v>
      </c>
      <c r="T428" s="70"/>
      <c r="U428" s="70" t="s">
        <v>3851</v>
      </c>
      <c r="V428" s="70"/>
    </row>
    <row r="429" spans="1:22" ht="15.75" customHeight="1">
      <c r="A429" s="66">
        <v>39926</v>
      </c>
      <c r="B429" s="67">
        <f t="shared" ca="1" si="2"/>
        <v>17.122201862633176</v>
      </c>
      <c r="C429" s="68" t="str">
        <f t="shared" ca="1" si="3"/>
        <v>17 years, 1 months</v>
      </c>
      <c r="D429" s="69">
        <v>9449306044</v>
      </c>
      <c r="E429" s="69">
        <v>20090423</v>
      </c>
      <c r="F429" s="70"/>
      <c r="G429" s="70" t="s">
        <v>3852</v>
      </c>
      <c r="H429" s="70"/>
      <c r="I429" s="70" t="s">
        <v>3853</v>
      </c>
      <c r="J429" s="70" t="s">
        <v>1422</v>
      </c>
      <c r="K429" s="70" t="s">
        <v>1285</v>
      </c>
      <c r="L429" s="70"/>
      <c r="M429" s="70" t="s">
        <v>3854</v>
      </c>
      <c r="N429" s="70"/>
      <c r="O429" s="70" t="s">
        <v>1800</v>
      </c>
      <c r="P429" s="70" t="s">
        <v>1793</v>
      </c>
      <c r="Q429" s="69">
        <v>7345141</v>
      </c>
      <c r="R429" s="70"/>
      <c r="S429" s="70" t="s">
        <v>1794</v>
      </c>
      <c r="T429" s="70"/>
      <c r="U429" s="70" t="s">
        <v>3855</v>
      </c>
      <c r="V429" s="70"/>
    </row>
    <row r="430" spans="1:22" ht="15.75" customHeight="1">
      <c r="A430" s="66">
        <v>39926</v>
      </c>
      <c r="B430" s="67">
        <f t="shared" ca="1" si="2"/>
        <v>17.122201862633176</v>
      </c>
      <c r="C430" s="68" t="str">
        <f t="shared" ca="1" si="3"/>
        <v>17 years, 1 months</v>
      </c>
      <c r="D430" s="69">
        <v>9449309132</v>
      </c>
      <c r="E430" s="69">
        <v>20090423</v>
      </c>
      <c r="F430" s="70"/>
      <c r="G430" s="70" t="s">
        <v>3856</v>
      </c>
      <c r="H430" s="70" t="s">
        <v>3857</v>
      </c>
      <c r="I430" s="70" t="s">
        <v>3858</v>
      </c>
      <c r="J430" s="70" t="s">
        <v>1391</v>
      </c>
      <c r="K430" s="70" t="s">
        <v>1932</v>
      </c>
      <c r="L430" s="70" t="s">
        <v>3859</v>
      </c>
      <c r="M430" s="70" t="s">
        <v>3860</v>
      </c>
      <c r="N430" s="70" t="s">
        <v>3861</v>
      </c>
      <c r="O430" s="70" t="s">
        <v>1862</v>
      </c>
      <c r="P430" s="70" t="s">
        <v>1793</v>
      </c>
      <c r="Q430" s="69">
        <v>22557301</v>
      </c>
      <c r="R430" s="70"/>
      <c r="S430" s="70" t="s">
        <v>1794</v>
      </c>
      <c r="T430" s="70"/>
      <c r="U430" s="70" t="s">
        <v>3862</v>
      </c>
      <c r="V430" s="70"/>
    </row>
    <row r="431" spans="1:22" ht="15.75" customHeight="1">
      <c r="A431" s="66">
        <v>39928</v>
      </c>
      <c r="B431" s="67">
        <f t="shared" ca="1" si="2"/>
        <v>17.116722410578383</v>
      </c>
      <c r="C431" s="68" t="str">
        <f t="shared" ca="1" si="3"/>
        <v>17 years, 1 months</v>
      </c>
      <c r="D431" s="69">
        <v>9449310637</v>
      </c>
      <c r="E431" s="69">
        <v>20090425</v>
      </c>
      <c r="F431" s="69">
        <v>20101225</v>
      </c>
      <c r="G431" s="70" t="s">
        <v>3863</v>
      </c>
      <c r="H431" s="70" t="s">
        <v>3864</v>
      </c>
      <c r="I431" s="70" t="s">
        <v>3865</v>
      </c>
      <c r="J431" s="70" t="s">
        <v>1422</v>
      </c>
      <c r="K431" s="70" t="s">
        <v>1285</v>
      </c>
      <c r="L431" s="70"/>
      <c r="M431" s="70" t="s">
        <v>3866</v>
      </c>
      <c r="N431" s="70" t="s">
        <v>2055</v>
      </c>
      <c r="O431" s="70" t="s">
        <v>1807</v>
      </c>
      <c r="P431" s="70"/>
      <c r="Q431" s="69">
        <v>32599677</v>
      </c>
      <c r="R431" s="70"/>
      <c r="S431" s="70" t="s">
        <v>1794</v>
      </c>
      <c r="T431" s="70"/>
      <c r="U431" s="70" t="s">
        <v>3867</v>
      </c>
      <c r="V431" s="70"/>
    </row>
    <row r="432" spans="1:22" ht="15.75" customHeight="1">
      <c r="A432" s="66">
        <v>39935</v>
      </c>
      <c r="B432" s="67">
        <f t="shared" ca="1" si="2"/>
        <v>17.097544328386601</v>
      </c>
      <c r="C432" s="68" t="str">
        <f t="shared" ca="1" si="3"/>
        <v>17 years, 1 months</v>
      </c>
      <c r="D432" s="69">
        <v>9449309612</v>
      </c>
      <c r="E432" s="69">
        <v>20090502</v>
      </c>
      <c r="F432" s="70"/>
      <c r="G432" s="70" t="s">
        <v>3423</v>
      </c>
      <c r="H432" s="70" t="s">
        <v>3868</v>
      </c>
      <c r="I432" s="70" t="s">
        <v>3869</v>
      </c>
      <c r="J432" s="70" t="s">
        <v>1422</v>
      </c>
      <c r="K432" s="70" t="s">
        <v>1285</v>
      </c>
      <c r="L432" s="70"/>
      <c r="M432" s="70" t="s">
        <v>3870</v>
      </c>
      <c r="N432" s="70"/>
      <c r="O432" s="70" t="s">
        <v>1886</v>
      </c>
      <c r="P432" s="70" t="s">
        <v>1793</v>
      </c>
      <c r="Q432" s="69">
        <v>9719747</v>
      </c>
      <c r="R432" s="70"/>
      <c r="S432" s="70" t="s">
        <v>1794</v>
      </c>
      <c r="T432" s="70"/>
      <c r="U432" s="70" t="s">
        <v>2338</v>
      </c>
      <c r="V432" s="70"/>
    </row>
    <row r="433" spans="1:22" ht="15.75" customHeight="1">
      <c r="A433" s="66">
        <v>39940</v>
      </c>
      <c r="B433" s="67">
        <f t="shared" ca="1" si="2"/>
        <v>17.083845698249615</v>
      </c>
      <c r="C433" s="68" t="str">
        <f t="shared" ca="1" si="3"/>
        <v>17 years, 1 months</v>
      </c>
      <c r="D433" s="69">
        <v>9449305870</v>
      </c>
      <c r="E433" s="69">
        <v>20090507</v>
      </c>
      <c r="F433" s="70"/>
      <c r="G433" s="70" t="s">
        <v>3871</v>
      </c>
      <c r="H433" s="70"/>
      <c r="I433" s="70" t="s">
        <v>3872</v>
      </c>
      <c r="J433" s="70" t="s">
        <v>1422</v>
      </c>
      <c r="K433" s="70" t="s">
        <v>1285</v>
      </c>
      <c r="L433" s="70"/>
      <c r="M433" s="70" t="s">
        <v>3873</v>
      </c>
      <c r="N433" s="70"/>
      <c r="O433" s="70" t="s">
        <v>1800</v>
      </c>
      <c r="P433" s="70" t="s">
        <v>1793</v>
      </c>
      <c r="Q433" s="69">
        <v>7342846</v>
      </c>
      <c r="R433" s="70"/>
      <c r="S433" s="70" t="s">
        <v>1794</v>
      </c>
      <c r="T433" s="70"/>
      <c r="U433" s="70" t="s">
        <v>3874</v>
      </c>
      <c r="V433" s="70"/>
    </row>
    <row r="434" spans="1:22" ht="15.75" customHeight="1">
      <c r="A434" s="66">
        <v>39954</v>
      </c>
      <c r="B434" s="67">
        <f t="shared" ca="1" si="2"/>
        <v>17.045489533866053</v>
      </c>
      <c r="C434" s="68" t="str">
        <f t="shared" ca="1" si="3"/>
        <v>17 years, 0 months</v>
      </c>
      <c r="D434" s="69">
        <v>9449305501</v>
      </c>
      <c r="E434" s="69">
        <v>20090521</v>
      </c>
      <c r="F434" s="70"/>
      <c r="G434" s="70" t="s">
        <v>3875</v>
      </c>
      <c r="H434" s="70" t="s">
        <v>3876</v>
      </c>
      <c r="I434" s="70" t="s">
        <v>3877</v>
      </c>
      <c r="J434" s="70" t="s">
        <v>1314</v>
      </c>
      <c r="K434" s="70" t="s">
        <v>1263</v>
      </c>
      <c r="L434" s="70"/>
      <c r="M434" s="70" t="s">
        <v>3878</v>
      </c>
      <c r="N434" s="70"/>
      <c r="O434" s="70" t="s">
        <v>1800</v>
      </c>
      <c r="P434" s="70" t="s">
        <v>1793</v>
      </c>
      <c r="Q434" s="69">
        <v>7339131</v>
      </c>
      <c r="R434" s="70"/>
      <c r="S434" s="70" t="s">
        <v>1794</v>
      </c>
      <c r="T434" s="70"/>
      <c r="U434" s="70" t="s">
        <v>3879</v>
      </c>
      <c r="V434" s="70"/>
    </row>
    <row r="435" spans="1:22" ht="15.75" customHeight="1">
      <c r="A435" s="66">
        <v>39971</v>
      </c>
      <c r="B435" s="67">
        <f t="shared" ca="1" si="2"/>
        <v>16.998914191400299</v>
      </c>
      <c r="C435" s="68" t="str">
        <f t="shared" ca="1" si="3"/>
        <v>16 years, 11 months</v>
      </c>
      <c r="D435" s="69">
        <v>9449309140</v>
      </c>
      <c r="E435" s="69">
        <v>20090607</v>
      </c>
      <c r="F435" s="70"/>
      <c r="G435" s="70" t="s">
        <v>3880</v>
      </c>
      <c r="H435" s="70"/>
      <c r="I435" s="70" t="s">
        <v>3881</v>
      </c>
      <c r="J435" s="70" t="s">
        <v>1391</v>
      </c>
      <c r="K435" s="70" t="s">
        <v>1263</v>
      </c>
      <c r="L435" s="70" t="s">
        <v>3882</v>
      </c>
      <c r="M435" s="70" t="s">
        <v>2285</v>
      </c>
      <c r="N435" s="70" t="s">
        <v>3883</v>
      </c>
      <c r="O435" s="70" t="s">
        <v>1862</v>
      </c>
      <c r="P435" s="70" t="s">
        <v>1793</v>
      </c>
      <c r="Q435" s="69">
        <v>18358199</v>
      </c>
      <c r="R435" s="70"/>
      <c r="S435" s="70" t="s">
        <v>1794</v>
      </c>
      <c r="T435" s="70"/>
      <c r="U435" s="70" t="s">
        <v>3884</v>
      </c>
      <c r="V435" s="70"/>
    </row>
    <row r="436" spans="1:22" ht="15.75" customHeight="1">
      <c r="A436" s="66">
        <v>39983</v>
      </c>
      <c r="B436" s="67">
        <f t="shared" ca="1" si="2"/>
        <v>16.966037479071531</v>
      </c>
      <c r="C436" s="68" t="str">
        <f t="shared" ca="1" si="3"/>
        <v>16 years, 11 months</v>
      </c>
      <c r="D436" s="69">
        <v>9449308926</v>
      </c>
      <c r="E436" s="69">
        <v>20090619</v>
      </c>
      <c r="F436" s="70"/>
      <c r="G436" s="70" t="s">
        <v>3885</v>
      </c>
      <c r="H436" s="70"/>
      <c r="I436" s="70" t="s">
        <v>3886</v>
      </c>
      <c r="J436" s="70" t="s">
        <v>1391</v>
      </c>
      <c r="K436" s="70" t="s">
        <v>1263</v>
      </c>
      <c r="L436" s="70"/>
      <c r="M436" s="70" t="s">
        <v>3887</v>
      </c>
      <c r="N436" s="70"/>
      <c r="O436" s="70" t="s">
        <v>1862</v>
      </c>
      <c r="P436" s="70" t="s">
        <v>1793</v>
      </c>
      <c r="Q436" s="69">
        <v>9572921</v>
      </c>
      <c r="R436" s="70"/>
      <c r="S436" s="70" t="s">
        <v>1794</v>
      </c>
      <c r="T436" s="70"/>
      <c r="U436" s="70" t="s">
        <v>3888</v>
      </c>
      <c r="V436" s="70"/>
    </row>
    <row r="437" spans="1:22" ht="15.75" customHeight="1">
      <c r="A437" s="66">
        <v>39990</v>
      </c>
      <c r="B437" s="67">
        <f t="shared" ca="1" si="2"/>
        <v>16.946859396879752</v>
      </c>
      <c r="C437" s="68" t="str">
        <f t="shared" ca="1" si="3"/>
        <v>16 years, 11 months</v>
      </c>
      <c r="D437" s="69">
        <v>9449309787</v>
      </c>
      <c r="E437" s="69">
        <v>20090626</v>
      </c>
      <c r="F437" s="70"/>
      <c r="G437" s="70" t="s">
        <v>3830</v>
      </c>
      <c r="H437" s="70" t="s">
        <v>3889</v>
      </c>
      <c r="I437" s="70" t="s">
        <v>3890</v>
      </c>
      <c r="J437" s="70" t="s">
        <v>1422</v>
      </c>
      <c r="K437" s="70" t="s">
        <v>1285</v>
      </c>
      <c r="L437" s="70"/>
      <c r="M437" s="70" t="s">
        <v>3891</v>
      </c>
      <c r="N437" s="70"/>
      <c r="O437" s="70" t="s">
        <v>1886</v>
      </c>
      <c r="P437" s="70" t="s">
        <v>1793</v>
      </c>
      <c r="Q437" s="69">
        <v>9721329</v>
      </c>
      <c r="R437" s="70"/>
      <c r="S437" s="70" t="s">
        <v>1794</v>
      </c>
      <c r="T437" s="70"/>
      <c r="U437" s="70" t="s">
        <v>3892</v>
      </c>
      <c r="V437" s="70"/>
    </row>
    <row r="438" spans="1:22" ht="15.75" customHeight="1">
      <c r="A438" s="66">
        <v>39997</v>
      </c>
      <c r="B438" s="67">
        <f t="shared" ca="1" si="2"/>
        <v>16.92768131468797</v>
      </c>
      <c r="C438" s="68" t="str">
        <f t="shared" ca="1" si="3"/>
        <v>16 years, 11 months</v>
      </c>
      <c r="D438" s="69">
        <v>9449309450</v>
      </c>
      <c r="E438" s="69">
        <v>20090703</v>
      </c>
      <c r="F438" s="70"/>
      <c r="G438" s="70" t="s">
        <v>3893</v>
      </c>
      <c r="H438" s="70" t="s">
        <v>3894</v>
      </c>
      <c r="I438" s="70" t="s">
        <v>3895</v>
      </c>
      <c r="J438" s="70" t="s">
        <v>1391</v>
      </c>
      <c r="K438" s="70" t="s">
        <v>1263</v>
      </c>
      <c r="L438" s="70" t="s">
        <v>3256</v>
      </c>
      <c r="M438" s="70" t="s">
        <v>3896</v>
      </c>
      <c r="N438" s="70" t="s">
        <v>2400</v>
      </c>
      <c r="O438" s="70" t="s">
        <v>1862</v>
      </c>
      <c r="P438" s="70" t="s">
        <v>1793</v>
      </c>
      <c r="Q438" s="69">
        <v>18359067</v>
      </c>
      <c r="R438" s="70"/>
      <c r="S438" s="70" t="s">
        <v>1794</v>
      </c>
      <c r="T438" s="70"/>
      <c r="U438" s="70" t="s">
        <v>3897</v>
      </c>
      <c r="V438" s="70"/>
    </row>
    <row r="439" spans="1:22" ht="15.75" customHeight="1">
      <c r="A439" s="66">
        <v>40033</v>
      </c>
      <c r="B439" s="67">
        <f t="shared" ca="1" si="2"/>
        <v>16.829051177701668</v>
      </c>
      <c r="C439" s="68" t="str">
        <f t="shared" ca="1" si="3"/>
        <v>16 years, 9 months</v>
      </c>
      <c r="D439" s="69">
        <v>9449303797</v>
      </c>
      <c r="E439" s="69">
        <v>20090808</v>
      </c>
      <c r="F439" s="70"/>
      <c r="G439" s="70" t="s">
        <v>3898</v>
      </c>
      <c r="H439" s="70"/>
      <c r="I439" s="70" t="s">
        <v>3899</v>
      </c>
      <c r="J439" s="70" t="s">
        <v>1391</v>
      </c>
      <c r="K439" s="70" t="s">
        <v>1263</v>
      </c>
      <c r="L439" s="70"/>
      <c r="M439" s="70" t="s">
        <v>3900</v>
      </c>
      <c r="N439" s="70"/>
      <c r="O439" s="70" t="s">
        <v>1819</v>
      </c>
      <c r="P439" s="70" t="s">
        <v>1793</v>
      </c>
      <c r="Q439" s="69">
        <v>17336387</v>
      </c>
      <c r="R439" s="70"/>
      <c r="S439" s="70" t="s">
        <v>1794</v>
      </c>
      <c r="T439" s="70"/>
      <c r="U439" s="70" t="s">
        <v>3901</v>
      </c>
      <c r="V439" s="70"/>
    </row>
    <row r="440" spans="1:22" ht="15.75" customHeight="1">
      <c r="A440" s="66">
        <v>40086</v>
      </c>
      <c r="B440" s="67">
        <f t="shared" ca="1" si="2"/>
        <v>16.683845698249616</v>
      </c>
      <c r="C440" s="68" t="str">
        <f t="shared" ca="1" si="3"/>
        <v>16 years, 8 months</v>
      </c>
      <c r="D440" s="69">
        <v>9449304548</v>
      </c>
      <c r="E440" s="69">
        <v>20090930</v>
      </c>
      <c r="F440" s="70"/>
      <c r="G440" s="70" t="s">
        <v>3902</v>
      </c>
      <c r="H440" s="70" t="s">
        <v>3903</v>
      </c>
      <c r="I440" s="70" t="s">
        <v>3904</v>
      </c>
      <c r="J440" s="70" t="s">
        <v>1391</v>
      </c>
      <c r="K440" s="70" t="s">
        <v>1263</v>
      </c>
      <c r="L440" s="70"/>
      <c r="M440" s="70" t="s">
        <v>3905</v>
      </c>
      <c r="N440" s="70" t="s">
        <v>1874</v>
      </c>
      <c r="O440" s="70" t="s">
        <v>1800</v>
      </c>
      <c r="P440" s="70" t="s">
        <v>1793</v>
      </c>
      <c r="Q440" s="69">
        <v>7329203</v>
      </c>
      <c r="R440" s="70"/>
      <c r="S440" s="70" t="s">
        <v>1794</v>
      </c>
      <c r="T440" s="70"/>
      <c r="U440" s="70" t="s">
        <v>3906</v>
      </c>
      <c r="V440" s="70"/>
    </row>
    <row r="441" spans="1:22" ht="15.75" customHeight="1">
      <c r="A441" s="66">
        <v>40092</v>
      </c>
      <c r="B441" s="67">
        <f t="shared" ca="1" si="2"/>
        <v>16.66740734208523</v>
      </c>
      <c r="C441" s="68" t="str">
        <f t="shared" ca="1" si="3"/>
        <v>16 years, 8 months</v>
      </c>
      <c r="D441" s="69">
        <v>9449305463</v>
      </c>
      <c r="E441" s="69">
        <v>20091006</v>
      </c>
      <c r="F441" s="70"/>
      <c r="G441" s="70" t="s">
        <v>3907</v>
      </c>
      <c r="H441" s="70"/>
      <c r="I441" s="70" t="s">
        <v>3908</v>
      </c>
      <c r="J441" s="70" t="s">
        <v>1422</v>
      </c>
      <c r="K441" s="70" t="s">
        <v>1285</v>
      </c>
      <c r="L441" s="70"/>
      <c r="M441" s="70" t="s">
        <v>3909</v>
      </c>
      <c r="N441" s="70"/>
      <c r="O441" s="70" t="s">
        <v>1800</v>
      </c>
      <c r="P441" s="70" t="s">
        <v>1793</v>
      </c>
      <c r="Q441" s="69">
        <v>7338704</v>
      </c>
      <c r="R441" s="70"/>
      <c r="S441" s="70" t="s">
        <v>1794</v>
      </c>
      <c r="T441" s="70"/>
      <c r="U441" s="70" t="s">
        <v>3405</v>
      </c>
      <c r="V441" s="70"/>
    </row>
    <row r="442" spans="1:22" ht="15.75" customHeight="1">
      <c r="A442" s="66">
        <v>40104</v>
      </c>
      <c r="B442" s="67">
        <f t="shared" ca="1" si="2"/>
        <v>16.634530629756465</v>
      </c>
      <c r="C442" s="68" t="str">
        <f t="shared" ca="1" si="3"/>
        <v>16 years, 7 months</v>
      </c>
      <c r="D442" s="69">
        <v>9449308071</v>
      </c>
      <c r="E442" s="69">
        <v>20091018</v>
      </c>
      <c r="F442" s="70"/>
      <c r="G442" s="70" t="s">
        <v>3910</v>
      </c>
      <c r="H442" s="70" t="s">
        <v>2260</v>
      </c>
      <c r="I442" s="70" t="s">
        <v>3911</v>
      </c>
      <c r="J442" s="70" t="s">
        <v>1422</v>
      </c>
      <c r="K442" s="70" t="s">
        <v>1285</v>
      </c>
      <c r="L442" s="70"/>
      <c r="M442" s="70" t="s">
        <v>3912</v>
      </c>
      <c r="N442" s="70"/>
      <c r="O442" s="70" t="s">
        <v>2132</v>
      </c>
      <c r="P442" s="70" t="s">
        <v>1793</v>
      </c>
      <c r="Q442" s="69">
        <v>7396617</v>
      </c>
      <c r="R442" s="70"/>
      <c r="S442" s="70" t="s">
        <v>1794</v>
      </c>
      <c r="T442" s="70"/>
      <c r="U442" s="70" t="s">
        <v>3913</v>
      </c>
      <c r="V442" s="70"/>
    </row>
    <row r="443" spans="1:22" ht="15.75" customHeight="1">
      <c r="A443" s="66">
        <v>40147</v>
      </c>
      <c r="B443" s="67">
        <f t="shared" ca="1" si="2"/>
        <v>16.516722410578382</v>
      </c>
      <c r="C443" s="68" t="str">
        <f t="shared" ca="1" si="3"/>
        <v>16 years, 6 months</v>
      </c>
      <c r="D443" s="69">
        <v>9449307407</v>
      </c>
      <c r="E443" s="69">
        <v>20091130</v>
      </c>
      <c r="F443" s="70"/>
      <c r="G443" s="70" t="s">
        <v>3914</v>
      </c>
      <c r="H443" s="70" t="s">
        <v>2113</v>
      </c>
      <c r="I443" s="70" t="s">
        <v>3915</v>
      </c>
      <c r="J443" s="70" t="s">
        <v>1422</v>
      </c>
      <c r="K443" s="70" t="s">
        <v>1285</v>
      </c>
      <c r="L443" s="70"/>
      <c r="M443" s="70" t="s">
        <v>3916</v>
      </c>
      <c r="N443" s="70"/>
      <c r="O443" s="70" t="s">
        <v>1807</v>
      </c>
      <c r="P443" s="70" t="s">
        <v>1793</v>
      </c>
      <c r="Q443" s="69">
        <v>17361989</v>
      </c>
      <c r="R443" s="70"/>
      <c r="S443" s="70" t="s">
        <v>1794</v>
      </c>
      <c r="T443" s="70"/>
      <c r="U443" s="70" t="s">
        <v>3917</v>
      </c>
      <c r="V443" s="70"/>
    </row>
    <row r="444" spans="1:22" ht="15.75" customHeight="1">
      <c r="A444" s="66">
        <v>40148</v>
      </c>
      <c r="B444" s="67">
        <f t="shared" ca="1" si="2"/>
        <v>16.513982684550985</v>
      </c>
      <c r="C444" s="68" t="str">
        <f t="shared" ca="1" si="3"/>
        <v>16 years, 6 months</v>
      </c>
      <c r="D444" s="69">
        <v>9449309582</v>
      </c>
      <c r="E444" s="69">
        <v>20091201</v>
      </c>
      <c r="F444" s="70"/>
      <c r="G444" s="70" t="s">
        <v>3918</v>
      </c>
      <c r="H444" s="70" t="s">
        <v>3103</v>
      </c>
      <c r="I444" s="70" t="s">
        <v>3919</v>
      </c>
      <c r="J444" s="70" t="s">
        <v>1422</v>
      </c>
      <c r="K444" s="70" t="s">
        <v>1285</v>
      </c>
      <c r="L444" s="70"/>
      <c r="M444" s="70" t="s">
        <v>3920</v>
      </c>
      <c r="N444" s="70"/>
      <c r="O444" s="70" t="s">
        <v>3921</v>
      </c>
      <c r="P444" s="70" t="s">
        <v>1793</v>
      </c>
      <c r="Q444" s="69">
        <v>9681648</v>
      </c>
      <c r="R444" s="70"/>
      <c r="S444" s="70" t="s">
        <v>1794</v>
      </c>
      <c r="T444" s="70"/>
      <c r="U444" s="70" t="s">
        <v>3922</v>
      </c>
      <c r="V444" s="70"/>
    </row>
    <row r="445" spans="1:22" ht="15.75" customHeight="1">
      <c r="A445" s="66">
        <v>40158</v>
      </c>
      <c r="B445" s="67">
        <f t="shared" ca="1" si="2"/>
        <v>16.486585424277013</v>
      </c>
      <c r="C445" s="68" t="str">
        <f t="shared" ca="1" si="3"/>
        <v>16 years, 5 months</v>
      </c>
      <c r="D445" s="69">
        <v>9449309078</v>
      </c>
      <c r="E445" s="69">
        <v>20091211</v>
      </c>
      <c r="F445" s="70"/>
      <c r="G445" s="70" t="s">
        <v>3923</v>
      </c>
      <c r="H445" s="70" t="s">
        <v>3924</v>
      </c>
      <c r="I445" s="70" t="s">
        <v>3925</v>
      </c>
      <c r="J445" s="70" t="s">
        <v>1391</v>
      </c>
      <c r="K445" s="70" t="s">
        <v>1263</v>
      </c>
      <c r="L445" s="70"/>
      <c r="M445" s="70" t="s">
        <v>3926</v>
      </c>
      <c r="N445" s="70" t="s">
        <v>1989</v>
      </c>
      <c r="O445" s="70" t="s">
        <v>1862</v>
      </c>
      <c r="P445" s="70" t="s">
        <v>1793</v>
      </c>
      <c r="Q445" s="69">
        <v>9574566</v>
      </c>
      <c r="R445" s="70"/>
      <c r="S445" s="70" t="s">
        <v>1794</v>
      </c>
      <c r="T445" s="70"/>
      <c r="U445" s="70" t="s">
        <v>3927</v>
      </c>
      <c r="V445" s="70"/>
    </row>
    <row r="446" spans="1:22" ht="15.75" customHeight="1">
      <c r="A446" s="66">
        <v>40178</v>
      </c>
      <c r="B446" s="67">
        <f t="shared" ca="1" si="2"/>
        <v>16.431790903729066</v>
      </c>
      <c r="C446" s="68" t="str">
        <f t="shared" ca="1" si="3"/>
        <v>16 years, 5 months</v>
      </c>
      <c r="D446" s="69">
        <v>9449305234</v>
      </c>
      <c r="E446" s="69">
        <v>20091231</v>
      </c>
      <c r="F446" s="70"/>
      <c r="G446" s="70" t="s">
        <v>3928</v>
      </c>
      <c r="H446" s="70" t="s">
        <v>3929</v>
      </c>
      <c r="I446" s="70" t="s">
        <v>3930</v>
      </c>
      <c r="J446" s="70" t="s">
        <v>1422</v>
      </c>
      <c r="K446" s="70" t="s">
        <v>1285</v>
      </c>
      <c r="L446" s="70"/>
      <c r="M446" s="70" t="s">
        <v>3931</v>
      </c>
      <c r="N446" s="70"/>
      <c r="O446" s="70" t="s">
        <v>1800</v>
      </c>
      <c r="P446" s="70" t="s">
        <v>1793</v>
      </c>
      <c r="Q446" s="69">
        <v>30592848</v>
      </c>
      <c r="R446" s="70"/>
      <c r="S446" s="70" t="s">
        <v>1794</v>
      </c>
      <c r="T446" s="70"/>
      <c r="U446" s="70" t="s">
        <v>3932</v>
      </c>
      <c r="V446" s="70"/>
    </row>
    <row r="447" spans="1:22" ht="15.75" customHeight="1">
      <c r="A447" s="66">
        <v>40187</v>
      </c>
      <c r="B447" s="67">
        <f t="shared" ca="1" si="2"/>
        <v>16.407133369482491</v>
      </c>
      <c r="C447" s="68" t="str">
        <f t="shared" ca="1" si="3"/>
        <v>16 years, 4 months</v>
      </c>
      <c r="D447" s="69">
        <v>9449303339</v>
      </c>
      <c r="E447" s="69">
        <v>20100109</v>
      </c>
      <c r="F447" s="70"/>
      <c r="G447" s="70" t="s">
        <v>3933</v>
      </c>
      <c r="H447" s="70" t="s">
        <v>3934</v>
      </c>
      <c r="I447" s="70" t="s">
        <v>3935</v>
      </c>
      <c r="J447" s="70" t="s">
        <v>1391</v>
      </c>
      <c r="K447" s="70" t="s">
        <v>1932</v>
      </c>
      <c r="L447" s="70"/>
      <c r="M447" s="70" t="s">
        <v>3936</v>
      </c>
      <c r="N447" s="70"/>
      <c r="O447" s="70" t="s">
        <v>1862</v>
      </c>
      <c r="P447" s="70" t="s">
        <v>1793</v>
      </c>
      <c r="Q447" s="69">
        <v>22574820</v>
      </c>
      <c r="R447" s="70"/>
      <c r="S447" s="70" t="s">
        <v>1794</v>
      </c>
      <c r="T447" s="70"/>
      <c r="U447" s="70" t="s">
        <v>3937</v>
      </c>
      <c r="V447" s="70"/>
    </row>
    <row r="448" spans="1:22" ht="15.75" customHeight="1">
      <c r="A448" s="66">
        <v>40193</v>
      </c>
      <c r="B448" s="67">
        <f t="shared" ca="1" si="2"/>
        <v>16.390695013318108</v>
      </c>
      <c r="C448" s="68" t="str">
        <f t="shared" ca="1" si="3"/>
        <v>16 years, 4 months</v>
      </c>
      <c r="D448" s="69">
        <v>9449310173</v>
      </c>
      <c r="E448" s="69">
        <v>20100115</v>
      </c>
      <c r="F448" s="70"/>
      <c r="G448" s="70" t="s">
        <v>3083</v>
      </c>
      <c r="H448" s="70" t="s">
        <v>3938</v>
      </c>
      <c r="I448" s="70" t="s">
        <v>3939</v>
      </c>
      <c r="J448" s="70" t="s">
        <v>1422</v>
      </c>
      <c r="K448" s="70" t="s">
        <v>1285</v>
      </c>
      <c r="L448" s="70"/>
      <c r="M448" s="70" t="s">
        <v>3940</v>
      </c>
      <c r="N448" s="70"/>
      <c r="O448" s="70" t="s">
        <v>1800</v>
      </c>
      <c r="P448" s="70" t="s">
        <v>1793</v>
      </c>
      <c r="Q448" s="69">
        <v>7345753</v>
      </c>
      <c r="R448" s="70"/>
      <c r="S448" s="70" t="s">
        <v>1794</v>
      </c>
      <c r="T448" s="70"/>
      <c r="U448" s="70" t="s">
        <v>3941</v>
      </c>
      <c r="V448" s="70"/>
    </row>
    <row r="449" spans="1:22" ht="15.75" customHeight="1">
      <c r="A449" s="66">
        <v>40210</v>
      </c>
      <c r="B449" s="67">
        <f t="shared" ca="1" si="2"/>
        <v>16.344119670852354</v>
      </c>
      <c r="C449" s="68" t="str">
        <f t="shared" ca="1" si="3"/>
        <v>16 years, 4 months</v>
      </c>
      <c r="D449" s="69">
        <v>9449303312</v>
      </c>
      <c r="E449" s="69">
        <v>20100201</v>
      </c>
      <c r="F449" s="70"/>
      <c r="G449" s="70" t="s">
        <v>3942</v>
      </c>
      <c r="H449" s="70" t="s">
        <v>3943</v>
      </c>
      <c r="I449" s="70" t="s">
        <v>3944</v>
      </c>
      <c r="J449" s="70" t="s">
        <v>1422</v>
      </c>
      <c r="K449" s="70" t="s">
        <v>2016</v>
      </c>
      <c r="L449" s="70"/>
      <c r="M449" s="70" t="s">
        <v>3945</v>
      </c>
      <c r="N449" s="70" t="s">
        <v>1973</v>
      </c>
      <c r="O449" s="70" t="s">
        <v>1807</v>
      </c>
      <c r="P449" s="70" t="s">
        <v>1793</v>
      </c>
      <c r="Q449" s="69">
        <v>7365446</v>
      </c>
      <c r="R449" s="70"/>
      <c r="S449" s="70" t="s">
        <v>1794</v>
      </c>
      <c r="T449" s="70"/>
      <c r="U449" s="70" t="s">
        <v>3946</v>
      </c>
      <c r="V449" s="70"/>
    </row>
    <row r="450" spans="1:22" ht="15.75" customHeight="1">
      <c r="A450" s="66">
        <v>40211</v>
      </c>
      <c r="B450" s="67">
        <f t="shared" ca="1" si="2"/>
        <v>16.341379944824958</v>
      </c>
      <c r="C450" s="68" t="str">
        <f t="shared" ca="1" si="3"/>
        <v>16 years, 4 months</v>
      </c>
      <c r="D450" s="69">
        <v>9449305854</v>
      </c>
      <c r="E450" s="69">
        <v>20100202</v>
      </c>
      <c r="F450" s="70"/>
      <c r="G450" s="70" t="s">
        <v>3947</v>
      </c>
      <c r="H450" s="70" t="s">
        <v>3948</v>
      </c>
      <c r="I450" s="70" t="s">
        <v>3949</v>
      </c>
      <c r="J450" s="70" t="s">
        <v>1391</v>
      </c>
      <c r="K450" s="70" t="s">
        <v>1263</v>
      </c>
      <c r="L450" s="70"/>
      <c r="M450" s="70" t="s">
        <v>3950</v>
      </c>
      <c r="N450" s="70"/>
      <c r="O450" s="70" t="s">
        <v>1800</v>
      </c>
      <c r="P450" s="70" t="s">
        <v>1793</v>
      </c>
      <c r="Q450" s="69">
        <v>7342624</v>
      </c>
      <c r="R450" s="70"/>
      <c r="S450" s="70" t="s">
        <v>1794</v>
      </c>
      <c r="T450" s="70"/>
      <c r="U450" s="70" t="s">
        <v>3951</v>
      </c>
      <c r="V450" s="70"/>
    </row>
    <row r="451" spans="1:22" ht="15.75" customHeight="1">
      <c r="A451" s="66">
        <v>40212</v>
      </c>
      <c r="B451" s="67">
        <f t="shared" ca="1" si="2"/>
        <v>16.338640218797561</v>
      </c>
      <c r="C451" s="68" t="str">
        <f t="shared" ca="1" si="3"/>
        <v>16 years, 4 months</v>
      </c>
      <c r="D451" s="69">
        <v>9449306788</v>
      </c>
      <c r="E451" s="69">
        <v>20100203</v>
      </c>
      <c r="F451" s="70"/>
      <c r="G451" s="70" t="s">
        <v>3952</v>
      </c>
      <c r="H451" s="70" t="s">
        <v>3953</v>
      </c>
      <c r="I451" s="70" t="s">
        <v>3954</v>
      </c>
      <c r="J451" s="70" t="s">
        <v>1422</v>
      </c>
      <c r="K451" s="70" t="s">
        <v>1285</v>
      </c>
      <c r="L451" s="70" t="s">
        <v>3955</v>
      </c>
      <c r="M451" s="70" t="s">
        <v>3956</v>
      </c>
      <c r="N451" s="70"/>
      <c r="O451" s="70" t="s">
        <v>1834</v>
      </c>
      <c r="P451" s="70" t="s">
        <v>1793</v>
      </c>
      <c r="Q451" s="69">
        <v>20170625</v>
      </c>
      <c r="R451" s="70"/>
      <c r="S451" s="70" t="s">
        <v>1794</v>
      </c>
      <c r="T451" s="70"/>
      <c r="U451" s="70" t="s">
        <v>3957</v>
      </c>
      <c r="V451" s="70"/>
    </row>
    <row r="452" spans="1:22" ht="15.75" customHeight="1">
      <c r="A452" s="66">
        <v>40213</v>
      </c>
      <c r="B452" s="67">
        <f t="shared" ca="1" si="2"/>
        <v>16.335900492770161</v>
      </c>
      <c r="C452" s="68" t="str">
        <f t="shared" ca="1" si="3"/>
        <v>16 years, 4 months</v>
      </c>
      <c r="D452" s="69">
        <v>9449309019</v>
      </c>
      <c r="E452" s="69">
        <v>20100204</v>
      </c>
      <c r="F452" s="70"/>
      <c r="G452" s="70" t="s">
        <v>3929</v>
      </c>
      <c r="H452" s="70" t="s">
        <v>3958</v>
      </c>
      <c r="I452" s="70" t="s">
        <v>3959</v>
      </c>
      <c r="J452" s="70" t="s">
        <v>1422</v>
      </c>
      <c r="K452" s="70" t="s">
        <v>1285</v>
      </c>
      <c r="L452" s="70"/>
      <c r="M452" s="70" t="s">
        <v>3960</v>
      </c>
      <c r="N452" s="70"/>
      <c r="O452" s="70" t="s">
        <v>1862</v>
      </c>
      <c r="P452" s="70" t="s">
        <v>1793</v>
      </c>
      <c r="Q452" s="69">
        <v>18357718</v>
      </c>
      <c r="R452" s="70"/>
      <c r="S452" s="70" t="s">
        <v>1794</v>
      </c>
      <c r="T452" s="70"/>
      <c r="U452" s="70" t="s">
        <v>3961</v>
      </c>
      <c r="V452" s="70"/>
    </row>
    <row r="453" spans="1:22" ht="15.75" customHeight="1">
      <c r="A453" s="66">
        <v>40228</v>
      </c>
      <c r="B453" s="67">
        <f t="shared" ca="1" si="2"/>
        <v>16.294804602359203</v>
      </c>
      <c r="C453" s="68" t="str">
        <f t="shared" ca="1" si="3"/>
        <v>16 years, 3 months</v>
      </c>
      <c r="D453" s="69">
        <v>9449305382</v>
      </c>
      <c r="E453" s="69">
        <v>20100219</v>
      </c>
      <c r="F453" s="70"/>
      <c r="G453" s="70" t="s">
        <v>3962</v>
      </c>
      <c r="H453" s="70" t="s">
        <v>3963</v>
      </c>
      <c r="I453" s="70" t="s">
        <v>3964</v>
      </c>
      <c r="J453" s="70" t="s">
        <v>1391</v>
      </c>
      <c r="K453" s="70" t="s">
        <v>1263</v>
      </c>
      <c r="L453" s="70"/>
      <c r="M453" s="70" t="s">
        <v>3965</v>
      </c>
      <c r="N453" s="70"/>
      <c r="O453" s="70" t="s">
        <v>1800</v>
      </c>
      <c r="P453" s="70" t="s">
        <v>1793</v>
      </c>
      <c r="Q453" s="69">
        <v>7336984</v>
      </c>
      <c r="R453" s="70"/>
      <c r="S453" s="70" t="s">
        <v>1794</v>
      </c>
      <c r="T453" s="70"/>
      <c r="U453" s="70" t="s">
        <v>3966</v>
      </c>
      <c r="V453" s="70"/>
    </row>
    <row r="454" spans="1:22" ht="15.75" customHeight="1">
      <c r="A454" s="66">
        <v>40233</v>
      </c>
      <c r="B454" s="67">
        <f t="shared" ca="1" si="2"/>
        <v>16.281105972222218</v>
      </c>
      <c r="C454" s="68" t="str">
        <f t="shared" ca="1" si="3"/>
        <v>16 years, 3 months</v>
      </c>
      <c r="D454" s="69">
        <v>9449306273</v>
      </c>
      <c r="E454" s="69">
        <v>20100224</v>
      </c>
      <c r="F454" s="70"/>
      <c r="G454" s="70" t="s">
        <v>3967</v>
      </c>
      <c r="H454" s="70" t="s">
        <v>3585</v>
      </c>
      <c r="I454" s="70" t="s">
        <v>2544</v>
      </c>
      <c r="J454" s="70" t="s">
        <v>1391</v>
      </c>
      <c r="K454" s="70" t="s">
        <v>1263</v>
      </c>
      <c r="L454" s="70"/>
      <c r="M454" s="70" t="s">
        <v>3968</v>
      </c>
      <c r="N454" s="70"/>
      <c r="O454" s="70" t="s">
        <v>1906</v>
      </c>
      <c r="P454" s="70" t="s">
        <v>1793</v>
      </c>
      <c r="Q454" s="69">
        <v>17357859</v>
      </c>
      <c r="R454" s="70"/>
      <c r="S454" s="70" t="s">
        <v>1794</v>
      </c>
      <c r="T454" s="70"/>
      <c r="U454" s="70" t="s">
        <v>3969</v>
      </c>
      <c r="V454" s="70"/>
    </row>
    <row r="455" spans="1:22" ht="15.75" customHeight="1">
      <c r="A455" s="66">
        <v>40234</v>
      </c>
      <c r="B455" s="67">
        <f t="shared" ca="1" si="2"/>
        <v>16.278366246194821</v>
      </c>
      <c r="C455" s="68" t="str">
        <f t="shared" ca="1" si="3"/>
        <v>16 years, 3 months</v>
      </c>
      <c r="D455" s="69">
        <v>9449305196</v>
      </c>
      <c r="E455" s="69">
        <v>20100225</v>
      </c>
      <c r="F455" s="70"/>
      <c r="G455" s="70" t="s">
        <v>3970</v>
      </c>
      <c r="H455" s="70" t="s">
        <v>3971</v>
      </c>
      <c r="I455" s="70" t="s">
        <v>3972</v>
      </c>
      <c r="J455" s="70" t="s">
        <v>1391</v>
      </c>
      <c r="K455" s="70" t="s">
        <v>1263</v>
      </c>
      <c r="L455" s="70" t="s">
        <v>3973</v>
      </c>
      <c r="M455" s="70" t="s">
        <v>3974</v>
      </c>
      <c r="N455" s="70"/>
      <c r="O455" s="70" t="s">
        <v>1800</v>
      </c>
      <c r="P455" s="70" t="s">
        <v>1793</v>
      </c>
      <c r="Q455" s="69">
        <v>22020033</v>
      </c>
      <c r="R455" s="70"/>
      <c r="S455" s="70" t="s">
        <v>1794</v>
      </c>
      <c r="T455" s="70"/>
      <c r="U455" s="70" t="s">
        <v>3975</v>
      </c>
      <c r="V455" s="70"/>
    </row>
    <row r="456" spans="1:22" ht="15.75" customHeight="1">
      <c r="A456" s="66">
        <v>40236</v>
      </c>
      <c r="B456" s="67">
        <f t="shared" ca="1" si="2"/>
        <v>16.272886794140025</v>
      </c>
      <c r="C456" s="68" t="str">
        <f t="shared" ca="1" si="3"/>
        <v>16 years, 3 months</v>
      </c>
      <c r="D456" s="69">
        <v>9449309426</v>
      </c>
      <c r="E456" s="69">
        <v>20100227</v>
      </c>
      <c r="F456" s="70"/>
      <c r="G456" s="70" t="s">
        <v>3976</v>
      </c>
      <c r="H456" s="70"/>
      <c r="I456" s="70" t="s">
        <v>3977</v>
      </c>
      <c r="J456" s="70" t="s">
        <v>1422</v>
      </c>
      <c r="K456" s="70" t="s">
        <v>1285</v>
      </c>
      <c r="L456" s="70" t="s">
        <v>3978</v>
      </c>
      <c r="M456" s="70" t="s">
        <v>2399</v>
      </c>
      <c r="N456" s="70" t="s">
        <v>2400</v>
      </c>
      <c r="O456" s="70" t="s">
        <v>1862</v>
      </c>
      <c r="P456" s="70" t="s">
        <v>1793</v>
      </c>
      <c r="Q456" s="69">
        <v>20524825</v>
      </c>
      <c r="R456" s="70"/>
      <c r="S456" s="70" t="s">
        <v>1794</v>
      </c>
      <c r="T456" s="70"/>
      <c r="U456" s="70" t="s">
        <v>3979</v>
      </c>
      <c r="V456" s="70"/>
    </row>
    <row r="457" spans="1:22" ht="15.75" customHeight="1">
      <c r="A457" s="66">
        <v>40257</v>
      </c>
      <c r="B457" s="67">
        <f t="shared" ca="1" si="2"/>
        <v>16.215352547564684</v>
      </c>
      <c r="C457" s="68" t="str">
        <f t="shared" ca="1" si="3"/>
        <v>16 years, 2 months</v>
      </c>
      <c r="D457" s="69">
        <v>9449308780</v>
      </c>
      <c r="E457" s="69">
        <v>20100320</v>
      </c>
      <c r="F457" s="70"/>
      <c r="G457" s="70" t="s">
        <v>2775</v>
      </c>
      <c r="H457" s="70" t="s">
        <v>3980</v>
      </c>
      <c r="I457" s="70" t="s">
        <v>3981</v>
      </c>
      <c r="J457" s="70" t="s">
        <v>1422</v>
      </c>
      <c r="K457" s="70" t="s">
        <v>2016</v>
      </c>
      <c r="L457" s="70"/>
      <c r="M457" s="70" t="s">
        <v>3982</v>
      </c>
      <c r="N457" s="70"/>
      <c r="O457" s="70" t="s">
        <v>1862</v>
      </c>
      <c r="P457" s="70"/>
      <c r="Q457" s="69">
        <v>9571267</v>
      </c>
      <c r="R457" s="70"/>
      <c r="S457" s="70" t="s">
        <v>1794</v>
      </c>
      <c r="T457" s="70"/>
      <c r="U457" s="70" t="s">
        <v>3983</v>
      </c>
      <c r="V457" s="70"/>
    </row>
    <row r="458" spans="1:22" ht="15.75" customHeight="1">
      <c r="A458" s="66">
        <v>40271</v>
      </c>
      <c r="B458" s="67">
        <f t="shared" ca="1" si="2"/>
        <v>16.176996383181123</v>
      </c>
      <c r="C458" s="68" t="str">
        <f t="shared" ca="1" si="3"/>
        <v>16 years, 2 months</v>
      </c>
      <c r="D458" s="69">
        <v>9449307601</v>
      </c>
      <c r="E458" s="69">
        <v>20100403</v>
      </c>
      <c r="F458" s="70"/>
      <c r="G458" s="70" t="s">
        <v>3984</v>
      </c>
      <c r="H458" s="70"/>
      <c r="I458" s="70" t="s">
        <v>3985</v>
      </c>
      <c r="J458" s="70" t="s">
        <v>1391</v>
      </c>
      <c r="K458" s="70" t="s">
        <v>1263</v>
      </c>
      <c r="L458" s="70"/>
      <c r="M458" s="70" t="s">
        <v>3986</v>
      </c>
      <c r="N458" s="70" t="s">
        <v>1973</v>
      </c>
      <c r="O458" s="70" t="s">
        <v>1807</v>
      </c>
      <c r="P458" s="70" t="s">
        <v>1793</v>
      </c>
      <c r="Q458" s="69">
        <v>7364219</v>
      </c>
      <c r="R458" s="70"/>
      <c r="S458" s="70" t="s">
        <v>1794</v>
      </c>
      <c r="T458" s="70"/>
      <c r="U458" s="70" t="s">
        <v>3987</v>
      </c>
      <c r="V458" s="70"/>
    </row>
    <row r="459" spans="1:22" ht="15.75" customHeight="1">
      <c r="A459" s="66">
        <v>40277</v>
      </c>
      <c r="B459" s="67">
        <f t="shared" ca="1" si="2"/>
        <v>16.160558027016737</v>
      </c>
      <c r="C459" s="68" t="str">
        <f t="shared" ca="1" si="3"/>
        <v>16 years, 1 months</v>
      </c>
      <c r="D459" s="69">
        <v>9449305978</v>
      </c>
      <c r="E459" s="69">
        <v>20100409</v>
      </c>
      <c r="F459" s="70"/>
      <c r="G459" s="70" t="s">
        <v>3988</v>
      </c>
      <c r="H459" s="70" t="s">
        <v>3989</v>
      </c>
      <c r="I459" s="70" t="s">
        <v>3990</v>
      </c>
      <c r="J459" s="70" t="s">
        <v>1391</v>
      </c>
      <c r="K459" s="70" t="s">
        <v>1263</v>
      </c>
      <c r="L459" s="70"/>
      <c r="M459" s="70" t="s">
        <v>3991</v>
      </c>
      <c r="N459" s="70"/>
      <c r="O459" s="70" t="s">
        <v>1800</v>
      </c>
      <c r="P459" s="70" t="s">
        <v>1793</v>
      </c>
      <c r="Q459" s="69">
        <v>7344149</v>
      </c>
      <c r="R459" s="70"/>
      <c r="S459" s="70" t="s">
        <v>1794</v>
      </c>
      <c r="T459" s="70"/>
      <c r="U459" s="70" t="s">
        <v>3992</v>
      </c>
      <c r="V459" s="70"/>
    </row>
    <row r="460" spans="1:22" ht="15.75" customHeight="1">
      <c r="A460" s="66">
        <v>40280</v>
      </c>
      <c r="B460" s="67">
        <f t="shared" ca="1" si="2"/>
        <v>16.152338848934548</v>
      </c>
      <c r="C460" s="68" t="str">
        <f t="shared" ca="1" si="3"/>
        <v>16 years, 1 months</v>
      </c>
      <c r="D460" s="69">
        <v>9449304300</v>
      </c>
      <c r="E460" s="69">
        <v>20100412</v>
      </c>
      <c r="F460" s="70"/>
      <c r="G460" s="70" t="s">
        <v>3993</v>
      </c>
      <c r="H460" s="70" t="s">
        <v>3994</v>
      </c>
      <c r="I460" s="70" t="s">
        <v>2848</v>
      </c>
      <c r="J460" s="70" t="s">
        <v>1422</v>
      </c>
      <c r="K460" s="70" t="s">
        <v>1285</v>
      </c>
      <c r="L460" s="70" t="s">
        <v>3995</v>
      </c>
      <c r="M460" s="70" t="s">
        <v>3996</v>
      </c>
      <c r="N460" s="70" t="s">
        <v>3613</v>
      </c>
      <c r="O460" s="70" t="s">
        <v>1792</v>
      </c>
      <c r="P460" s="70" t="s">
        <v>1793</v>
      </c>
      <c r="Q460" s="69">
        <v>24337672</v>
      </c>
      <c r="R460" s="70"/>
      <c r="S460" s="70" t="s">
        <v>1794</v>
      </c>
      <c r="T460" s="70"/>
      <c r="U460" s="70" t="s">
        <v>3997</v>
      </c>
      <c r="V460" s="70"/>
    </row>
    <row r="461" spans="1:22" ht="15.75" customHeight="1">
      <c r="A461" s="66">
        <v>40292</v>
      </c>
      <c r="B461" s="67">
        <f t="shared" ca="1" si="2"/>
        <v>16.11946213660578</v>
      </c>
      <c r="C461" s="68" t="str">
        <f t="shared" ca="1" si="3"/>
        <v>16 years, 1 months</v>
      </c>
      <c r="D461" s="69">
        <v>9449304769</v>
      </c>
      <c r="E461" s="69">
        <v>20100424</v>
      </c>
      <c r="F461" s="70"/>
      <c r="G461" s="70" t="s">
        <v>3998</v>
      </c>
      <c r="H461" s="70" t="s">
        <v>2691</v>
      </c>
      <c r="I461" s="70" t="s">
        <v>3999</v>
      </c>
      <c r="J461" s="70" t="s">
        <v>1422</v>
      </c>
      <c r="K461" s="70" t="s">
        <v>2016</v>
      </c>
      <c r="L461" s="70" t="s">
        <v>4000</v>
      </c>
      <c r="M461" s="70" t="s">
        <v>2839</v>
      </c>
      <c r="N461" s="70"/>
      <c r="O461" s="70" t="s">
        <v>1800</v>
      </c>
      <c r="P461" s="70" t="s">
        <v>1793</v>
      </c>
      <c r="Q461" s="69">
        <v>23460286</v>
      </c>
      <c r="R461" s="70"/>
      <c r="S461" s="70" t="s">
        <v>1794</v>
      </c>
      <c r="T461" s="70"/>
      <c r="U461" s="70" t="s">
        <v>4001</v>
      </c>
      <c r="V461" s="70"/>
    </row>
    <row r="462" spans="1:22" ht="15.75" customHeight="1">
      <c r="A462" s="66">
        <v>40304</v>
      </c>
      <c r="B462" s="67">
        <f t="shared" ca="1" si="2"/>
        <v>16.086585424277011</v>
      </c>
      <c r="C462" s="68" t="str">
        <f t="shared" ca="1" si="3"/>
        <v>16 years, 1 months</v>
      </c>
      <c r="D462" s="69">
        <v>9449303835</v>
      </c>
      <c r="E462" s="69">
        <v>20100506</v>
      </c>
      <c r="F462" s="70"/>
      <c r="G462" s="70" t="s">
        <v>1949</v>
      </c>
      <c r="H462" s="70"/>
      <c r="I462" s="70" t="s">
        <v>4002</v>
      </c>
      <c r="J462" s="70" t="s">
        <v>1422</v>
      </c>
      <c r="K462" s="70" t="s">
        <v>1285</v>
      </c>
      <c r="L462" s="70"/>
      <c r="M462" s="70" t="s">
        <v>4003</v>
      </c>
      <c r="N462" s="70"/>
      <c r="O462" s="70" t="s">
        <v>1819</v>
      </c>
      <c r="P462" s="70" t="s">
        <v>1793</v>
      </c>
      <c r="Q462" s="69">
        <v>17336543</v>
      </c>
      <c r="R462" s="70"/>
      <c r="S462" s="70" t="s">
        <v>1794</v>
      </c>
      <c r="T462" s="70"/>
      <c r="U462" s="70" t="s">
        <v>4004</v>
      </c>
      <c r="V462" s="70"/>
    </row>
    <row r="463" spans="1:22" ht="15.75" customHeight="1">
      <c r="A463" s="66">
        <v>40319</v>
      </c>
      <c r="B463" s="67">
        <f t="shared" ca="1" si="2"/>
        <v>16.045489533866053</v>
      </c>
      <c r="C463" s="68" t="str">
        <f t="shared" ca="1" si="3"/>
        <v>16 years, 0 months</v>
      </c>
      <c r="D463" s="69">
        <v>9449305757</v>
      </c>
      <c r="E463" s="69">
        <v>20100521</v>
      </c>
      <c r="F463" s="70"/>
      <c r="G463" s="70" t="s">
        <v>4005</v>
      </c>
      <c r="H463" s="70" t="s">
        <v>4006</v>
      </c>
      <c r="I463" s="70" t="s">
        <v>4007</v>
      </c>
      <c r="J463" s="70" t="s">
        <v>1391</v>
      </c>
      <c r="K463" s="70" t="s">
        <v>1263</v>
      </c>
      <c r="L463" s="70"/>
      <c r="M463" s="70" t="s">
        <v>4008</v>
      </c>
      <c r="N463" s="70"/>
      <c r="O463" s="70" t="s">
        <v>1800</v>
      </c>
      <c r="P463" s="70" t="s">
        <v>1793</v>
      </c>
      <c r="Q463" s="69">
        <v>17353477</v>
      </c>
      <c r="R463" s="70"/>
      <c r="S463" s="70" t="s">
        <v>1794</v>
      </c>
      <c r="T463" s="70"/>
      <c r="U463" s="70" t="s">
        <v>4009</v>
      </c>
      <c r="V463" s="70"/>
    </row>
    <row r="464" spans="1:22" ht="15.75" customHeight="1">
      <c r="A464" s="66">
        <v>40337</v>
      </c>
      <c r="B464" s="67">
        <f t="shared" ca="1" si="2"/>
        <v>15.996174465372903</v>
      </c>
      <c r="C464" s="68" t="str">
        <f t="shared" ca="1" si="3"/>
        <v>15 years, 11 months</v>
      </c>
      <c r="D464" s="69">
        <v>9449305226</v>
      </c>
      <c r="E464" s="69">
        <v>20100608</v>
      </c>
      <c r="F464" s="70"/>
      <c r="G464" s="70" t="s">
        <v>4010</v>
      </c>
      <c r="H464" s="70" t="s">
        <v>4011</v>
      </c>
      <c r="I464" s="70" t="s">
        <v>4012</v>
      </c>
      <c r="J464" s="70" t="s">
        <v>1422</v>
      </c>
      <c r="K464" s="70" t="s">
        <v>1285</v>
      </c>
      <c r="L464" s="70"/>
      <c r="M464" s="70" t="s">
        <v>4013</v>
      </c>
      <c r="N464" s="70"/>
      <c r="O464" s="70" t="s">
        <v>1800</v>
      </c>
      <c r="P464" s="70" t="s">
        <v>1793</v>
      </c>
      <c r="Q464" s="69">
        <v>30546785</v>
      </c>
      <c r="R464" s="70"/>
      <c r="S464" s="70" t="s">
        <v>1794</v>
      </c>
      <c r="T464" s="70"/>
      <c r="U464" s="70" t="s">
        <v>3932</v>
      </c>
      <c r="V464" s="70"/>
    </row>
    <row r="465" spans="1:22" ht="15.75" customHeight="1">
      <c r="A465" s="66">
        <v>40372</v>
      </c>
      <c r="B465" s="67">
        <f t="shared" ca="1" si="2"/>
        <v>15.900284054413998</v>
      </c>
      <c r="C465" s="68" t="str">
        <f t="shared" ca="1" si="3"/>
        <v>15 years, 10 months</v>
      </c>
      <c r="D465" s="69">
        <v>9449309639</v>
      </c>
      <c r="E465" s="69">
        <v>20100713</v>
      </c>
      <c r="F465" s="70"/>
      <c r="G465" s="70" t="s">
        <v>4014</v>
      </c>
      <c r="H465" s="70" t="s">
        <v>4015</v>
      </c>
      <c r="I465" s="70" t="s">
        <v>4016</v>
      </c>
      <c r="J465" s="70" t="s">
        <v>1391</v>
      </c>
      <c r="K465" s="70" t="s">
        <v>1263</v>
      </c>
      <c r="L465" s="70"/>
      <c r="M465" s="70" t="s">
        <v>4017</v>
      </c>
      <c r="N465" s="70"/>
      <c r="O465" s="70" t="s">
        <v>1886</v>
      </c>
      <c r="P465" s="70" t="s">
        <v>1793</v>
      </c>
      <c r="Q465" s="69">
        <v>18810527</v>
      </c>
      <c r="R465" s="70"/>
      <c r="S465" s="70" t="s">
        <v>1794</v>
      </c>
      <c r="T465" s="70"/>
      <c r="U465" s="70" t="s">
        <v>4018</v>
      </c>
      <c r="V465" s="70"/>
    </row>
    <row r="466" spans="1:22" ht="15.75" customHeight="1">
      <c r="A466" s="66">
        <v>40374</v>
      </c>
      <c r="B466" s="67">
        <f t="shared" ca="1" si="2"/>
        <v>15.894804602359203</v>
      </c>
      <c r="C466" s="68" t="str">
        <f t="shared" ca="1" si="3"/>
        <v>15 years, 10 months</v>
      </c>
      <c r="D466" s="69">
        <v>9449309485</v>
      </c>
      <c r="E466" s="69">
        <v>20100715</v>
      </c>
      <c r="F466" s="70"/>
      <c r="G466" s="70" t="s">
        <v>4019</v>
      </c>
      <c r="H466" s="70" t="s">
        <v>4020</v>
      </c>
      <c r="I466" s="70" t="s">
        <v>4021</v>
      </c>
      <c r="J466" s="70" t="s">
        <v>1422</v>
      </c>
      <c r="K466" s="70" t="s">
        <v>1285</v>
      </c>
      <c r="L466" s="70" t="s">
        <v>4022</v>
      </c>
      <c r="M466" s="70" t="s">
        <v>4023</v>
      </c>
      <c r="N466" s="70" t="s">
        <v>4024</v>
      </c>
      <c r="O466" s="70" t="s">
        <v>1862</v>
      </c>
      <c r="P466" s="70"/>
      <c r="Q466" s="69">
        <v>32709492</v>
      </c>
      <c r="R466" s="70"/>
      <c r="S466" s="70" t="s">
        <v>1794</v>
      </c>
      <c r="T466" s="70"/>
      <c r="U466" s="70" t="s">
        <v>4025</v>
      </c>
      <c r="V466" s="70"/>
    </row>
    <row r="467" spans="1:22" ht="15.75" customHeight="1">
      <c r="A467" s="66">
        <v>40375</v>
      </c>
      <c r="B467" s="67">
        <f t="shared" ca="1" si="2"/>
        <v>15.892064876331807</v>
      </c>
      <c r="C467" s="68" t="str">
        <f t="shared" ca="1" si="3"/>
        <v>15 years, 10 months</v>
      </c>
      <c r="D467" s="69">
        <v>9449303673</v>
      </c>
      <c r="E467" s="69">
        <v>20100716</v>
      </c>
      <c r="F467" s="70"/>
      <c r="G467" s="70" t="s">
        <v>4026</v>
      </c>
      <c r="H467" s="70" t="s">
        <v>1909</v>
      </c>
      <c r="I467" s="70" t="s">
        <v>4027</v>
      </c>
      <c r="J467" s="70" t="s">
        <v>1391</v>
      </c>
      <c r="K467" s="70" t="s">
        <v>1263</v>
      </c>
      <c r="L467" s="70" t="s">
        <v>1735</v>
      </c>
      <c r="M467" s="70" t="s">
        <v>4028</v>
      </c>
      <c r="N467" s="70" t="s">
        <v>1818</v>
      </c>
      <c r="O467" s="70" t="s">
        <v>1819</v>
      </c>
      <c r="P467" s="70" t="s">
        <v>1793</v>
      </c>
      <c r="Q467" s="69">
        <v>21261329</v>
      </c>
      <c r="R467" s="70"/>
      <c r="S467" s="70" t="s">
        <v>1794</v>
      </c>
      <c r="T467" s="70"/>
      <c r="U467" s="70" t="s">
        <v>4029</v>
      </c>
      <c r="V467" s="70"/>
    </row>
    <row r="468" spans="1:22" ht="15.75" customHeight="1">
      <c r="A468" s="66">
        <v>40378</v>
      </c>
      <c r="B468" s="67">
        <f t="shared" ca="1" si="2"/>
        <v>15.883845698249615</v>
      </c>
      <c r="C468" s="68" t="str">
        <f t="shared" ca="1" si="3"/>
        <v>15 years, 10 months</v>
      </c>
      <c r="D468" s="69">
        <v>9449308667</v>
      </c>
      <c r="E468" s="69">
        <v>20100719</v>
      </c>
      <c r="F468" s="70"/>
      <c r="G468" s="70" t="s">
        <v>4030</v>
      </c>
      <c r="H468" s="70" t="s">
        <v>4031</v>
      </c>
      <c r="I468" s="70" t="s">
        <v>4032</v>
      </c>
      <c r="J468" s="70" t="s">
        <v>1391</v>
      </c>
      <c r="K468" s="70" t="s">
        <v>1263</v>
      </c>
      <c r="L468" s="70"/>
      <c r="M468" s="70" t="s">
        <v>4033</v>
      </c>
      <c r="N468" s="70" t="s">
        <v>2943</v>
      </c>
      <c r="O468" s="70" t="s">
        <v>2678</v>
      </c>
      <c r="P468" s="70" t="s">
        <v>1793</v>
      </c>
      <c r="Q468" s="69">
        <v>9570678</v>
      </c>
      <c r="R468" s="70"/>
      <c r="S468" s="70" t="s">
        <v>1794</v>
      </c>
      <c r="T468" s="70"/>
      <c r="U468" s="70" t="s">
        <v>4034</v>
      </c>
      <c r="V468" s="70"/>
    </row>
    <row r="469" spans="1:22" ht="15.75" customHeight="1">
      <c r="A469" s="66">
        <v>40378</v>
      </c>
      <c r="B469" s="67">
        <f t="shared" ca="1" si="2"/>
        <v>15.883845698249615</v>
      </c>
      <c r="C469" s="68" t="str">
        <f t="shared" ca="1" si="3"/>
        <v>15 years, 10 months</v>
      </c>
      <c r="D469" s="69">
        <v>9449309876</v>
      </c>
      <c r="E469" s="69">
        <v>20100719</v>
      </c>
      <c r="F469" s="70"/>
      <c r="G469" s="70" t="s">
        <v>4035</v>
      </c>
      <c r="H469" s="70" t="s">
        <v>4036</v>
      </c>
      <c r="I469" s="70" t="s">
        <v>4037</v>
      </c>
      <c r="J469" s="70" t="s">
        <v>1422</v>
      </c>
      <c r="K469" s="70" t="s">
        <v>2016</v>
      </c>
      <c r="L469" s="70" t="s">
        <v>4038</v>
      </c>
      <c r="M469" s="70" t="s">
        <v>1868</v>
      </c>
      <c r="N469" s="70"/>
      <c r="O469" s="70" t="s">
        <v>1886</v>
      </c>
      <c r="P469" s="70"/>
      <c r="Q469" s="69">
        <v>18811230</v>
      </c>
      <c r="R469" s="70"/>
      <c r="S469" s="70" t="s">
        <v>1794</v>
      </c>
      <c r="T469" s="70"/>
      <c r="U469" s="70" t="s">
        <v>4039</v>
      </c>
      <c r="V469" s="70"/>
    </row>
    <row r="470" spans="1:22" ht="15.75" customHeight="1">
      <c r="A470" s="66">
        <v>40388</v>
      </c>
      <c r="B470" s="67">
        <f t="shared" ca="1" si="2"/>
        <v>15.856448437975642</v>
      </c>
      <c r="C470" s="68" t="str">
        <f t="shared" ca="1" si="3"/>
        <v>15 years, 10 months</v>
      </c>
      <c r="D470" s="69">
        <v>9449305773</v>
      </c>
      <c r="E470" s="69">
        <v>20100729</v>
      </c>
      <c r="F470" s="70"/>
      <c r="G470" s="70" t="s">
        <v>2260</v>
      </c>
      <c r="H470" s="70"/>
      <c r="I470" s="70" t="s">
        <v>4040</v>
      </c>
      <c r="J470" s="70" t="s">
        <v>1391</v>
      </c>
      <c r="K470" s="70" t="s">
        <v>1263</v>
      </c>
      <c r="L470" s="70"/>
      <c r="M470" s="70" t="s">
        <v>4041</v>
      </c>
      <c r="N470" s="70"/>
      <c r="O470" s="70" t="s">
        <v>1800</v>
      </c>
      <c r="P470" s="70" t="s">
        <v>1793</v>
      </c>
      <c r="Q470" s="69">
        <v>7341569</v>
      </c>
      <c r="R470" s="70"/>
      <c r="S470" s="70" t="s">
        <v>1794</v>
      </c>
      <c r="T470" s="70"/>
      <c r="U470" s="70" t="s">
        <v>4042</v>
      </c>
      <c r="V470" s="70"/>
    </row>
    <row r="471" spans="1:22" ht="15.75" customHeight="1">
      <c r="A471" s="66">
        <v>40399</v>
      </c>
      <c r="B471" s="67">
        <f t="shared" ca="1" si="2"/>
        <v>15.826311451674272</v>
      </c>
      <c r="C471" s="68" t="str">
        <f t="shared" ca="1" si="3"/>
        <v>15 years, 9 months</v>
      </c>
      <c r="D471" s="69">
        <v>9449303738</v>
      </c>
      <c r="E471" s="69">
        <v>20100809</v>
      </c>
      <c r="F471" s="70"/>
      <c r="G471" s="70" t="s">
        <v>4043</v>
      </c>
      <c r="H471" s="70" t="s">
        <v>4044</v>
      </c>
      <c r="I471" s="70" t="s">
        <v>4045</v>
      </c>
      <c r="J471" s="70" t="s">
        <v>1422</v>
      </c>
      <c r="K471" s="70" t="s">
        <v>1285</v>
      </c>
      <c r="L471" s="70"/>
      <c r="M471" s="70" t="s">
        <v>4046</v>
      </c>
      <c r="N471" s="70"/>
      <c r="O471" s="70" t="s">
        <v>1819</v>
      </c>
      <c r="P471" s="70" t="s">
        <v>1793</v>
      </c>
      <c r="Q471" s="69">
        <v>7294331</v>
      </c>
      <c r="R471" s="70"/>
      <c r="S471" s="70" t="s">
        <v>1794</v>
      </c>
      <c r="T471" s="70"/>
      <c r="U471" s="70" t="s">
        <v>4047</v>
      </c>
      <c r="V471" s="70"/>
    </row>
    <row r="472" spans="1:22" ht="15.75" customHeight="1">
      <c r="A472" s="66">
        <v>40400</v>
      </c>
      <c r="B472" s="67">
        <f t="shared" ca="1" si="2"/>
        <v>15.823571725646875</v>
      </c>
      <c r="C472" s="68" t="str">
        <f t="shared" ca="1" si="3"/>
        <v>15 years, 9 months</v>
      </c>
      <c r="D472" s="69">
        <v>9449303940</v>
      </c>
      <c r="E472" s="69">
        <v>20100810</v>
      </c>
      <c r="F472" s="70"/>
      <c r="G472" s="70" t="s">
        <v>4048</v>
      </c>
      <c r="H472" s="70"/>
      <c r="I472" s="70" t="s">
        <v>4049</v>
      </c>
      <c r="J472" s="70" t="s">
        <v>1422</v>
      </c>
      <c r="K472" s="70" t="s">
        <v>1285</v>
      </c>
      <c r="L472" s="70" t="s">
        <v>4050</v>
      </c>
      <c r="M472" s="70" t="s">
        <v>4051</v>
      </c>
      <c r="N472" s="70"/>
      <c r="O472" s="70" t="s">
        <v>1819</v>
      </c>
      <c r="P472" s="70"/>
      <c r="Q472" s="69">
        <v>31530230</v>
      </c>
      <c r="R472" s="70"/>
      <c r="S472" s="70" t="s">
        <v>1794</v>
      </c>
      <c r="T472" s="70"/>
      <c r="U472" s="70" t="s">
        <v>4052</v>
      </c>
      <c r="V472" s="70"/>
    </row>
    <row r="473" spans="1:22" ht="15.75" customHeight="1">
      <c r="A473" s="66">
        <v>40404</v>
      </c>
      <c r="B473" s="67">
        <f t="shared" ca="1" si="2"/>
        <v>15.812612821537286</v>
      </c>
      <c r="C473" s="68" t="str">
        <f t="shared" ca="1" si="3"/>
        <v>15 years, 9 months</v>
      </c>
      <c r="D473" s="69">
        <v>9449303681</v>
      </c>
      <c r="E473" s="69">
        <v>20100814</v>
      </c>
      <c r="F473" s="70"/>
      <c r="G473" s="70" t="s">
        <v>4053</v>
      </c>
      <c r="H473" s="70"/>
      <c r="I473" s="70" t="s">
        <v>4054</v>
      </c>
      <c r="J473" s="70" t="s">
        <v>1391</v>
      </c>
      <c r="K473" s="70" t="s">
        <v>1263</v>
      </c>
      <c r="L473" s="70"/>
      <c r="M473" s="70" t="s">
        <v>4055</v>
      </c>
      <c r="N473" s="70" t="s">
        <v>1818</v>
      </c>
      <c r="O473" s="70" t="s">
        <v>1819</v>
      </c>
      <c r="P473" s="70" t="s">
        <v>1793</v>
      </c>
      <c r="Q473" s="69">
        <v>17335951</v>
      </c>
      <c r="R473" s="70"/>
      <c r="S473" s="70" t="s">
        <v>1794</v>
      </c>
      <c r="T473" s="70"/>
      <c r="U473" s="70" t="s">
        <v>4056</v>
      </c>
      <c r="V473" s="70"/>
    </row>
    <row r="474" spans="1:22" ht="15.75" customHeight="1">
      <c r="A474" s="66">
        <v>40409</v>
      </c>
      <c r="B474" s="67">
        <f t="shared" ca="1" si="2"/>
        <v>15.7989141914003</v>
      </c>
      <c r="C474" s="68" t="str">
        <f t="shared" ca="1" si="3"/>
        <v>15 years, 9 months</v>
      </c>
      <c r="D474" s="69">
        <v>9449304785</v>
      </c>
      <c r="E474" s="69">
        <v>20100819</v>
      </c>
      <c r="F474" s="70"/>
      <c r="G474" s="70" t="s">
        <v>4057</v>
      </c>
      <c r="H474" s="70"/>
      <c r="I474" s="70" t="s">
        <v>4058</v>
      </c>
      <c r="J474" s="70" t="s">
        <v>1422</v>
      </c>
      <c r="K474" s="70" t="s">
        <v>1285</v>
      </c>
      <c r="L474" s="70"/>
      <c r="M474" s="70" t="s">
        <v>4059</v>
      </c>
      <c r="N474" s="70"/>
      <c r="O474" s="70" t="s">
        <v>1800</v>
      </c>
      <c r="P474" s="70" t="s">
        <v>1793</v>
      </c>
      <c r="Q474" s="69">
        <v>7331356</v>
      </c>
      <c r="R474" s="70"/>
      <c r="S474" s="70" t="s">
        <v>1794</v>
      </c>
      <c r="T474" s="70"/>
      <c r="U474" s="70" t="s">
        <v>4060</v>
      </c>
      <c r="V474" s="70"/>
    </row>
    <row r="475" spans="1:22" ht="15.75" customHeight="1">
      <c r="A475" s="66">
        <v>40415</v>
      </c>
      <c r="B475" s="67">
        <f t="shared" ca="1" si="2"/>
        <v>15.782475835235916</v>
      </c>
      <c r="C475" s="68" t="str">
        <f t="shared" ca="1" si="3"/>
        <v>15 years, 9 months</v>
      </c>
      <c r="D475" s="69">
        <v>9449307458</v>
      </c>
      <c r="E475" s="69">
        <v>20100825</v>
      </c>
      <c r="F475" s="70"/>
      <c r="G475" s="70" t="s">
        <v>4061</v>
      </c>
      <c r="H475" s="70"/>
      <c r="I475" s="70" t="s">
        <v>4062</v>
      </c>
      <c r="J475" s="70" t="s">
        <v>1422</v>
      </c>
      <c r="K475" s="70" t="s">
        <v>2016</v>
      </c>
      <c r="L475" s="70" t="s">
        <v>4063</v>
      </c>
      <c r="M475" s="70" t="s">
        <v>1988</v>
      </c>
      <c r="N475" s="70" t="s">
        <v>2055</v>
      </c>
      <c r="O475" s="70" t="s">
        <v>1807</v>
      </c>
      <c r="P475" s="70" t="s">
        <v>1793</v>
      </c>
      <c r="Q475" s="69">
        <v>17362286</v>
      </c>
      <c r="R475" s="70"/>
      <c r="S475" s="70" t="s">
        <v>1794</v>
      </c>
      <c r="T475" s="70"/>
      <c r="U475" s="70" t="s">
        <v>4064</v>
      </c>
      <c r="V475" s="70"/>
    </row>
    <row r="476" spans="1:22" ht="15.75" customHeight="1">
      <c r="A476" s="66">
        <v>40419</v>
      </c>
      <c r="B476" s="67">
        <f t="shared" ca="1" si="2"/>
        <v>15.771516931126326</v>
      </c>
      <c r="C476" s="68" t="str">
        <f t="shared" ca="1" si="3"/>
        <v>15 years, 9 months</v>
      </c>
      <c r="D476" s="69">
        <v>9449304351</v>
      </c>
      <c r="E476" s="69">
        <v>20100829</v>
      </c>
      <c r="F476" s="70"/>
      <c r="G476" s="70" t="s">
        <v>4065</v>
      </c>
      <c r="H476" s="70" t="s">
        <v>4066</v>
      </c>
      <c r="I476" s="70" t="s">
        <v>4067</v>
      </c>
      <c r="J476" s="70" t="s">
        <v>1422</v>
      </c>
      <c r="K476" s="70" t="s">
        <v>1285</v>
      </c>
      <c r="L476" s="70"/>
      <c r="M476" s="70" t="s">
        <v>4068</v>
      </c>
      <c r="N476" s="70"/>
      <c r="O476" s="70" t="s">
        <v>1800</v>
      </c>
      <c r="P476" s="70" t="s">
        <v>1793</v>
      </c>
      <c r="Q476" s="69">
        <v>7327891</v>
      </c>
      <c r="R476" s="70"/>
      <c r="S476" s="70" t="s">
        <v>1794</v>
      </c>
      <c r="T476" s="70"/>
      <c r="U476" s="70" t="s">
        <v>4069</v>
      </c>
      <c r="V476" s="70"/>
    </row>
    <row r="477" spans="1:22" ht="15.75" customHeight="1">
      <c r="A477" s="66">
        <v>40433</v>
      </c>
      <c r="B477" s="67">
        <f t="shared" ca="1" si="2"/>
        <v>15.733160766742765</v>
      </c>
      <c r="C477" s="68" t="str">
        <f t="shared" ca="1" si="3"/>
        <v>15 years, 8 months</v>
      </c>
      <c r="D477" s="69">
        <v>9449306753</v>
      </c>
      <c r="E477" s="69">
        <v>20100912</v>
      </c>
      <c r="F477" s="70"/>
      <c r="G477" s="70" t="s">
        <v>4070</v>
      </c>
      <c r="H477" s="70"/>
      <c r="I477" s="70" t="s">
        <v>4071</v>
      </c>
      <c r="J477" s="70" t="s">
        <v>1391</v>
      </c>
      <c r="K477" s="70" t="s">
        <v>1263</v>
      </c>
      <c r="L477" s="70"/>
      <c r="M477" s="70" t="s">
        <v>4072</v>
      </c>
      <c r="N477" s="70"/>
      <c r="O477" s="70" t="s">
        <v>1834</v>
      </c>
      <c r="P477" s="70" t="s">
        <v>1793</v>
      </c>
      <c r="Q477" s="69">
        <v>7358461</v>
      </c>
      <c r="R477" s="70"/>
      <c r="S477" s="70" t="s">
        <v>1794</v>
      </c>
      <c r="T477" s="70"/>
      <c r="U477" s="70" t="s">
        <v>4073</v>
      </c>
      <c r="V477" s="70"/>
    </row>
    <row r="478" spans="1:22" ht="15.75" customHeight="1">
      <c r="A478" s="66">
        <v>40435</v>
      </c>
      <c r="B478" s="67">
        <f t="shared" ca="1" si="2"/>
        <v>15.72768131468797</v>
      </c>
      <c r="C478" s="68" t="str">
        <f t="shared" ca="1" si="3"/>
        <v>15 years, 8 months</v>
      </c>
      <c r="D478" s="69">
        <v>9449303657</v>
      </c>
      <c r="E478" s="69">
        <v>20100914</v>
      </c>
      <c r="F478" s="70"/>
      <c r="G478" s="70" t="s">
        <v>4074</v>
      </c>
      <c r="H478" s="70"/>
      <c r="I478" s="70" t="s">
        <v>4075</v>
      </c>
      <c r="J478" s="70" t="s">
        <v>1422</v>
      </c>
      <c r="K478" s="70" t="s">
        <v>1285</v>
      </c>
      <c r="L478" s="70"/>
      <c r="M478" s="70" t="s">
        <v>4076</v>
      </c>
      <c r="N478" s="70" t="s">
        <v>1818</v>
      </c>
      <c r="O478" s="70" t="s">
        <v>1819</v>
      </c>
      <c r="P478" s="70" t="s">
        <v>1793</v>
      </c>
      <c r="Q478" s="69">
        <v>30544647</v>
      </c>
      <c r="R478" s="70"/>
      <c r="S478" s="70" t="s">
        <v>1794</v>
      </c>
      <c r="T478" s="70"/>
      <c r="U478" s="70" t="s">
        <v>4077</v>
      </c>
      <c r="V478" s="70"/>
    </row>
    <row r="479" spans="1:22" ht="15.75" customHeight="1">
      <c r="A479" s="66">
        <v>40440</v>
      </c>
      <c r="B479" s="67">
        <f t="shared" ca="1" si="2"/>
        <v>15.713982684550984</v>
      </c>
      <c r="C479" s="68" t="str">
        <f t="shared" ca="1" si="3"/>
        <v>15 years, 8 months</v>
      </c>
      <c r="D479" s="69">
        <v>9449308519</v>
      </c>
      <c r="E479" s="69">
        <v>20100919</v>
      </c>
      <c r="F479" s="70"/>
      <c r="G479" s="70" t="s">
        <v>4078</v>
      </c>
      <c r="H479" s="70" t="s">
        <v>4079</v>
      </c>
      <c r="I479" s="70" t="s">
        <v>4080</v>
      </c>
      <c r="J479" s="70" t="s">
        <v>1422</v>
      </c>
      <c r="K479" s="70" t="s">
        <v>1285</v>
      </c>
      <c r="L479" s="70"/>
      <c r="M479" s="70" t="s">
        <v>4081</v>
      </c>
      <c r="N479" s="70"/>
      <c r="O479" s="70" t="s">
        <v>2177</v>
      </c>
      <c r="P479" s="70" t="s">
        <v>1793</v>
      </c>
      <c r="Q479" s="69">
        <v>7400911</v>
      </c>
      <c r="R479" s="70"/>
      <c r="S479" s="70" t="s">
        <v>1794</v>
      </c>
      <c r="T479" s="70"/>
      <c r="U479" s="70" t="s">
        <v>4082</v>
      </c>
      <c r="V479" s="70"/>
    </row>
    <row r="480" spans="1:22" ht="15.75" customHeight="1">
      <c r="A480" s="66">
        <v>40446</v>
      </c>
      <c r="B480" s="67">
        <f t="shared" ca="1" si="2"/>
        <v>15.6975443283866</v>
      </c>
      <c r="C480" s="68" t="str">
        <f t="shared" ca="1" si="3"/>
        <v>15 years, 8 months</v>
      </c>
      <c r="D480" s="69">
        <v>9449308608</v>
      </c>
      <c r="E480" s="69">
        <v>20100925</v>
      </c>
      <c r="F480" s="70"/>
      <c r="G480" s="70" t="s">
        <v>4083</v>
      </c>
      <c r="H480" s="70" t="s">
        <v>4084</v>
      </c>
      <c r="I480" s="70" t="s">
        <v>4085</v>
      </c>
      <c r="J480" s="70" t="s">
        <v>1422</v>
      </c>
      <c r="K480" s="70" t="s">
        <v>1285</v>
      </c>
      <c r="L480" s="70" t="s">
        <v>4086</v>
      </c>
      <c r="M480" s="70" t="s">
        <v>4087</v>
      </c>
      <c r="N480" s="70" t="s">
        <v>2261</v>
      </c>
      <c r="O480" s="70" t="s">
        <v>2678</v>
      </c>
      <c r="P480" s="70" t="s">
        <v>1793</v>
      </c>
      <c r="Q480" s="69">
        <v>24639476</v>
      </c>
      <c r="R480" s="70"/>
      <c r="S480" s="70" t="s">
        <v>1794</v>
      </c>
      <c r="T480" s="70"/>
      <c r="U480" s="70" t="s">
        <v>4088</v>
      </c>
      <c r="V480" s="70"/>
    </row>
    <row r="481" spans="1:22" ht="15.75" customHeight="1">
      <c r="A481" s="66">
        <v>40447</v>
      </c>
      <c r="B481" s="67">
        <f t="shared" ca="1" si="2"/>
        <v>15.694804602359204</v>
      </c>
      <c r="C481" s="68" t="str">
        <f t="shared" ca="1" si="3"/>
        <v>15 years, 8 months</v>
      </c>
      <c r="D481" s="69">
        <v>9449307083</v>
      </c>
      <c r="E481" s="69">
        <v>20100926</v>
      </c>
      <c r="F481" s="70"/>
      <c r="G481" s="70" t="s">
        <v>4089</v>
      </c>
      <c r="H481" s="70"/>
      <c r="I481" s="70" t="s">
        <v>4090</v>
      </c>
      <c r="J481" s="70" t="s">
        <v>1314</v>
      </c>
      <c r="K481" s="70" t="s">
        <v>1263</v>
      </c>
      <c r="L481" s="70"/>
      <c r="M481" s="70" t="s">
        <v>4091</v>
      </c>
      <c r="N481" s="70"/>
      <c r="O481" s="70" t="s">
        <v>1807</v>
      </c>
      <c r="P481" s="70" t="s">
        <v>1793</v>
      </c>
      <c r="Q481" s="69">
        <v>7360232</v>
      </c>
      <c r="R481" s="70"/>
      <c r="S481" s="70" t="s">
        <v>1794</v>
      </c>
      <c r="T481" s="70"/>
      <c r="U481" s="70" t="s">
        <v>4092</v>
      </c>
      <c r="V481" s="70"/>
    </row>
    <row r="482" spans="1:22" ht="15.75" customHeight="1">
      <c r="A482" s="66">
        <v>40448</v>
      </c>
      <c r="B482" s="67">
        <f t="shared" ca="1" si="2"/>
        <v>15.692064876331807</v>
      </c>
      <c r="C482" s="68" t="str">
        <f t="shared" ca="1" si="3"/>
        <v>15 years, 8 months</v>
      </c>
      <c r="D482" s="69">
        <v>9449307636</v>
      </c>
      <c r="E482" s="69">
        <v>20100927</v>
      </c>
      <c r="F482" s="70"/>
      <c r="G482" s="70" t="s">
        <v>3264</v>
      </c>
      <c r="H482" s="70" t="s">
        <v>4093</v>
      </c>
      <c r="I482" s="70" t="s">
        <v>4094</v>
      </c>
      <c r="J482" s="70" t="s">
        <v>1422</v>
      </c>
      <c r="K482" s="70" t="s">
        <v>1285</v>
      </c>
      <c r="L482" s="70"/>
      <c r="M482" s="70" t="s">
        <v>4095</v>
      </c>
      <c r="N482" s="70" t="s">
        <v>1973</v>
      </c>
      <c r="O482" s="70" t="s">
        <v>1807</v>
      </c>
      <c r="P482" s="70" t="s">
        <v>1793</v>
      </c>
      <c r="Q482" s="69">
        <v>7364302</v>
      </c>
      <c r="R482" s="70"/>
      <c r="S482" s="70" t="s">
        <v>1794</v>
      </c>
      <c r="T482" s="70"/>
      <c r="U482" s="70" t="s">
        <v>4096</v>
      </c>
      <c r="V482" s="70"/>
    </row>
    <row r="483" spans="1:22" ht="15.75" customHeight="1">
      <c r="A483" s="66">
        <v>40450</v>
      </c>
      <c r="B483" s="67">
        <f t="shared" ca="1" si="2"/>
        <v>15.686585424277013</v>
      </c>
      <c r="C483" s="68" t="str">
        <f t="shared" ca="1" si="3"/>
        <v>15 years, 8 months</v>
      </c>
      <c r="D483" s="69">
        <v>9449306540</v>
      </c>
      <c r="E483" s="69">
        <v>20100929</v>
      </c>
      <c r="F483" s="70"/>
      <c r="G483" s="70" t="s">
        <v>4097</v>
      </c>
      <c r="H483" s="70" t="s">
        <v>3863</v>
      </c>
      <c r="I483" s="70" t="s">
        <v>4098</v>
      </c>
      <c r="J483" s="70" t="s">
        <v>1422</v>
      </c>
      <c r="K483" s="70" t="s">
        <v>1285</v>
      </c>
      <c r="L483" s="70" t="s">
        <v>4099</v>
      </c>
      <c r="M483" s="70" t="s">
        <v>2553</v>
      </c>
      <c r="N483" s="70"/>
      <c r="O483" s="70" t="s">
        <v>1906</v>
      </c>
      <c r="P483" s="70"/>
      <c r="Q483" s="69">
        <v>17358554</v>
      </c>
      <c r="R483" s="70"/>
      <c r="S483" s="70" t="s">
        <v>1794</v>
      </c>
      <c r="T483" s="70"/>
      <c r="U483" s="70" t="s">
        <v>4100</v>
      </c>
      <c r="V483" s="70"/>
    </row>
    <row r="484" spans="1:22" ht="15.75" customHeight="1">
      <c r="A484" s="66">
        <v>40451</v>
      </c>
      <c r="B484" s="67">
        <f t="shared" ca="1" si="2"/>
        <v>15.683845698249614</v>
      </c>
      <c r="C484" s="68" t="str">
        <f t="shared" ca="1" si="3"/>
        <v>15 years, 8 months</v>
      </c>
      <c r="D484" s="69">
        <v>9449307776</v>
      </c>
      <c r="E484" s="69">
        <v>20100930</v>
      </c>
      <c r="F484" s="70"/>
      <c r="G484" s="70" t="s">
        <v>4101</v>
      </c>
      <c r="H484" s="70" t="s">
        <v>4102</v>
      </c>
      <c r="I484" s="70" t="s">
        <v>4103</v>
      </c>
      <c r="J484" s="70" t="s">
        <v>1391</v>
      </c>
      <c r="K484" s="70" t="s">
        <v>1263</v>
      </c>
      <c r="L484" s="70"/>
      <c r="M484" s="70" t="s">
        <v>4104</v>
      </c>
      <c r="N484" s="70" t="s">
        <v>1973</v>
      </c>
      <c r="O484" s="70" t="s">
        <v>1807</v>
      </c>
      <c r="P484" s="70" t="s">
        <v>1793</v>
      </c>
      <c r="Q484" s="69">
        <v>7365409</v>
      </c>
      <c r="R484" s="70"/>
      <c r="S484" s="70" t="s">
        <v>1794</v>
      </c>
      <c r="T484" s="70"/>
      <c r="U484" s="70" t="s">
        <v>4105</v>
      </c>
      <c r="V484" s="70"/>
    </row>
    <row r="485" spans="1:22" ht="15.75" customHeight="1">
      <c r="A485" s="66">
        <v>40452</v>
      </c>
      <c r="B485" s="67">
        <f t="shared" ca="1" si="2"/>
        <v>15.681105972222218</v>
      </c>
      <c r="C485" s="68" t="str">
        <f t="shared" ca="1" si="3"/>
        <v>15 years, 8 months</v>
      </c>
      <c r="D485" s="69">
        <v>9449307415</v>
      </c>
      <c r="E485" s="69">
        <v>20101001</v>
      </c>
      <c r="F485" s="70"/>
      <c r="G485" s="70" t="s">
        <v>2820</v>
      </c>
      <c r="H485" s="70" t="s">
        <v>4106</v>
      </c>
      <c r="I485" s="70" t="s">
        <v>4107</v>
      </c>
      <c r="J485" s="70" t="s">
        <v>1422</v>
      </c>
      <c r="K485" s="70" t="s">
        <v>1285</v>
      </c>
      <c r="L485" s="70"/>
      <c r="M485" s="70" t="s">
        <v>4108</v>
      </c>
      <c r="N485" s="70"/>
      <c r="O485" s="70" t="s">
        <v>1807</v>
      </c>
      <c r="P485" s="70" t="s">
        <v>1793</v>
      </c>
      <c r="Q485" s="69">
        <v>17362046</v>
      </c>
      <c r="R485" s="70"/>
      <c r="S485" s="70" t="s">
        <v>1794</v>
      </c>
      <c r="T485" s="70"/>
      <c r="U485" s="70" t="s">
        <v>4109</v>
      </c>
      <c r="V485" s="70"/>
    </row>
    <row r="486" spans="1:22" ht="15.75" customHeight="1">
      <c r="A486" s="66">
        <v>40454</v>
      </c>
      <c r="B486" s="67">
        <f t="shared" ca="1" si="2"/>
        <v>15.675626520167423</v>
      </c>
      <c r="C486" s="68" t="str">
        <f t="shared" ca="1" si="3"/>
        <v>15 years, 8 months</v>
      </c>
      <c r="D486" s="69">
        <v>9449308799</v>
      </c>
      <c r="E486" s="69">
        <v>20101003</v>
      </c>
      <c r="F486" s="70"/>
      <c r="G486" s="70" t="s">
        <v>3677</v>
      </c>
      <c r="H486" s="70"/>
      <c r="I486" s="70" t="s">
        <v>3761</v>
      </c>
      <c r="J486" s="70" t="s">
        <v>1422</v>
      </c>
      <c r="K486" s="70" t="s">
        <v>1285</v>
      </c>
      <c r="L486" s="70" t="s">
        <v>4110</v>
      </c>
      <c r="M486" s="70" t="s">
        <v>4111</v>
      </c>
      <c r="N486" s="70"/>
      <c r="O486" s="70" t="s">
        <v>1862</v>
      </c>
      <c r="P486" s="70"/>
      <c r="Q486" s="69">
        <v>32600338</v>
      </c>
      <c r="R486" s="70"/>
      <c r="S486" s="70" t="s">
        <v>1794</v>
      </c>
      <c r="T486" s="70"/>
      <c r="U486" s="70" t="s">
        <v>4112</v>
      </c>
      <c r="V486" s="70"/>
    </row>
    <row r="487" spans="1:22" ht="15.75" customHeight="1">
      <c r="A487" s="66">
        <v>40462</v>
      </c>
      <c r="B487" s="67">
        <f t="shared" ca="1" si="2"/>
        <v>15.653708711948244</v>
      </c>
      <c r="C487" s="68" t="str">
        <f t="shared" ca="1" si="3"/>
        <v>15 years, 7 months</v>
      </c>
      <c r="D487" s="69">
        <v>9449305943</v>
      </c>
      <c r="E487" s="69">
        <v>20101011</v>
      </c>
      <c r="F487" s="70"/>
      <c r="G487" s="70" t="s">
        <v>4113</v>
      </c>
      <c r="H487" s="70" t="s">
        <v>4114</v>
      </c>
      <c r="I487" s="70" t="s">
        <v>4115</v>
      </c>
      <c r="J487" s="70" t="s">
        <v>1422</v>
      </c>
      <c r="K487" s="70" t="s">
        <v>1285</v>
      </c>
      <c r="L487" s="70"/>
      <c r="M487" s="70" t="s">
        <v>4116</v>
      </c>
      <c r="N487" s="70"/>
      <c r="O487" s="70" t="s">
        <v>1800</v>
      </c>
      <c r="P487" s="70" t="s">
        <v>1793</v>
      </c>
      <c r="Q487" s="69">
        <v>7343818</v>
      </c>
      <c r="R487" s="70"/>
      <c r="S487" s="70" t="s">
        <v>1794</v>
      </c>
      <c r="T487" s="70"/>
      <c r="U487" s="70" t="s">
        <v>2710</v>
      </c>
      <c r="V487" s="70"/>
    </row>
    <row r="488" spans="1:22" ht="15.75" customHeight="1">
      <c r="A488" s="66">
        <v>40466</v>
      </c>
      <c r="B488" s="67">
        <f t="shared" ca="1" si="2"/>
        <v>15.642749807838657</v>
      </c>
      <c r="C488" s="68" t="str">
        <f t="shared" ca="1" si="3"/>
        <v>15 years, 7 months</v>
      </c>
      <c r="D488" s="69">
        <v>9449303983</v>
      </c>
      <c r="E488" s="69">
        <v>20101015</v>
      </c>
      <c r="F488" s="70"/>
      <c r="G488" s="70" t="s">
        <v>4117</v>
      </c>
      <c r="H488" s="70" t="s">
        <v>3863</v>
      </c>
      <c r="I488" s="70" t="s">
        <v>4118</v>
      </c>
      <c r="J488" s="70" t="s">
        <v>1422</v>
      </c>
      <c r="K488" s="70" t="s">
        <v>1285</v>
      </c>
      <c r="L488" s="70" t="s">
        <v>4119</v>
      </c>
      <c r="M488" s="70" t="s">
        <v>4120</v>
      </c>
      <c r="N488" s="70"/>
      <c r="O488" s="70" t="s">
        <v>1792</v>
      </c>
      <c r="P488" s="70" t="s">
        <v>1793</v>
      </c>
      <c r="Q488" s="69">
        <v>21971255</v>
      </c>
      <c r="R488" s="70"/>
      <c r="S488" s="70" t="s">
        <v>1794</v>
      </c>
      <c r="T488" s="70"/>
      <c r="U488" s="70" t="s">
        <v>4121</v>
      </c>
      <c r="V488" s="70"/>
    </row>
    <row r="489" spans="1:22" ht="15.75" customHeight="1">
      <c r="A489" s="66">
        <v>40468</v>
      </c>
      <c r="B489" s="67">
        <f t="shared" ca="1" si="2"/>
        <v>15.637270355783862</v>
      </c>
      <c r="C489" s="68" t="str">
        <f t="shared" ca="1" si="3"/>
        <v>15 years, 7 months</v>
      </c>
      <c r="D489" s="69">
        <v>9449310351</v>
      </c>
      <c r="E489" s="69">
        <v>20101017</v>
      </c>
      <c r="F489" s="70"/>
      <c r="G489" s="70" t="s">
        <v>4122</v>
      </c>
      <c r="H489" s="70"/>
      <c r="I489" s="70" t="s">
        <v>4123</v>
      </c>
      <c r="J489" s="70" t="s">
        <v>1314</v>
      </c>
      <c r="K489" s="70" t="s">
        <v>1263</v>
      </c>
      <c r="L489" s="70"/>
      <c r="M489" s="70" t="s">
        <v>4124</v>
      </c>
      <c r="N489" s="70" t="s">
        <v>2055</v>
      </c>
      <c r="O489" s="70" t="s">
        <v>1807</v>
      </c>
      <c r="P489" s="70" t="s">
        <v>1793</v>
      </c>
      <c r="Q489" s="69">
        <v>7364114</v>
      </c>
      <c r="R489" s="70"/>
      <c r="S489" s="70" t="s">
        <v>1794</v>
      </c>
      <c r="T489" s="70"/>
      <c r="U489" s="70" t="s">
        <v>4125</v>
      </c>
      <c r="V489" s="70"/>
    </row>
    <row r="490" spans="1:22" ht="15.75" customHeight="1">
      <c r="A490" s="66">
        <v>40471</v>
      </c>
      <c r="B490" s="67">
        <f t="shared" ca="1" si="2"/>
        <v>15.629051177701669</v>
      </c>
      <c r="C490" s="68" t="str">
        <f t="shared" ca="1" si="3"/>
        <v>15 years, 7 months</v>
      </c>
      <c r="D490" s="69">
        <v>9449306524</v>
      </c>
      <c r="E490" s="69">
        <v>20101020</v>
      </c>
      <c r="F490" s="70"/>
      <c r="G490" s="70" t="s">
        <v>2113</v>
      </c>
      <c r="H490" s="70" t="s">
        <v>3270</v>
      </c>
      <c r="I490" s="70" t="s">
        <v>4126</v>
      </c>
      <c r="J490" s="70" t="s">
        <v>1422</v>
      </c>
      <c r="K490" s="70" t="s">
        <v>1932</v>
      </c>
      <c r="L490" s="70" t="s">
        <v>4127</v>
      </c>
      <c r="M490" s="70" t="s">
        <v>2553</v>
      </c>
      <c r="N490" s="70"/>
      <c r="O490" s="70" t="s">
        <v>1906</v>
      </c>
      <c r="P490" s="70" t="s">
        <v>1793</v>
      </c>
      <c r="Q490" s="69">
        <v>23911595</v>
      </c>
      <c r="R490" s="70"/>
      <c r="S490" s="70" t="s">
        <v>1794</v>
      </c>
      <c r="T490" s="70"/>
      <c r="U490" s="70" t="s">
        <v>4128</v>
      </c>
      <c r="V490" s="70"/>
    </row>
    <row r="491" spans="1:22" ht="15.75" customHeight="1">
      <c r="A491" s="66">
        <v>40477</v>
      </c>
      <c r="B491" s="67">
        <f t="shared" ca="1" si="2"/>
        <v>15.612612821537287</v>
      </c>
      <c r="C491" s="68" t="str">
        <f t="shared" ca="1" si="3"/>
        <v>15 years, 7 months</v>
      </c>
      <c r="D491" s="69">
        <v>9449303223</v>
      </c>
      <c r="E491" s="69">
        <v>20101026</v>
      </c>
      <c r="F491" s="70"/>
      <c r="G491" s="70" t="s">
        <v>3436</v>
      </c>
      <c r="H491" s="70" t="s">
        <v>4117</v>
      </c>
      <c r="I491" s="70" t="s">
        <v>4129</v>
      </c>
      <c r="J491" s="70" t="s">
        <v>1391</v>
      </c>
      <c r="K491" s="70" t="s">
        <v>1263</v>
      </c>
      <c r="L491" s="70" t="s">
        <v>4130</v>
      </c>
      <c r="M491" s="70" t="s">
        <v>4131</v>
      </c>
      <c r="N491" s="70"/>
      <c r="O491" s="70" t="s">
        <v>1800</v>
      </c>
      <c r="P491" s="70"/>
      <c r="Q491" s="69">
        <v>32024341</v>
      </c>
      <c r="R491" s="70"/>
      <c r="S491" s="70" t="s">
        <v>1794</v>
      </c>
      <c r="T491" s="70"/>
      <c r="U491" s="70" t="s">
        <v>4132</v>
      </c>
      <c r="V491" s="70"/>
    </row>
    <row r="492" spans="1:22" ht="15.75" customHeight="1">
      <c r="A492" s="66">
        <v>40477</v>
      </c>
      <c r="B492" s="67">
        <f t="shared" ca="1" si="2"/>
        <v>15.612612821537287</v>
      </c>
      <c r="C492" s="68" t="str">
        <f t="shared" ca="1" si="3"/>
        <v>15 years, 7 months</v>
      </c>
      <c r="D492" s="69">
        <v>9449304823</v>
      </c>
      <c r="E492" s="69">
        <v>20101026</v>
      </c>
      <c r="F492" s="70"/>
      <c r="G492" s="70" t="s">
        <v>4133</v>
      </c>
      <c r="H492" s="70"/>
      <c r="I492" s="70" t="s">
        <v>4134</v>
      </c>
      <c r="J492" s="70" t="s">
        <v>1391</v>
      </c>
      <c r="K492" s="70" t="s">
        <v>1263</v>
      </c>
      <c r="L492" s="70"/>
      <c r="M492" s="70" t="s">
        <v>4135</v>
      </c>
      <c r="N492" s="70"/>
      <c r="O492" s="70" t="s">
        <v>1800</v>
      </c>
      <c r="P492" s="70" t="s">
        <v>1793</v>
      </c>
      <c r="Q492" s="69">
        <v>17349478</v>
      </c>
      <c r="R492" s="70"/>
      <c r="S492" s="70" t="s">
        <v>1794</v>
      </c>
      <c r="T492" s="70"/>
      <c r="U492" s="70" t="s">
        <v>3400</v>
      </c>
      <c r="V492" s="70"/>
    </row>
    <row r="493" spans="1:22" ht="15.75" customHeight="1">
      <c r="A493" s="66">
        <v>40481</v>
      </c>
      <c r="B493" s="67">
        <f t="shared" ca="1" si="2"/>
        <v>15.601653917427697</v>
      </c>
      <c r="C493" s="68" t="str">
        <f t="shared" ca="1" si="3"/>
        <v>15 years, 7 months</v>
      </c>
      <c r="D493" s="69">
        <v>9449306710</v>
      </c>
      <c r="E493" s="69">
        <v>20101030</v>
      </c>
      <c r="F493" s="70"/>
      <c r="G493" s="70" t="s">
        <v>4136</v>
      </c>
      <c r="H493" s="70" t="s">
        <v>4137</v>
      </c>
      <c r="I493" s="70" t="s">
        <v>4138</v>
      </c>
      <c r="J493" s="70" t="s">
        <v>1314</v>
      </c>
      <c r="K493" s="70" t="s">
        <v>1932</v>
      </c>
      <c r="L493" s="70"/>
      <c r="M493" s="70" t="s">
        <v>4139</v>
      </c>
      <c r="N493" s="70"/>
      <c r="O493" s="70" t="s">
        <v>1834</v>
      </c>
      <c r="P493" s="70"/>
      <c r="Q493" s="69">
        <v>7358303</v>
      </c>
      <c r="R493" s="70"/>
      <c r="S493" s="70" t="s">
        <v>1794</v>
      </c>
      <c r="T493" s="70"/>
      <c r="U493" s="70" t="s">
        <v>4140</v>
      </c>
      <c r="V493" s="70"/>
    </row>
    <row r="494" spans="1:22" ht="15.75" customHeight="1">
      <c r="A494" s="66">
        <v>40487</v>
      </c>
      <c r="B494" s="67">
        <f t="shared" ca="1" si="2"/>
        <v>15.585215561263313</v>
      </c>
      <c r="C494" s="68" t="str">
        <f t="shared" ca="1" si="3"/>
        <v>15 years, 7 months</v>
      </c>
      <c r="D494" s="69">
        <v>9449304858</v>
      </c>
      <c r="E494" s="69">
        <v>20101105</v>
      </c>
      <c r="F494" s="70"/>
      <c r="G494" s="70" t="s">
        <v>4141</v>
      </c>
      <c r="H494" s="70" t="s">
        <v>4142</v>
      </c>
      <c r="I494" s="70" t="s">
        <v>4143</v>
      </c>
      <c r="J494" s="70" t="s">
        <v>1422</v>
      </c>
      <c r="K494" s="70" t="s">
        <v>1285</v>
      </c>
      <c r="L494" s="70"/>
      <c r="M494" s="70" t="s">
        <v>4144</v>
      </c>
      <c r="N494" s="70"/>
      <c r="O494" s="70" t="s">
        <v>1800</v>
      </c>
      <c r="P494" s="70" t="s">
        <v>1793</v>
      </c>
      <c r="Q494" s="69">
        <v>7331697</v>
      </c>
      <c r="R494" s="70"/>
      <c r="S494" s="70" t="s">
        <v>1794</v>
      </c>
      <c r="T494" s="70"/>
      <c r="U494" s="70" t="s">
        <v>4145</v>
      </c>
      <c r="V494" s="70"/>
    </row>
    <row r="495" spans="1:22" ht="15.75" customHeight="1">
      <c r="A495" s="66">
        <v>40508</v>
      </c>
      <c r="B495" s="67">
        <f t="shared" ca="1" si="2"/>
        <v>15.527681314687971</v>
      </c>
      <c r="C495" s="68" t="str">
        <f t="shared" ca="1" si="3"/>
        <v>15 years, 6 months</v>
      </c>
      <c r="D495" s="69">
        <v>9449303649</v>
      </c>
      <c r="E495" s="69">
        <v>20101126</v>
      </c>
      <c r="F495" s="70"/>
      <c r="G495" s="70" t="s">
        <v>4146</v>
      </c>
      <c r="H495" s="70"/>
      <c r="I495" s="70" t="s">
        <v>4147</v>
      </c>
      <c r="J495" s="70" t="s">
        <v>1391</v>
      </c>
      <c r="K495" s="70" t="s">
        <v>1263</v>
      </c>
      <c r="L495" s="70"/>
      <c r="M495" s="70" t="s">
        <v>4148</v>
      </c>
      <c r="N495" s="70" t="s">
        <v>1818</v>
      </c>
      <c r="O495" s="70" t="s">
        <v>1819</v>
      </c>
      <c r="P495" s="70" t="s">
        <v>1793</v>
      </c>
      <c r="Q495" s="69">
        <v>7293589</v>
      </c>
      <c r="R495" s="70"/>
      <c r="S495" s="70" t="s">
        <v>1794</v>
      </c>
      <c r="T495" s="70"/>
      <c r="U495" s="70" t="s">
        <v>4149</v>
      </c>
      <c r="V495" s="70"/>
    </row>
    <row r="496" spans="1:22" ht="15.75" customHeight="1">
      <c r="A496" s="66">
        <v>40521</v>
      </c>
      <c r="B496" s="67">
        <f t="shared" ca="1" si="2"/>
        <v>15.492064876331806</v>
      </c>
      <c r="C496" s="68" t="str">
        <f t="shared" ca="1" si="3"/>
        <v>15 years, 5 months</v>
      </c>
      <c r="D496" s="69">
        <v>9449310319</v>
      </c>
      <c r="E496" s="69">
        <v>20101209</v>
      </c>
      <c r="F496" s="70"/>
      <c r="G496" s="70" t="s">
        <v>4150</v>
      </c>
      <c r="H496" s="70"/>
      <c r="I496" s="70" t="s">
        <v>3595</v>
      </c>
      <c r="J496" s="70" t="s">
        <v>1391</v>
      </c>
      <c r="K496" s="70" t="s">
        <v>1263</v>
      </c>
      <c r="L496" s="70"/>
      <c r="M496" s="70" t="s">
        <v>4151</v>
      </c>
      <c r="N496" s="70"/>
      <c r="O496" s="70" t="s">
        <v>1906</v>
      </c>
      <c r="P496" s="70" t="s">
        <v>1793</v>
      </c>
      <c r="Q496" s="69">
        <v>7354033</v>
      </c>
      <c r="R496" s="70"/>
      <c r="S496" s="70" t="s">
        <v>1794</v>
      </c>
      <c r="T496" s="70"/>
      <c r="U496" s="70" t="s">
        <v>4152</v>
      </c>
      <c r="V496" s="70"/>
    </row>
    <row r="497" spans="1:22" ht="15.75" customHeight="1">
      <c r="A497" s="66">
        <v>40521</v>
      </c>
      <c r="B497" s="67">
        <f t="shared" ca="1" si="2"/>
        <v>15.492064876331806</v>
      </c>
      <c r="C497" s="68" t="str">
        <f t="shared" ca="1" si="3"/>
        <v>15 years, 5 months</v>
      </c>
      <c r="D497" s="69">
        <v>9449309345</v>
      </c>
      <c r="E497" s="69">
        <v>20101209</v>
      </c>
      <c r="F497" s="70"/>
      <c r="G497" s="70" t="s">
        <v>4153</v>
      </c>
      <c r="H497" s="70"/>
      <c r="I497" s="70" t="s">
        <v>4154</v>
      </c>
      <c r="J497" s="70" t="s">
        <v>1391</v>
      </c>
      <c r="K497" s="70" t="s">
        <v>1263</v>
      </c>
      <c r="L497" s="70"/>
      <c r="M497" s="70" t="s">
        <v>4155</v>
      </c>
      <c r="N497" s="70" t="s">
        <v>1918</v>
      </c>
      <c r="O497" s="70" t="s">
        <v>1862</v>
      </c>
      <c r="P497" s="70" t="s">
        <v>1793</v>
      </c>
      <c r="Q497" s="69">
        <v>18358829</v>
      </c>
      <c r="R497" s="70"/>
      <c r="S497" s="70" t="s">
        <v>1794</v>
      </c>
      <c r="T497" s="70"/>
      <c r="U497" s="70" t="s">
        <v>4156</v>
      </c>
      <c r="V497" s="70"/>
    </row>
    <row r="498" spans="1:22" ht="15.75" customHeight="1">
      <c r="A498" s="66">
        <v>40521</v>
      </c>
      <c r="B498" s="67">
        <f t="shared" ca="1" si="2"/>
        <v>15.492064876331806</v>
      </c>
      <c r="C498" s="68" t="str">
        <f t="shared" ca="1" si="3"/>
        <v>15 years, 5 months</v>
      </c>
      <c r="D498" s="69">
        <v>9449310475</v>
      </c>
      <c r="E498" s="69">
        <v>20101209</v>
      </c>
      <c r="F498" s="70"/>
      <c r="G498" s="70" t="s">
        <v>4157</v>
      </c>
      <c r="H498" s="70" t="s">
        <v>2335</v>
      </c>
      <c r="I498" s="70" t="s">
        <v>2522</v>
      </c>
      <c r="J498" s="70" t="s">
        <v>1422</v>
      </c>
      <c r="K498" s="70" t="s">
        <v>1285</v>
      </c>
      <c r="L498" s="70"/>
      <c r="M498" s="70" t="s">
        <v>4158</v>
      </c>
      <c r="N498" s="70"/>
      <c r="O498" s="70" t="s">
        <v>2524</v>
      </c>
      <c r="P498" s="70" t="s">
        <v>1793</v>
      </c>
      <c r="Q498" s="69">
        <v>7401579</v>
      </c>
      <c r="R498" s="70" t="s">
        <v>1748</v>
      </c>
      <c r="S498" s="70" t="s">
        <v>1794</v>
      </c>
      <c r="T498" s="70"/>
      <c r="U498" s="70" t="s">
        <v>4159</v>
      </c>
      <c r="V498" s="70"/>
    </row>
    <row r="499" spans="1:22" ht="15.75" customHeight="1">
      <c r="A499" s="66">
        <v>40523</v>
      </c>
      <c r="B499" s="67">
        <f t="shared" ca="1" si="2"/>
        <v>15.486585424277012</v>
      </c>
      <c r="C499" s="68" t="str">
        <f t="shared" ca="1" si="3"/>
        <v>15 years, 5 months</v>
      </c>
      <c r="D499" s="69">
        <v>9449306427</v>
      </c>
      <c r="E499" s="69">
        <v>20101211</v>
      </c>
      <c r="F499" s="70"/>
      <c r="G499" s="70" t="s">
        <v>4160</v>
      </c>
      <c r="H499" s="70" t="s">
        <v>4161</v>
      </c>
      <c r="I499" s="70" t="s">
        <v>4162</v>
      </c>
      <c r="J499" s="70" t="s">
        <v>1391</v>
      </c>
      <c r="K499" s="70" t="s">
        <v>1263</v>
      </c>
      <c r="L499" s="70" t="s">
        <v>4163</v>
      </c>
      <c r="M499" s="70" t="s">
        <v>2724</v>
      </c>
      <c r="N499" s="70" t="s">
        <v>2184</v>
      </c>
      <c r="O499" s="70" t="s">
        <v>1906</v>
      </c>
      <c r="P499" s="70" t="s">
        <v>1793</v>
      </c>
      <c r="Q499" s="69">
        <v>17358228</v>
      </c>
      <c r="R499" s="70"/>
      <c r="S499" s="70" t="s">
        <v>1794</v>
      </c>
      <c r="T499" s="70"/>
      <c r="U499" s="70" t="s">
        <v>3749</v>
      </c>
      <c r="V499" s="70"/>
    </row>
    <row r="500" spans="1:22" ht="15.75" customHeight="1">
      <c r="A500" s="66">
        <v>40526</v>
      </c>
      <c r="B500" s="67">
        <f t="shared" ca="1" si="2"/>
        <v>15.47836624619482</v>
      </c>
      <c r="C500" s="68" t="str">
        <f t="shared" ca="1" si="3"/>
        <v>15 years, 5 months</v>
      </c>
      <c r="D500" s="69">
        <v>9449303258</v>
      </c>
      <c r="E500" s="69">
        <v>20101214</v>
      </c>
      <c r="F500" s="70"/>
      <c r="G500" s="70" t="s">
        <v>4164</v>
      </c>
      <c r="H500" s="70"/>
      <c r="I500" s="70" t="s">
        <v>4165</v>
      </c>
      <c r="J500" s="70" t="s">
        <v>1422</v>
      </c>
      <c r="K500" s="70" t="s">
        <v>1285</v>
      </c>
      <c r="L500" s="70"/>
      <c r="M500" s="70" t="s">
        <v>4166</v>
      </c>
      <c r="N500" s="70"/>
      <c r="O500" s="70" t="s">
        <v>1800</v>
      </c>
      <c r="P500" s="70" t="s">
        <v>1793</v>
      </c>
      <c r="Q500" s="69">
        <v>17352595</v>
      </c>
      <c r="R500" s="70"/>
      <c r="S500" s="70" t="s">
        <v>1794</v>
      </c>
      <c r="T500" s="70"/>
      <c r="U500" s="70" t="s">
        <v>4167</v>
      </c>
      <c r="V500" s="70"/>
    </row>
    <row r="501" spans="1:22" ht="15.75" customHeight="1">
      <c r="A501" s="66">
        <v>40533</v>
      </c>
      <c r="B501" s="67">
        <f t="shared" ca="1" si="2"/>
        <v>15.45918816400304</v>
      </c>
      <c r="C501" s="68" t="str">
        <f t="shared" ca="1" si="3"/>
        <v>15 years, 5 months</v>
      </c>
      <c r="D501" s="69">
        <v>9449303754</v>
      </c>
      <c r="E501" s="69">
        <v>20101221</v>
      </c>
      <c r="F501" s="70"/>
      <c r="G501" s="70" t="s">
        <v>4168</v>
      </c>
      <c r="H501" s="70" t="s">
        <v>4169</v>
      </c>
      <c r="I501" s="70" t="s">
        <v>4170</v>
      </c>
      <c r="J501" s="70" t="s">
        <v>1391</v>
      </c>
      <c r="K501" s="70" t="s">
        <v>1263</v>
      </c>
      <c r="L501" s="70"/>
      <c r="M501" s="70" t="s">
        <v>4171</v>
      </c>
      <c r="N501" s="70"/>
      <c r="O501" s="70" t="s">
        <v>1819</v>
      </c>
      <c r="P501" s="70" t="s">
        <v>1793</v>
      </c>
      <c r="Q501" s="69">
        <v>7294344</v>
      </c>
      <c r="R501" s="70"/>
      <c r="S501" s="70" t="s">
        <v>1794</v>
      </c>
      <c r="T501" s="70"/>
      <c r="U501" s="70" t="s">
        <v>2391</v>
      </c>
      <c r="V501" s="70"/>
    </row>
    <row r="502" spans="1:22" ht="15.75" customHeight="1">
      <c r="A502" s="66">
        <v>40537</v>
      </c>
      <c r="B502" s="67">
        <f t="shared" ca="1" si="2"/>
        <v>15.44822925989345</v>
      </c>
      <c r="C502" s="68" t="str">
        <f t="shared" ca="1" si="3"/>
        <v>15 years, 5 months</v>
      </c>
      <c r="D502" s="69">
        <v>9449310181</v>
      </c>
      <c r="E502" s="69">
        <v>20101225</v>
      </c>
      <c r="F502" s="70"/>
      <c r="G502" s="70" t="s">
        <v>3127</v>
      </c>
      <c r="H502" s="70" t="s">
        <v>4172</v>
      </c>
      <c r="I502" s="70" t="s">
        <v>3939</v>
      </c>
      <c r="J502" s="70" t="s">
        <v>1391</v>
      </c>
      <c r="K502" s="70" t="s">
        <v>1263</v>
      </c>
      <c r="L502" s="70"/>
      <c r="M502" s="70" t="s">
        <v>4173</v>
      </c>
      <c r="N502" s="70" t="s">
        <v>1973</v>
      </c>
      <c r="O502" s="70" t="s">
        <v>1807</v>
      </c>
      <c r="P502" s="70"/>
      <c r="Q502" s="69">
        <v>7366135</v>
      </c>
      <c r="R502" s="70"/>
      <c r="S502" s="70" t="s">
        <v>1794</v>
      </c>
      <c r="T502" s="70"/>
      <c r="U502" s="70" t="s">
        <v>4174</v>
      </c>
      <c r="V502" s="70"/>
    </row>
    <row r="503" spans="1:22" ht="15.75" customHeight="1">
      <c r="A503" s="66">
        <v>40544</v>
      </c>
      <c r="B503" s="67">
        <f t="shared" ca="1" si="2"/>
        <v>15.42905117770167</v>
      </c>
      <c r="C503" s="68" t="str">
        <f t="shared" ca="1" si="3"/>
        <v>15 years, 5 months</v>
      </c>
      <c r="D503" s="69">
        <v>9449309760</v>
      </c>
      <c r="E503" s="69">
        <v>20110101</v>
      </c>
      <c r="F503" s="70"/>
      <c r="G503" s="70" t="s">
        <v>3351</v>
      </c>
      <c r="H503" s="70" t="s">
        <v>2255</v>
      </c>
      <c r="I503" s="70" t="s">
        <v>4175</v>
      </c>
      <c r="J503" s="70" t="s">
        <v>1391</v>
      </c>
      <c r="K503" s="70" t="s">
        <v>1263</v>
      </c>
      <c r="L503" s="70"/>
      <c r="M503" s="70" t="s">
        <v>4176</v>
      </c>
      <c r="N503" s="70"/>
      <c r="O503" s="70" t="s">
        <v>1886</v>
      </c>
      <c r="P503" s="70" t="s">
        <v>1793</v>
      </c>
      <c r="Q503" s="69">
        <v>9721286</v>
      </c>
      <c r="R503" s="70"/>
      <c r="S503" s="70" t="s">
        <v>1794</v>
      </c>
      <c r="T503" s="70"/>
      <c r="U503" s="70" t="s">
        <v>4177</v>
      </c>
      <c r="V503" s="70"/>
    </row>
    <row r="504" spans="1:22" ht="15.75" customHeight="1">
      <c r="A504" s="66">
        <v>40556</v>
      </c>
      <c r="B504" s="67">
        <f t="shared" ca="1" si="2"/>
        <v>15.396174465372903</v>
      </c>
      <c r="C504" s="68" t="str">
        <f t="shared" ca="1" si="3"/>
        <v>15 years, 4 months</v>
      </c>
      <c r="D504" s="69">
        <v>9449304203</v>
      </c>
      <c r="E504" s="69">
        <v>20110113</v>
      </c>
      <c r="F504" s="70"/>
      <c r="G504" s="70" t="s">
        <v>4178</v>
      </c>
      <c r="H504" s="70" t="s">
        <v>4179</v>
      </c>
      <c r="I504" s="70" t="s">
        <v>4180</v>
      </c>
      <c r="J504" s="70" t="s">
        <v>1391</v>
      </c>
      <c r="K504" s="70" t="s">
        <v>1263</v>
      </c>
      <c r="L504" s="70" t="s">
        <v>4181</v>
      </c>
      <c r="M504" s="70" t="s">
        <v>1868</v>
      </c>
      <c r="N504" s="70"/>
      <c r="O504" s="70" t="s">
        <v>1792</v>
      </c>
      <c r="P504" s="70"/>
      <c r="Q504" s="69">
        <v>21395494</v>
      </c>
      <c r="R504" s="70"/>
      <c r="S504" s="70" t="s">
        <v>1794</v>
      </c>
      <c r="T504" s="70"/>
      <c r="U504" s="70" t="s">
        <v>4182</v>
      </c>
      <c r="V504" s="70"/>
    </row>
    <row r="505" spans="1:22" ht="15.75" customHeight="1">
      <c r="A505" s="66">
        <v>40564</v>
      </c>
      <c r="B505" s="67">
        <f t="shared" ca="1" si="2"/>
        <v>15.374256657153724</v>
      </c>
      <c r="C505" s="68" t="str">
        <f t="shared" ca="1" si="3"/>
        <v>15 years, 4 months</v>
      </c>
      <c r="D505" s="69">
        <v>9449304971</v>
      </c>
      <c r="E505" s="69">
        <v>20110121</v>
      </c>
      <c r="F505" s="70"/>
      <c r="G505" s="70" t="s">
        <v>4183</v>
      </c>
      <c r="H505" s="70" t="s">
        <v>4184</v>
      </c>
      <c r="I505" s="70" t="s">
        <v>4185</v>
      </c>
      <c r="J505" s="70" t="s">
        <v>1422</v>
      </c>
      <c r="K505" s="70" t="s">
        <v>1285</v>
      </c>
      <c r="L505" s="70" t="s">
        <v>4186</v>
      </c>
      <c r="M505" s="70" t="s">
        <v>4187</v>
      </c>
      <c r="N505" s="70"/>
      <c r="O505" s="70" t="s">
        <v>1800</v>
      </c>
      <c r="P505" s="70" t="s">
        <v>1793</v>
      </c>
      <c r="Q505" s="69">
        <v>17350426</v>
      </c>
      <c r="R505" s="70"/>
      <c r="S505" s="70" t="s">
        <v>1794</v>
      </c>
      <c r="T505" s="70"/>
      <c r="U505" s="70" t="s">
        <v>4188</v>
      </c>
      <c r="V505" s="70"/>
    </row>
    <row r="506" spans="1:22" ht="15.75" customHeight="1">
      <c r="A506" s="66">
        <v>40569</v>
      </c>
      <c r="B506" s="67">
        <f t="shared" ca="1" si="2"/>
        <v>15.360558027016738</v>
      </c>
      <c r="C506" s="68" t="str">
        <f t="shared" ca="1" si="3"/>
        <v>15 years, 4 months</v>
      </c>
      <c r="D506" s="69">
        <v>9449305609</v>
      </c>
      <c r="E506" s="69">
        <v>20110126</v>
      </c>
      <c r="F506" s="70"/>
      <c r="G506" s="70" t="s">
        <v>4189</v>
      </c>
      <c r="H506" s="70" t="s">
        <v>4190</v>
      </c>
      <c r="I506" s="70" t="s">
        <v>4191</v>
      </c>
      <c r="J506" s="70" t="s">
        <v>1391</v>
      </c>
      <c r="K506" s="70" t="s">
        <v>1263</v>
      </c>
      <c r="L506" s="70"/>
      <c r="M506" s="70" t="s">
        <v>4192</v>
      </c>
      <c r="N506" s="70"/>
      <c r="O506" s="70" t="s">
        <v>1800</v>
      </c>
      <c r="P506" s="70" t="s">
        <v>1793</v>
      </c>
      <c r="Q506" s="69">
        <v>30560548</v>
      </c>
      <c r="R506" s="70"/>
      <c r="S506" s="70" t="s">
        <v>1794</v>
      </c>
      <c r="T506" s="70"/>
      <c r="U506" s="70" t="s">
        <v>4193</v>
      </c>
      <c r="V506" s="70"/>
    </row>
    <row r="507" spans="1:22" ht="15.75" customHeight="1">
      <c r="A507" s="66">
        <v>40571</v>
      </c>
      <c r="B507" s="67">
        <f t="shared" ca="1" si="2"/>
        <v>15.355078574961944</v>
      </c>
      <c r="C507" s="68" t="str">
        <f t="shared" ca="1" si="3"/>
        <v>15 years, 4 months</v>
      </c>
      <c r="D507" s="69">
        <v>9449307032</v>
      </c>
      <c r="E507" s="69">
        <v>20110128</v>
      </c>
      <c r="F507" s="70"/>
      <c r="G507" s="70" t="s">
        <v>4194</v>
      </c>
      <c r="H507" s="70"/>
      <c r="I507" s="70" t="s">
        <v>4195</v>
      </c>
      <c r="J507" s="70" t="s">
        <v>1422</v>
      </c>
      <c r="K507" s="70" t="s">
        <v>1285</v>
      </c>
      <c r="L507" s="70"/>
      <c r="M507" s="70" t="s">
        <v>4196</v>
      </c>
      <c r="N507" s="70"/>
      <c r="O507" s="70" t="s">
        <v>1807</v>
      </c>
      <c r="P507" s="70" t="s">
        <v>1793</v>
      </c>
      <c r="Q507" s="69">
        <v>7359798</v>
      </c>
      <c r="R507" s="70"/>
      <c r="S507" s="70" t="s">
        <v>1794</v>
      </c>
      <c r="T507" s="70"/>
      <c r="U507" s="70" t="s">
        <v>4197</v>
      </c>
      <c r="V507" s="70"/>
    </row>
    <row r="508" spans="1:22" ht="15.75" customHeight="1">
      <c r="A508" s="66">
        <v>40571</v>
      </c>
      <c r="B508" s="67">
        <f t="shared" ca="1" si="2"/>
        <v>15.355078574961944</v>
      </c>
      <c r="C508" s="68" t="str">
        <f t="shared" ca="1" si="3"/>
        <v>15 years, 4 months</v>
      </c>
      <c r="D508" s="69">
        <v>9449306605</v>
      </c>
      <c r="E508" s="69">
        <v>20110128</v>
      </c>
      <c r="F508" s="70"/>
      <c r="G508" s="70" t="s">
        <v>4198</v>
      </c>
      <c r="H508" s="70"/>
      <c r="I508" s="70" t="s">
        <v>4199</v>
      </c>
      <c r="J508" s="70" t="s">
        <v>1422</v>
      </c>
      <c r="K508" s="70" t="s">
        <v>1285</v>
      </c>
      <c r="L508" s="70" t="s">
        <v>4200</v>
      </c>
      <c r="M508" s="70" t="s">
        <v>1978</v>
      </c>
      <c r="N508" s="70"/>
      <c r="O508" s="70" t="s">
        <v>1834</v>
      </c>
      <c r="P508" s="70"/>
      <c r="Q508" s="69">
        <v>17358962</v>
      </c>
      <c r="R508" s="70"/>
      <c r="S508" s="70" t="s">
        <v>1794</v>
      </c>
      <c r="T508" s="70"/>
      <c r="U508" s="70" t="s">
        <v>1979</v>
      </c>
      <c r="V508" s="70"/>
    </row>
    <row r="509" spans="1:22" ht="15.75" customHeight="1">
      <c r="A509" s="66">
        <v>40572</v>
      </c>
      <c r="B509" s="67">
        <f t="shared" ca="1" si="2"/>
        <v>15.352338848934547</v>
      </c>
      <c r="C509" s="68" t="str">
        <f t="shared" ca="1" si="3"/>
        <v>15 years, 4 months</v>
      </c>
      <c r="D509" s="69">
        <v>9449307644</v>
      </c>
      <c r="E509" s="69">
        <v>20110129</v>
      </c>
      <c r="F509" s="70"/>
      <c r="G509" s="70" t="s">
        <v>4201</v>
      </c>
      <c r="H509" s="70" t="s">
        <v>4202</v>
      </c>
      <c r="I509" s="70" t="s">
        <v>4203</v>
      </c>
      <c r="J509" s="70" t="s">
        <v>1422</v>
      </c>
      <c r="K509" s="70" t="s">
        <v>1285</v>
      </c>
      <c r="L509" s="70" t="s">
        <v>4204</v>
      </c>
      <c r="M509" s="70" t="s">
        <v>4205</v>
      </c>
      <c r="N509" s="70" t="s">
        <v>1973</v>
      </c>
      <c r="O509" s="70" t="s">
        <v>1807</v>
      </c>
      <c r="P509" s="70" t="s">
        <v>1793</v>
      </c>
      <c r="Q509" s="69">
        <v>17363386</v>
      </c>
      <c r="R509" s="70"/>
      <c r="S509" s="70" t="s">
        <v>1794</v>
      </c>
      <c r="T509" s="70"/>
      <c r="U509" s="70" t="s">
        <v>4206</v>
      </c>
      <c r="V509" s="70"/>
    </row>
    <row r="510" spans="1:22" ht="15.75" customHeight="1">
      <c r="A510" s="66">
        <v>40574</v>
      </c>
      <c r="B510" s="67">
        <f t="shared" ca="1" si="2"/>
        <v>15.346859396879752</v>
      </c>
      <c r="C510" s="68" t="str">
        <f t="shared" ca="1" si="3"/>
        <v>15 years, 4 months</v>
      </c>
      <c r="D510" s="69">
        <v>9449306842</v>
      </c>
      <c r="E510" s="69">
        <v>20110131</v>
      </c>
      <c r="F510" s="70"/>
      <c r="G510" s="70" t="s">
        <v>4207</v>
      </c>
      <c r="H510" s="70" t="s">
        <v>3868</v>
      </c>
      <c r="I510" s="70" t="s">
        <v>4208</v>
      </c>
      <c r="J510" s="70" t="s">
        <v>1422</v>
      </c>
      <c r="K510" s="70" t="s">
        <v>1932</v>
      </c>
      <c r="L510" s="70"/>
      <c r="M510" s="70" t="s">
        <v>4209</v>
      </c>
      <c r="N510" s="70"/>
      <c r="O510" s="70" t="s">
        <v>1834</v>
      </c>
      <c r="P510" s="70" t="s">
        <v>1793</v>
      </c>
      <c r="Q510" s="69">
        <v>7358882</v>
      </c>
      <c r="R510" s="70"/>
      <c r="S510" s="70" t="s">
        <v>1794</v>
      </c>
      <c r="T510" s="70"/>
      <c r="U510" s="70" t="s">
        <v>4210</v>
      </c>
      <c r="V510" s="70"/>
    </row>
    <row r="511" spans="1:22" ht="15.75" customHeight="1">
      <c r="A511" s="66">
        <v>40574</v>
      </c>
      <c r="B511" s="67">
        <f t="shared" ca="1" si="2"/>
        <v>15.346859396879752</v>
      </c>
      <c r="C511" s="68" t="str">
        <f t="shared" ca="1" si="3"/>
        <v>15 years, 4 months</v>
      </c>
      <c r="D511" s="69">
        <v>9449303487</v>
      </c>
      <c r="E511" s="69">
        <v>20110131</v>
      </c>
      <c r="F511" s="70"/>
      <c r="G511" s="70" t="s">
        <v>3269</v>
      </c>
      <c r="H511" s="70" t="s">
        <v>2477</v>
      </c>
      <c r="I511" s="70" t="s">
        <v>4211</v>
      </c>
      <c r="J511" s="70" t="s">
        <v>1391</v>
      </c>
      <c r="K511" s="70" t="s">
        <v>1932</v>
      </c>
      <c r="L511" s="70" t="s">
        <v>4212</v>
      </c>
      <c r="M511" s="70" t="s">
        <v>4213</v>
      </c>
      <c r="N511" s="70" t="s">
        <v>2079</v>
      </c>
      <c r="O511" s="70" t="s">
        <v>1845</v>
      </c>
      <c r="P511" s="70"/>
      <c r="Q511" s="69">
        <v>16406248</v>
      </c>
      <c r="R511" s="70"/>
      <c r="S511" s="70" t="s">
        <v>1794</v>
      </c>
      <c r="T511" s="70"/>
      <c r="U511" s="70" t="s">
        <v>4214</v>
      </c>
      <c r="V511" s="70"/>
    </row>
    <row r="512" spans="1:22" ht="15.75" customHeight="1">
      <c r="A512" s="66">
        <v>40577</v>
      </c>
      <c r="B512" s="67">
        <f t="shared" ca="1" si="2"/>
        <v>15.338640218797559</v>
      </c>
      <c r="C512" s="68" t="str">
        <f t="shared" ca="1" si="3"/>
        <v>15 years, 4 months</v>
      </c>
      <c r="D512" s="69">
        <v>9449305595</v>
      </c>
      <c r="E512" s="69">
        <v>20110203</v>
      </c>
      <c r="F512" s="70"/>
      <c r="G512" s="70" t="s">
        <v>4215</v>
      </c>
      <c r="H512" s="70" t="s">
        <v>4216</v>
      </c>
      <c r="I512" s="70" t="s">
        <v>1347</v>
      </c>
      <c r="J512" s="70" t="s">
        <v>1391</v>
      </c>
      <c r="K512" s="70" t="s">
        <v>1263</v>
      </c>
      <c r="L512" s="70"/>
      <c r="M512" s="70" t="s">
        <v>4217</v>
      </c>
      <c r="N512" s="70"/>
      <c r="O512" s="70" t="s">
        <v>1800</v>
      </c>
      <c r="P512" s="70" t="s">
        <v>1793</v>
      </c>
      <c r="Q512" s="69">
        <v>30684818</v>
      </c>
      <c r="R512" s="70"/>
      <c r="S512" s="70" t="s">
        <v>1794</v>
      </c>
      <c r="T512" s="70"/>
      <c r="U512" s="70" t="s">
        <v>4218</v>
      </c>
      <c r="V512" s="70"/>
    </row>
    <row r="513" spans="1:22" ht="15.75" customHeight="1">
      <c r="A513" s="66">
        <v>40577</v>
      </c>
      <c r="B513" s="67">
        <f t="shared" ref="B513:B691" ca="1" si="4">(NOW()-A513)/365</f>
        <v>15.338640218797559</v>
      </c>
      <c r="C513" s="68" t="str">
        <f t="shared" ref="C513:C691" ca="1" si="5">INT(B513) &amp; " years, " &amp; INT((B513-INT(B513))*12) &amp; " months"</f>
        <v>15 years, 4 months</v>
      </c>
      <c r="D513" s="69">
        <v>9449304637</v>
      </c>
      <c r="E513" s="69">
        <v>20110203</v>
      </c>
      <c r="F513" s="70"/>
      <c r="G513" s="70" t="s">
        <v>4219</v>
      </c>
      <c r="H513" s="70"/>
      <c r="I513" s="70" t="s">
        <v>4220</v>
      </c>
      <c r="J513" s="70" t="s">
        <v>1391</v>
      </c>
      <c r="K513" s="70" t="s">
        <v>1263</v>
      </c>
      <c r="L513" s="70"/>
      <c r="M513" s="70" t="s">
        <v>4221</v>
      </c>
      <c r="N513" s="70"/>
      <c r="O513" s="70" t="s">
        <v>1800</v>
      </c>
      <c r="P513" s="70" t="s">
        <v>1793</v>
      </c>
      <c r="Q513" s="69">
        <v>7329967</v>
      </c>
      <c r="R513" s="70"/>
      <c r="S513" s="70" t="s">
        <v>1794</v>
      </c>
      <c r="T513" s="70"/>
      <c r="U513" s="70" t="s">
        <v>4222</v>
      </c>
      <c r="V513" s="70"/>
    </row>
    <row r="514" spans="1:22" ht="15.75" customHeight="1">
      <c r="A514" s="66">
        <v>40580</v>
      </c>
      <c r="B514" s="67">
        <f t="shared" ca="1" si="4"/>
        <v>15.330421040715368</v>
      </c>
      <c r="C514" s="68" t="str">
        <f t="shared" ca="1" si="5"/>
        <v>15 years, 3 months</v>
      </c>
      <c r="D514" s="69">
        <v>9449308527</v>
      </c>
      <c r="E514" s="69">
        <v>20110206</v>
      </c>
      <c r="F514" s="70"/>
      <c r="G514" s="70" t="s">
        <v>4223</v>
      </c>
      <c r="H514" s="70"/>
      <c r="I514" s="70" t="s">
        <v>4224</v>
      </c>
      <c r="J514" s="70" t="s">
        <v>1391</v>
      </c>
      <c r="K514" s="70" t="s">
        <v>2016</v>
      </c>
      <c r="L514" s="70" t="s">
        <v>4225</v>
      </c>
      <c r="M514" s="70" t="s">
        <v>4226</v>
      </c>
      <c r="N514" s="70"/>
      <c r="O514" s="70" t="s">
        <v>2177</v>
      </c>
      <c r="P514" s="70" t="s">
        <v>1793</v>
      </c>
      <c r="Q514" s="69">
        <v>21286064</v>
      </c>
      <c r="R514" s="70"/>
      <c r="S514" s="70" t="s">
        <v>1794</v>
      </c>
      <c r="T514" s="70"/>
      <c r="U514" s="70" t="s">
        <v>4227</v>
      </c>
      <c r="V514" s="70"/>
    </row>
    <row r="515" spans="1:22" ht="15.75" customHeight="1">
      <c r="A515" s="66">
        <v>40581</v>
      </c>
      <c r="B515" s="67">
        <f t="shared" ca="1" si="4"/>
        <v>15.327681314687972</v>
      </c>
      <c r="C515" s="68" t="str">
        <f t="shared" ca="1" si="5"/>
        <v>15 years, 3 months</v>
      </c>
      <c r="D515" s="69">
        <v>9449306508</v>
      </c>
      <c r="E515" s="69">
        <v>20110207</v>
      </c>
      <c r="F515" s="70"/>
      <c r="G515" s="70" t="s">
        <v>4228</v>
      </c>
      <c r="H515" s="70" t="s">
        <v>4229</v>
      </c>
      <c r="I515" s="70" t="s">
        <v>4230</v>
      </c>
      <c r="J515" s="70" t="s">
        <v>1422</v>
      </c>
      <c r="K515" s="70" t="s">
        <v>1285</v>
      </c>
      <c r="L515" s="70" t="s">
        <v>4231</v>
      </c>
      <c r="M515" s="70" t="s">
        <v>4232</v>
      </c>
      <c r="N515" s="70"/>
      <c r="O515" s="70" t="s">
        <v>1906</v>
      </c>
      <c r="P515" s="70"/>
      <c r="Q515" s="69">
        <v>17358434</v>
      </c>
      <c r="R515" s="70"/>
      <c r="S515" s="70" t="s">
        <v>1794</v>
      </c>
      <c r="T515" s="70"/>
      <c r="U515" s="70" t="s">
        <v>4233</v>
      </c>
      <c r="V515" s="70"/>
    </row>
    <row r="516" spans="1:22" ht="15.75" customHeight="1">
      <c r="A516" s="66">
        <v>40584</v>
      </c>
      <c r="B516" s="67">
        <f t="shared" ca="1" si="4"/>
        <v>15.319462136605779</v>
      </c>
      <c r="C516" s="68" t="str">
        <f t="shared" ca="1" si="5"/>
        <v>15 years, 3 months</v>
      </c>
      <c r="D516" s="69">
        <v>9462658129</v>
      </c>
      <c r="E516" s="69">
        <v>20110210</v>
      </c>
      <c r="F516" s="70"/>
      <c r="G516" s="70" t="s">
        <v>4234</v>
      </c>
      <c r="H516" s="70"/>
      <c r="I516" s="70" t="s">
        <v>4235</v>
      </c>
      <c r="J516" s="70" t="s">
        <v>1391</v>
      </c>
      <c r="K516" s="70" t="s">
        <v>1263</v>
      </c>
      <c r="L516" s="70"/>
      <c r="M516" s="70" t="s">
        <v>4236</v>
      </c>
      <c r="N516" s="70" t="s">
        <v>4237</v>
      </c>
      <c r="O516" s="70" t="s">
        <v>4238</v>
      </c>
      <c r="P516" s="70" t="s">
        <v>1632</v>
      </c>
      <c r="Q516" s="69">
        <v>608011</v>
      </c>
      <c r="R516" s="70"/>
      <c r="S516" s="70"/>
      <c r="T516" s="70"/>
      <c r="U516" s="70" t="s">
        <v>4239</v>
      </c>
      <c r="V516" s="70" t="s">
        <v>4240</v>
      </c>
    </row>
    <row r="517" spans="1:22" ht="15.75" customHeight="1">
      <c r="A517" s="66">
        <v>40586</v>
      </c>
      <c r="B517" s="67">
        <f t="shared" ca="1" si="4"/>
        <v>15.313982684550984</v>
      </c>
      <c r="C517" s="68" t="str">
        <f t="shared" ca="1" si="5"/>
        <v>15 years, 3 months</v>
      </c>
      <c r="D517" s="69">
        <v>9449308837</v>
      </c>
      <c r="E517" s="69">
        <v>20110212</v>
      </c>
      <c r="F517" s="70"/>
      <c r="G517" s="70" t="s">
        <v>4241</v>
      </c>
      <c r="H517" s="70" t="s">
        <v>3947</v>
      </c>
      <c r="I517" s="70" t="s">
        <v>4242</v>
      </c>
      <c r="J517" s="70" t="s">
        <v>1391</v>
      </c>
      <c r="K517" s="70" t="s">
        <v>1263</v>
      </c>
      <c r="L517" s="70"/>
      <c r="M517" s="70" t="s">
        <v>4243</v>
      </c>
      <c r="N517" s="70"/>
      <c r="O517" s="70" t="s">
        <v>1862</v>
      </c>
      <c r="P517" s="70" t="s">
        <v>1793</v>
      </c>
      <c r="Q517" s="69">
        <v>9571717</v>
      </c>
      <c r="R517" s="70"/>
      <c r="S517" s="70" t="s">
        <v>1794</v>
      </c>
      <c r="T517" s="70"/>
      <c r="U517" s="70" t="s">
        <v>4244</v>
      </c>
      <c r="V517" s="70"/>
    </row>
    <row r="518" spans="1:22" ht="15.75" customHeight="1">
      <c r="A518" s="66">
        <v>40588</v>
      </c>
      <c r="B518" s="67">
        <f t="shared" ca="1" si="4"/>
        <v>15.308503232496189</v>
      </c>
      <c r="C518" s="68" t="str">
        <f t="shared" ca="1" si="5"/>
        <v>15 years, 3 months</v>
      </c>
      <c r="D518" s="69">
        <v>9449305307</v>
      </c>
      <c r="E518" s="69">
        <v>20110214</v>
      </c>
      <c r="F518" s="70"/>
      <c r="G518" s="70" t="s">
        <v>4245</v>
      </c>
      <c r="H518" s="70"/>
      <c r="I518" s="70" t="s">
        <v>4246</v>
      </c>
      <c r="J518" s="70" t="s">
        <v>1422</v>
      </c>
      <c r="K518" s="70" t="s">
        <v>1285</v>
      </c>
      <c r="L518" s="70"/>
      <c r="M518" s="70" t="s">
        <v>4247</v>
      </c>
      <c r="N518" s="70"/>
      <c r="O518" s="70" t="s">
        <v>1800</v>
      </c>
      <c r="P518" s="70" t="s">
        <v>1793</v>
      </c>
      <c r="Q518" s="69">
        <v>20169464</v>
      </c>
      <c r="R518" s="70"/>
      <c r="S518" s="70" t="s">
        <v>1794</v>
      </c>
      <c r="T518" s="70"/>
      <c r="U518" s="70" t="s">
        <v>4248</v>
      </c>
      <c r="V518" s="70"/>
    </row>
    <row r="519" spans="1:22" ht="15.75" customHeight="1">
      <c r="A519" s="66">
        <v>40588</v>
      </c>
      <c r="B519" s="67">
        <f t="shared" ca="1" si="4"/>
        <v>15.308503232496189</v>
      </c>
      <c r="C519" s="68" t="str">
        <f t="shared" ca="1" si="5"/>
        <v>15 years, 3 months</v>
      </c>
      <c r="D519" s="69">
        <v>9449306222</v>
      </c>
      <c r="E519" s="69">
        <v>20110214</v>
      </c>
      <c r="F519" s="70"/>
      <c r="G519" s="70" t="s">
        <v>4249</v>
      </c>
      <c r="H519" s="70" t="s">
        <v>4250</v>
      </c>
      <c r="I519" s="70" t="s">
        <v>4251</v>
      </c>
      <c r="J519" s="70" t="s">
        <v>1391</v>
      </c>
      <c r="K519" s="70" t="s">
        <v>1263</v>
      </c>
      <c r="L519" s="70"/>
      <c r="M519" s="70" t="s">
        <v>4252</v>
      </c>
      <c r="N519" s="70"/>
      <c r="O519" s="70" t="s">
        <v>1906</v>
      </c>
      <c r="P519" s="70" t="s">
        <v>1793</v>
      </c>
      <c r="Q519" s="69">
        <v>20169975</v>
      </c>
      <c r="R519" s="70"/>
      <c r="S519" s="70" t="s">
        <v>1794</v>
      </c>
      <c r="T519" s="70"/>
      <c r="U519" s="70" t="s">
        <v>4253</v>
      </c>
      <c r="V519" s="70"/>
    </row>
    <row r="520" spans="1:22" ht="15.75" customHeight="1">
      <c r="A520" s="66">
        <v>40590</v>
      </c>
      <c r="B520" s="67">
        <f t="shared" ca="1" si="4"/>
        <v>15.303023780441396</v>
      </c>
      <c r="C520" s="68" t="str">
        <f t="shared" ca="1" si="5"/>
        <v>15 years, 3 months</v>
      </c>
      <c r="D520" s="69">
        <v>9449310645</v>
      </c>
      <c r="E520" s="69">
        <v>20110216</v>
      </c>
      <c r="F520" s="70"/>
      <c r="G520" s="70" t="s">
        <v>4026</v>
      </c>
      <c r="H520" s="70" t="s">
        <v>4254</v>
      </c>
      <c r="I520" s="70" t="s">
        <v>4255</v>
      </c>
      <c r="J520" s="70" t="s">
        <v>1391</v>
      </c>
      <c r="K520" s="70" t="s">
        <v>1263</v>
      </c>
      <c r="L520" s="70"/>
      <c r="M520" s="70" t="s">
        <v>4256</v>
      </c>
      <c r="N520" s="70"/>
      <c r="O520" s="70" t="s">
        <v>1862</v>
      </c>
      <c r="P520" s="70" t="s">
        <v>1793</v>
      </c>
      <c r="Q520" s="69">
        <v>9574701</v>
      </c>
      <c r="R520" s="70"/>
      <c r="S520" s="70" t="s">
        <v>1794</v>
      </c>
      <c r="T520" s="70"/>
      <c r="U520" s="70" t="s">
        <v>4257</v>
      </c>
      <c r="V520" s="70"/>
    </row>
    <row r="521" spans="1:22" ht="15.75" customHeight="1">
      <c r="A521" s="66">
        <v>40591</v>
      </c>
      <c r="B521" s="67">
        <f t="shared" ca="1" si="4"/>
        <v>15.300284054413998</v>
      </c>
      <c r="C521" s="68" t="str">
        <f t="shared" ca="1" si="5"/>
        <v>15 years, 3 months</v>
      </c>
      <c r="D521" s="69">
        <v>9449309604</v>
      </c>
      <c r="E521" s="69">
        <v>20110217</v>
      </c>
      <c r="F521" s="70"/>
      <c r="G521" s="70" t="s">
        <v>4258</v>
      </c>
      <c r="H521" s="70" t="s">
        <v>4259</v>
      </c>
      <c r="I521" s="70" t="s">
        <v>4260</v>
      </c>
      <c r="J521" s="70" t="s">
        <v>1422</v>
      </c>
      <c r="K521" s="70" t="s">
        <v>1285</v>
      </c>
      <c r="L521" s="70"/>
      <c r="M521" s="70" t="s">
        <v>4261</v>
      </c>
      <c r="N521" s="70"/>
      <c r="O521" s="70" t="s">
        <v>1886</v>
      </c>
      <c r="P521" s="70" t="s">
        <v>1793</v>
      </c>
      <c r="Q521" s="69">
        <v>9719629</v>
      </c>
      <c r="R521" s="70"/>
      <c r="S521" s="70" t="s">
        <v>1794</v>
      </c>
      <c r="T521" s="70"/>
      <c r="U521" s="70" t="s">
        <v>4262</v>
      </c>
      <c r="V521" s="70"/>
    </row>
    <row r="522" spans="1:22" ht="15.75" customHeight="1">
      <c r="A522" s="66">
        <v>40591</v>
      </c>
      <c r="B522" s="67">
        <f t="shared" ca="1" si="4"/>
        <v>15.300284054413998</v>
      </c>
      <c r="C522" s="68" t="str">
        <f t="shared" ca="1" si="5"/>
        <v>15 years, 3 months</v>
      </c>
      <c r="D522" s="69">
        <v>9449309280</v>
      </c>
      <c r="E522" s="69">
        <v>20110217</v>
      </c>
      <c r="F522" s="70"/>
      <c r="G522" s="70" t="s">
        <v>4263</v>
      </c>
      <c r="H522" s="70" t="s">
        <v>4264</v>
      </c>
      <c r="I522" s="70" t="s">
        <v>4265</v>
      </c>
      <c r="J522" s="70" t="s">
        <v>1314</v>
      </c>
      <c r="K522" s="70" t="s">
        <v>1932</v>
      </c>
      <c r="L522" s="70"/>
      <c r="M522" s="70" t="s">
        <v>4266</v>
      </c>
      <c r="N522" s="70" t="s">
        <v>1918</v>
      </c>
      <c r="O522" s="70" t="s">
        <v>1862</v>
      </c>
      <c r="P522" s="70" t="s">
        <v>1793</v>
      </c>
      <c r="Q522" s="69">
        <v>18358521</v>
      </c>
      <c r="R522" s="70"/>
      <c r="S522" s="70" t="s">
        <v>1794</v>
      </c>
      <c r="T522" s="70"/>
      <c r="U522" s="70" t="s">
        <v>4267</v>
      </c>
      <c r="V522" s="70"/>
    </row>
    <row r="523" spans="1:22" ht="15.75" customHeight="1">
      <c r="A523" s="66">
        <v>40593</v>
      </c>
      <c r="B523" s="67">
        <f t="shared" ca="1" si="4"/>
        <v>15.294804602359203</v>
      </c>
      <c r="C523" s="68" t="str">
        <f t="shared" ca="1" si="5"/>
        <v>15 years, 3 months</v>
      </c>
      <c r="D523" s="69">
        <v>9449307040</v>
      </c>
      <c r="E523" s="69">
        <v>20110219</v>
      </c>
      <c r="F523" s="70"/>
      <c r="G523" s="70" t="s">
        <v>4268</v>
      </c>
      <c r="H523" s="70" t="s">
        <v>4269</v>
      </c>
      <c r="I523" s="70" t="s">
        <v>4270</v>
      </c>
      <c r="J523" s="70" t="s">
        <v>1314</v>
      </c>
      <c r="K523" s="70" t="s">
        <v>1263</v>
      </c>
      <c r="L523" s="70" t="s">
        <v>4271</v>
      </c>
      <c r="M523" s="70" t="s">
        <v>4272</v>
      </c>
      <c r="N523" s="70"/>
      <c r="O523" s="70" t="s">
        <v>1807</v>
      </c>
      <c r="P523" s="70" t="s">
        <v>1793</v>
      </c>
      <c r="Q523" s="69">
        <v>17361011</v>
      </c>
      <c r="R523" s="70"/>
      <c r="S523" s="70" t="s">
        <v>1794</v>
      </c>
      <c r="T523" s="70"/>
      <c r="U523" s="70" t="s">
        <v>4273</v>
      </c>
      <c r="V523" s="70"/>
    </row>
    <row r="524" spans="1:22" ht="15.75" customHeight="1">
      <c r="A524" s="66">
        <v>40594</v>
      </c>
      <c r="B524" s="67">
        <f t="shared" ca="1" si="4"/>
        <v>15.292064876331807</v>
      </c>
      <c r="C524" s="68" t="str">
        <f t="shared" ca="1" si="5"/>
        <v>15 years, 3 months</v>
      </c>
      <c r="D524" s="69">
        <v>9449309124</v>
      </c>
      <c r="E524" s="69">
        <v>20110220</v>
      </c>
      <c r="F524" s="70"/>
      <c r="G524" s="70" t="s">
        <v>4274</v>
      </c>
      <c r="H524" s="70" t="s">
        <v>4275</v>
      </c>
      <c r="I524" s="70" t="s">
        <v>4276</v>
      </c>
      <c r="J524" s="70" t="s">
        <v>1391</v>
      </c>
      <c r="K524" s="70" t="s">
        <v>2016</v>
      </c>
      <c r="L524" s="70" t="s">
        <v>4277</v>
      </c>
      <c r="M524" s="70" t="s">
        <v>4278</v>
      </c>
      <c r="N524" s="70"/>
      <c r="O524" s="70" t="s">
        <v>1862</v>
      </c>
      <c r="P524" s="70"/>
      <c r="Q524" s="69">
        <v>24538814</v>
      </c>
      <c r="R524" s="70"/>
      <c r="S524" s="70" t="s">
        <v>1794</v>
      </c>
      <c r="T524" s="70"/>
      <c r="U524" s="70" t="s">
        <v>4279</v>
      </c>
      <c r="V524" s="70"/>
    </row>
    <row r="525" spans="1:22" ht="15.75" customHeight="1">
      <c r="A525" s="66">
        <v>40595</v>
      </c>
      <c r="B525" s="67">
        <f t="shared" ca="1" si="4"/>
        <v>15.289325150304409</v>
      </c>
      <c r="C525" s="68" t="str">
        <f t="shared" ca="1" si="5"/>
        <v>15 years, 3 months</v>
      </c>
      <c r="D525" s="69">
        <v>9449303452</v>
      </c>
      <c r="E525" s="69">
        <v>20110221</v>
      </c>
      <c r="F525" s="70"/>
      <c r="G525" s="70" t="s">
        <v>4280</v>
      </c>
      <c r="H525" s="70" t="s">
        <v>1992</v>
      </c>
      <c r="I525" s="70" t="s">
        <v>4281</v>
      </c>
      <c r="J525" s="70" t="s">
        <v>1422</v>
      </c>
      <c r="K525" s="70" t="s">
        <v>1285</v>
      </c>
      <c r="L525" s="70" t="s">
        <v>4282</v>
      </c>
      <c r="M525" s="70" t="s">
        <v>2194</v>
      </c>
      <c r="N525" s="70" t="s">
        <v>2079</v>
      </c>
      <c r="O525" s="70" t="s">
        <v>1845</v>
      </c>
      <c r="P525" s="70"/>
      <c r="Q525" s="69">
        <v>16406190</v>
      </c>
      <c r="R525" s="70"/>
      <c r="S525" s="70" t="s">
        <v>1794</v>
      </c>
      <c r="T525" s="70"/>
      <c r="U525" s="70" t="s">
        <v>4283</v>
      </c>
      <c r="V525" s="70"/>
    </row>
    <row r="526" spans="1:22" ht="15.75" customHeight="1">
      <c r="A526" s="66">
        <v>40599</v>
      </c>
      <c r="B526" s="67">
        <f t="shared" ca="1" si="4"/>
        <v>15.278366246194821</v>
      </c>
      <c r="C526" s="68" t="str">
        <f t="shared" ca="1" si="5"/>
        <v>15 years, 3 months</v>
      </c>
      <c r="D526" s="69">
        <v>9449308616</v>
      </c>
      <c r="E526" s="69">
        <v>20110225</v>
      </c>
      <c r="F526" s="70"/>
      <c r="G526" s="70" t="s">
        <v>2516</v>
      </c>
      <c r="H526" s="70" t="s">
        <v>4284</v>
      </c>
      <c r="I526" s="70" t="s">
        <v>4285</v>
      </c>
      <c r="J526" s="70" t="s">
        <v>1391</v>
      </c>
      <c r="K526" s="70" t="s">
        <v>1263</v>
      </c>
      <c r="L526" s="70"/>
      <c r="M526" s="70" t="s">
        <v>4286</v>
      </c>
      <c r="N526" s="70" t="s">
        <v>2677</v>
      </c>
      <c r="O526" s="70" t="s">
        <v>2678</v>
      </c>
      <c r="P526" s="70" t="s">
        <v>1793</v>
      </c>
      <c r="Q526" s="69">
        <v>9570404</v>
      </c>
      <c r="R526" s="70"/>
      <c r="S526" s="70" t="s">
        <v>1794</v>
      </c>
      <c r="T526" s="70"/>
      <c r="U526" s="70" t="s">
        <v>4287</v>
      </c>
      <c r="V526" s="70"/>
    </row>
    <row r="527" spans="1:22" ht="15.75" customHeight="1">
      <c r="A527" s="66">
        <v>40599</v>
      </c>
      <c r="B527" s="67">
        <f t="shared" ca="1" si="4"/>
        <v>15.278366246194821</v>
      </c>
      <c r="C527" s="68" t="str">
        <f t="shared" ca="1" si="5"/>
        <v>15 years, 3 months</v>
      </c>
      <c r="D527" s="69">
        <v>9449305706</v>
      </c>
      <c r="E527" s="69">
        <v>20110225</v>
      </c>
      <c r="F527" s="70"/>
      <c r="G527" s="70" t="s">
        <v>4288</v>
      </c>
      <c r="H527" s="70" t="s">
        <v>4289</v>
      </c>
      <c r="I527" s="70" t="s">
        <v>4290</v>
      </c>
      <c r="J527" s="70" t="s">
        <v>1422</v>
      </c>
      <c r="K527" s="70" t="s">
        <v>1285</v>
      </c>
      <c r="L527" s="70"/>
      <c r="M527" s="70" t="s">
        <v>4291</v>
      </c>
      <c r="N527" s="70"/>
      <c r="O527" s="70" t="s">
        <v>1800</v>
      </c>
      <c r="P527" s="70" t="s">
        <v>1793</v>
      </c>
      <c r="Q527" s="69">
        <v>17352965</v>
      </c>
      <c r="R527" s="70"/>
      <c r="S527" s="70" t="s">
        <v>1794</v>
      </c>
      <c r="T527" s="70"/>
      <c r="U527" s="70" t="s">
        <v>4292</v>
      </c>
      <c r="V527" s="70"/>
    </row>
    <row r="528" spans="1:22" ht="15.75" customHeight="1">
      <c r="A528" s="66">
        <v>40601</v>
      </c>
      <c r="B528" s="67">
        <f t="shared" ca="1" si="4"/>
        <v>15.272886794140026</v>
      </c>
      <c r="C528" s="68" t="str">
        <f t="shared" ca="1" si="5"/>
        <v>15 years, 3 months</v>
      </c>
      <c r="D528" s="69">
        <v>9449304416</v>
      </c>
      <c r="E528" s="69">
        <v>20110227</v>
      </c>
      <c r="F528" s="70"/>
      <c r="G528" s="70" t="s">
        <v>4293</v>
      </c>
      <c r="H528" s="70" t="s">
        <v>4294</v>
      </c>
      <c r="I528" s="70" t="s">
        <v>4295</v>
      </c>
      <c r="J528" s="70" t="s">
        <v>1422</v>
      </c>
      <c r="K528" s="70" t="s">
        <v>1285</v>
      </c>
      <c r="L528" s="70"/>
      <c r="M528" s="70" t="s">
        <v>4296</v>
      </c>
      <c r="N528" s="70"/>
      <c r="O528" s="70" t="s">
        <v>1800</v>
      </c>
      <c r="P528" s="70" t="s">
        <v>1793</v>
      </c>
      <c r="Q528" s="69">
        <v>17348280</v>
      </c>
      <c r="R528" s="70"/>
      <c r="S528" s="70" t="s">
        <v>1794</v>
      </c>
      <c r="T528" s="70"/>
      <c r="U528" s="70" t="s">
        <v>4297</v>
      </c>
      <c r="V528" s="70"/>
    </row>
    <row r="529" spans="1:22" ht="15.75" customHeight="1">
      <c r="A529" s="66">
        <v>40605</v>
      </c>
      <c r="B529" s="67">
        <f t="shared" ca="1" si="4"/>
        <v>15.261927890030437</v>
      </c>
      <c r="C529" s="68" t="str">
        <f t="shared" ca="1" si="5"/>
        <v>15 years, 3 months</v>
      </c>
      <c r="D529" s="69">
        <v>9449306303</v>
      </c>
      <c r="E529" s="69">
        <v>20110303</v>
      </c>
      <c r="F529" s="70"/>
      <c r="G529" s="70" t="s">
        <v>4298</v>
      </c>
      <c r="H529" s="70" t="s">
        <v>4299</v>
      </c>
      <c r="I529" s="70" t="s">
        <v>4300</v>
      </c>
      <c r="J529" s="70" t="s">
        <v>1391</v>
      </c>
      <c r="K529" s="70" t="s">
        <v>1263</v>
      </c>
      <c r="L529" s="70"/>
      <c r="M529" s="70" t="s">
        <v>4301</v>
      </c>
      <c r="N529" s="70"/>
      <c r="O529" s="70" t="s">
        <v>1906</v>
      </c>
      <c r="P529" s="70" t="s">
        <v>1793</v>
      </c>
      <c r="Q529" s="69">
        <v>17357918</v>
      </c>
      <c r="R529" s="70"/>
      <c r="S529" s="70" t="s">
        <v>1794</v>
      </c>
      <c r="T529" s="70"/>
      <c r="U529" s="70" t="s">
        <v>4302</v>
      </c>
      <c r="V529" s="70"/>
    </row>
    <row r="530" spans="1:22" ht="15.75" customHeight="1">
      <c r="A530" s="66">
        <v>40606</v>
      </c>
      <c r="B530" s="67">
        <f t="shared" ca="1" si="4"/>
        <v>15.259188164003039</v>
      </c>
      <c r="C530" s="68" t="str">
        <f t="shared" ca="1" si="5"/>
        <v>15 years, 3 months</v>
      </c>
      <c r="D530" s="69">
        <v>9449303444</v>
      </c>
      <c r="E530" s="69">
        <v>20110304</v>
      </c>
      <c r="F530" s="70"/>
      <c r="G530" s="70" t="s">
        <v>4303</v>
      </c>
      <c r="H530" s="70"/>
      <c r="I530" s="70" t="s">
        <v>4304</v>
      </c>
      <c r="J530" s="70" t="s">
        <v>1422</v>
      </c>
      <c r="K530" s="70" t="s">
        <v>1285</v>
      </c>
      <c r="L530" s="70" t="s">
        <v>4305</v>
      </c>
      <c r="M530" s="70" t="s">
        <v>3598</v>
      </c>
      <c r="N530" s="70" t="s">
        <v>2079</v>
      </c>
      <c r="O530" s="70" t="s">
        <v>1845</v>
      </c>
      <c r="P530" s="70"/>
      <c r="Q530" s="69">
        <v>16406143</v>
      </c>
      <c r="R530" s="70"/>
      <c r="S530" s="70" t="s">
        <v>1794</v>
      </c>
      <c r="T530" s="70"/>
      <c r="U530" s="70" t="s">
        <v>4306</v>
      </c>
      <c r="V530" s="70"/>
    </row>
    <row r="531" spans="1:22" ht="15.75" customHeight="1">
      <c r="A531" s="66">
        <v>40608</v>
      </c>
      <c r="B531" s="67">
        <f t="shared" ca="1" si="4"/>
        <v>15.253708711948246</v>
      </c>
      <c r="C531" s="68" t="str">
        <f t="shared" ca="1" si="5"/>
        <v>15 years, 3 months</v>
      </c>
      <c r="D531" s="69">
        <v>9449306958</v>
      </c>
      <c r="E531" s="69">
        <v>20110306</v>
      </c>
      <c r="F531" s="70"/>
      <c r="G531" s="70" t="s">
        <v>3750</v>
      </c>
      <c r="H531" s="70" t="s">
        <v>3796</v>
      </c>
      <c r="I531" s="70" t="s">
        <v>4307</v>
      </c>
      <c r="J531" s="70" t="s">
        <v>1422</v>
      </c>
      <c r="K531" s="70" t="s">
        <v>1285</v>
      </c>
      <c r="L531" s="70" t="s">
        <v>4308</v>
      </c>
      <c r="M531" s="70" t="s">
        <v>3838</v>
      </c>
      <c r="N531" s="70" t="s">
        <v>1806</v>
      </c>
      <c r="O531" s="70" t="s">
        <v>1807</v>
      </c>
      <c r="P531" s="70" t="s">
        <v>1793</v>
      </c>
      <c r="Q531" s="69">
        <v>17360735</v>
      </c>
      <c r="R531" s="70"/>
      <c r="S531" s="70" t="s">
        <v>1794</v>
      </c>
      <c r="T531" s="70"/>
      <c r="U531" s="70" t="s">
        <v>4309</v>
      </c>
      <c r="V531" s="70"/>
    </row>
    <row r="532" spans="1:22" ht="15.75" customHeight="1">
      <c r="A532" s="66">
        <v>40608</v>
      </c>
      <c r="B532" s="67">
        <f t="shared" ca="1" si="4"/>
        <v>15.253708711948246</v>
      </c>
      <c r="C532" s="68" t="str">
        <f t="shared" ca="1" si="5"/>
        <v>15 years, 3 months</v>
      </c>
      <c r="D532" s="69">
        <v>9449309779</v>
      </c>
      <c r="E532" s="69">
        <v>20110306</v>
      </c>
      <c r="F532" s="70"/>
      <c r="G532" s="70" t="s">
        <v>4310</v>
      </c>
      <c r="H532" s="70" t="s">
        <v>4311</v>
      </c>
      <c r="I532" s="70" t="s">
        <v>4312</v>
      </c>
      <c r="J532" s="70" t="s">
        <v>1422</v>
      </c>
      <c r="K532" s="70" t="s">
        <v>2016</v>
      </c>
      <c r="L532" s="70"/>
      <c r="M532" s="70" t="s">
        <v>4313</v>
      </c>
      <c r="N532" s="70"/>
      <c r="O532" s="70" t="s">
        <v>1886</v>
      </c>
      <c r="P532" s="70" t="s">
        <v>1793</v>
      </c>
      <c r="Q532" s="69">
        <v>9721298</v>
      </c>
      <c r="R532" s="70"/>
      <c r="S532" s="70" t="s">
        <v>1794</v>
      </c>
      <c r="T532" s="70"/>
      <c r="U532" s="70" t="s">
        <v>4314</v>
      </c>
      <c r="V532" s="70"/>
    </row>
    <row r="533" spans="1:22" ht="15.75" customHeight="1">
      <c r="A533" s="66">
        <v>40609</v>
      </c>
      <c r="B533" s="67">
        <f t="shared" ca="1" si="4"/>
        <v>15.250968985920847</v>
      </c>
      <c r="C533" s="68" t="str">
        <f t="shared" ca="1" si="5"/>
        <v>15 years, 3 months</v>
      </c>
      <c r="D533" s="69">
        <v>9449310599</v>
      </c>
      <c r="E533" s="69">
        <v>20110307</v>
      </c>
      <c r="F533" s="70"/>
      <c r="G533" s="70" t="s">
        <v>4315</v>
      </c>
      <c r="H533" s="70" t="s">
        <v>4316</v>
      </c>
      <c r="I533" s="70" t="s">
        <v>4317</v>
      </c>
      <c r="J533" s="70" t="s">
        <v>1422</v>
      </c>
      <c r="K533" s="70" t="s">
        <v>1285</v>
      </c>
      <c r="L533" s="70"/>
      <c r="M533" s="70" t="s">
        <v>4318</v>
      </c>
      <c r="N533" s="70"/>
      <c r="O533" s="70" t="s">
        <v>1807</v>
      </c>
      <c r="P533" s="70" t="s">
        <v>1793</v>
      </c>
      <c r="Q533" s="69">
        <v>7361958</v>
      </c>
      <c r="R533" s="70" t="s">
        <v>1730</v>
      </c>
      <c r="S533" s="70" t="s">
        <v>1794</v>
      </c>
      <c r="T533" s="70"/>
      <c r="U533" s="70" t="s">
        <v>4319</v>
      </c>
      <c r="V533" s="70"/>
    </row>
    <row r="534" spans="1:22" ht="15.75" customHeight="1">
      <c r="A534" s="66">
        <v>40609</v>
      </c>
      <c r="B534" s="67">
        <f t="shared" ca="1" si="4"/>
        <v>15.250968985920847</v>
      </c>
      <c r="C534" s="68" t="str">
        <f t="shared" ca="1" si="5"/>
        <v>15 years, 3 months</v>
      </c>
      <c r="D534" s="69">
        <v>9449306117</v>
      </c>
      <c r="E534" s="69">
        <v>20110307</v>
      </c>
      <c r="F534" s="70"/>
      <c r="G534" s="70" t="s">
        <v>2299</v>
      </c>
      <c r="H534" s="70" t="s">
        <v>4320</v>
      </c>
      <c r="I534" s="70" t="s">
        <v>4321</v>
      </c>
      <c r="J534" s="70" t="s">
        <v>1422</v>
      </c>
      <c r="K534" s="70" t="s">
        <v>1285</v>
      </c>
      <c r="L534" s="70" t="s">
        <v>4322</v>
      </c>
      <c r="M534" s="70" t="s">
        <v>4323</v>
      </c>
      <c r="N534" s="70"/>
      <c r="O534" s="70" t="s">
        <v>1906</v>
      </c>
      <c r="P534" s="70" t="s">
        <v>1793</v>
      </c>
      <c r="Q534" s="69">
        <v>32545628</v>
      </c>
      <c r="R534" s="70"/>
      <c r="S534" s="70" t="s">
        <v>1794</v>
      </c>
      <c r="T534" s="70"/>
      <c r="U534" s="70" t="s">
        <v>4324</v>
      </c>
      <c r="V534" s="70"/>
    </row>
    <row r="535" spans="1:22" ht="15.75" customHeight="1">
      <c r="A535" s="66">
        <v>40615</v>
      </c>
      <c r="B535" s="67">
        <f t="shared" ca="1" si="4"/>
        <v>15.234530629756463</v>
      </c>
      <c r="C535" s="68" t="str">
        <f t="shared" ca="1" si="5"/>
        <v>15 years, 2 months</v>
      </c>
      <c r="D535" s="69">
        <v>9449308594</v>
      </c>
      <c r="E535" s="69">
        <v>20110313</v>
      </c>
      <c r="F535" s="70"/>
      <c r="G535" s="70" t="s">
        <v>4325</v>
      </c>
      <c r="H535" s="70" t="s">
        <v>4326</v>
      </c>
      <c r="I535" s="70" t="s">
        <v>4327</v>
      </c>
      <c r="J535" s="70" t="s">
        <v>1314</v>
      </c>
      <c r="K535" s="70" t="s">
        <v>1263</v>
      </c>
      <c r="L535" s="70" t="s">
        <v>4328</v>
      </c>
      <c r="M535" s="70" t="s">
        <v>4329</v>
      </c>
      <c r="N535" s="70"/>
      <c r="O535" s="70" t="s">
        <v>2678</v>
      </c>
      <c r="P535" s="70"/>
      <c r="Q535" s="69">
        <v>31568660</v>
      </c>
      <c r="R535" s="70"/>
      <c r="S535" s="70" t="s">
        <v>1794</v>
      </c>
      <c r="T535" s="70"/>
      <c r="U535" s="70" t="s">
        <v>4330</v>
      </c>
      <c r="V535" s="70"/>
    </row>
    <row r="536" spans="1:22" ht="15.75" customHeight="1">
      <c r="A536" s="66">
        <v>40615</v>
      </c>
      <c r="B536" s="67">
        <f t="shared" ca="1" si="4"/>
        <v>15.234530629756463</v>
      </c>
      <c r="C536" s="68" t="str">
        <f t="shared" ca="1" si="5"/>
        <v>15 years, 2 months</v>
      </c>
      <c r="D536" s="69">
        <v>9449306745</v>
      </c>
      <c r="E536" s="69">
        <v>20110313</v>
      </c>
      <c r="F536" s="70"/>
      <c r="G536" s="70" t="s">
        <v>4331</v>
      </c>
      <c r="H536" s="70" t="s">
        <v>4332</v>
      </c>
      <c r="I536" s="70" t="s">
        <v>4333</v>
      </c>
      <c r="J536" s="70" t="s">
        <v>1422</v>
      </c>
      <c r="K536" s="70" t="s">
        <v>1285</v>
      </c>
      <c r="L536" s="70"/>
      <c r="M536" s="70" t="s">
        <v>4334</v>
      </c>
      <c r="N536" s="70"/>
      <c r="O536" s="70" t="s">
        <v>1834</v>
      </c>
      <c r="P536" s="70" t="s">
        <v>1793</v>
      </c>
      <c r="Q536" s="69">
        <v>23486916</v>
      </c>
      <c r="R536" s="70"/>
      <c r="S536" s="70" t="s">
        <v>1794</v>
      </c>
      <c r="T536" s="70"/>
      <c r="U536" s="70" t="s">
        <v>4335</v>
      </c>
      <c r="V536" s="70"/>
    </row>
    <row r="537" spans="1:22" ht="15.75" customHeight="1">
      <c r="A537" s="66">
        <v>40616</v>
      </c>
      <c r="B537" s="67">
        <f t="shared" ca="1" si="4"/>
        <v>15.231790903729067</v>
      </c>
      <c r="C537" s="68" t="str">
        <f t="shared" ca="1" si="5"/>
        <v>15 years, 2 months</v>
      </c>
      <c r="D537" s="69">
        <v>9449310432</v>
      </c>
      <c r="E537" s="69">
        <v>20110314</v>
      </c>
      <c r="F537" s="70"/>
      <c r="G537" s="70" t="s">
        <v>3113</v>
      </c>
      <c r="H537" s="70"/>
      <c r="I537" s="70" t="s">
        <v>4336</v>
      </c>
      <c r="J537" s="70" t="s">
        <v>1391</v>
      </c>
      <c r="K537" s="70" t="s">
        <v>1263</v>
      </c>
      <c r="L537" s="70"/>
      <c r="M537" s="70" t="s">
        <v>4337</v>
      </c>
      <c r="N537" s="70"/>
      <c r="O537" s="70" t="s">
        <v>2524</v>
      </c>
      <c r="P537" s="70" t="s">
        <v>1793</v>
      </c>
      <c r="Q537" s="69">
        <v>7398421</v>
      </c>
      <c r="R537" s="70"/>
      <c r="S537" s="70" t="s">
        <v>1794</v>
      </c>
      <c r="T537" s="70"/>
      <c r="U537" s="70" t="s">
        <v>4338</v>
      </c>
      <c r="V537" s="70"/>
    </row>
    <row r="538" spans="1:22" ht="15.75" customHeight="1">
      <c r="A538" s="66">
        <v>40616</v>
      </c>
      <c r="B538" s="67">
        <f t="shared" ca="1" si="4"/>
        <v>15.231790903729067</v>
      </c>
      <c r="C538" s="68" t="str">
        <f t="shared" ca="1" si="5"/>
        <v>15 years, 2 months</v>
      </c>
      <c r="D538" s="69">
        <v>9449303460</v>
      </c>
      <c r="E538" s="69">
        <v>20110314</v>
      </c>
      <c r="F538" s="70"/>
      <c r="G538" s="70" t="s">
        <v>4339</v>
      </c>
      <c r="H538" s="70" t="s">
        <v>4340</v>
      </c>
      <c r="I538" s="70" t="s">
        <v>4341</v>
      </c>
      <c r="J538" s="70" t="s">
        <v>1422</v>
      </c>
      <c r="K538" s="70" t="s">
        <v>2016</v>
      </c>
      <c r="L538" s="70" t="s">
        <v>4342</v>
      </c>
      <c r="M538" s="70" t="s">
        <v>2194</v>
      </c>
      <c r="N538" s="70" t="s">
        <v>2079</v>
      </c>
      <c r="O538" s="70" t="s">
        <v>1845</v>
      </c>
      <c r="P538" s="70"/>
      <c r="Q538" s="69">
        <v>16406199</v>
      </c>
      <c r="R538" s="70"/>
      <c r="S538" s="70" t="s">
        <v>1794</v>
      </c>
      <c r="T538" s="70"/>
      <c r="U538" s="70" t="s">
        <v>4343</v>
      </c>
      <c r="V538" s="70"/>
    </row>
    <row r="539" spans="1:22" ht="15.75" customHeight="1">
      <c r="A539" s="66">
        <v>40621</v>
      </c>
      <c r="B539" s="67">
        <f t="shared" ca="1" si="4"/>
        <v>15.218092273592081</v>
      </c>
      <c r="C539" s="68" t="str">
        <f t="shared" ca="1" si="5"/>
        <v>15 years, 2 months</v>
      </c>
      <c r="D539" s="69">
        <v>9449307555</v>
      </c>
      <c r="E539" s="69">
        <v>20110319</v>
      </c>
      <c r="F539" s="70"/>
      <c r="G539" s="70" t="s">
        <v>4344</v>
      </c>
      <c r="H539" s="70"/>
      <c r="I539" s="70" t="s">
        <v>4345</v>
      </c>
      <c r="J539" s="70" t="s">
        <v>1391</v>
      </c>
      <c r="K539" s="70" t="s">
        <v>1263</v>
      </c>
      <c r="L539" s="70"/>
      <c r="M539" s="70" t="s">
        <v>4346</v>
      </c>
      <c r="N539" s="70" t="s">
        <v>2055</v>
      </c>
      <c r="O539" s="70" t="s">
        <v>1807</v>
      </c>
      <c r="P539" s="70" t="s">
        <v>1793</v>
      </c>
      <c r="Q539" s="69">
        <v>7363849</v>
      </c>
      <c r="R539" s="70"/>
      <c r="S539" s="70" t="s">
        <v>1794</v>
      </c>
      <c r="T539" s="70"/>
      <c r="U539" s="70" t="s">
        <v>4347</v>
      </c>
      <c r="V539" s="70"/>
    </row>
    <row r="540" spans="1:22" ht="15.75" customHeight="1">
      <c r="A540" s="66">
        <v>40622</v>
      </c>
      <c r="B540" s="67">
        <f t="shared" ca="1" si="4"/>
        <v>15.215352547564683</v>
      </c>
      <c r="C540" s="68" t="str">
        <f t="shared" ca="1" si="5"/>
        <v>15 years, 2 months</v>
      </c>
      <c r="D540" s="69">
        <v>9449306648</v>
      </c>
      <c r="E540" s="69">
        <v>20110320</v>
      </c>
      <c r="F540" s="70"/>
      <c r="G540" s="70" t="s">
        <v>4348</v>
      </c>
      <c r="H540" s="70" t="s">
        <v>3173</v>
      </c>
      <c r="I540" s="70" t="s">
        <v>4349</v>
      </c>
      <c r="J540" s="70" t="s">
        <v>1422</v>
      </c>
      <c r="K540" s="70" t="s">
        <v>1285</v>
      </c>
      <c r="L540" s="70"/>
      <c r="M540" s="70" t="s">
        <v>4350</v>
      </c>
      <c r="N540" s="70"/>
      <c r="O540" s="70" t="s">
        <v>1834</v>
      </c>
      <c r="P540" s="70" t="s">
        <v>1793</v>
      </c>
      <c r="Q540" s="69">
        <v>7356990</v>
      </c>
      <c r="R540" s="70"/>
      <c r="S540" s="70" t="s">
        <v>1794</v>
      </c>
      <c r="T540" s="70"/>
      <c r="U540" s="70" t="s">
        <v>4351</v>
      </c>
      <c r="V540" s="70"/>
    </row>
    <row r="541" spans="1:22" ht="15.75" customHeight="1">
      <c r="A541" s="66">
        <v>40625</v>
      </c>
      <c r="B541" s="67">
        <f t="shared" ca="1" si="4"/>
        <v>15.207133369482492</v>
      </c>
      <c r="C541" s="68" t="str">
        <f t="shared" ca="1" si="5"/>
        <v>15 years, 2 months</v>
      </c>
      <c r="D541" s="69">
        <v>9449310602</v>
      </c>
      <c r="E541" s="69">
        <v>20110323</v>
      </c>
      <c r="F541" s="70"/>
      <c r="G541" s="70" t="s">
        <v>4352</v>
      </c>
      <c r="H541" s="70" t="s">
        <v>4353</v>
      </c>
      <c r="I541" s="70" t="s">
        <v>4354</v>
      </c>
      <c r="J541" s="70" t="s">
        <v>1262</v>
      </c>
      <c r="K541" s="70" t="s">
        <v>1263</v>
      </c>
      <c r="L541" s="70"/>
      <c r="M541" s="70" t="s">
        <v>4355</v>
      </c>
      <c r="N541" s="70"/>
      <c r="O541" s="70" t="s">
        <v>2132</v>
      </c>
      <c r="P541" s="70" t="s">
        <v>1793</v>
      </c>
      <c r="Q541" s="69">
        <v>29006414</v>
      </c>
      <c r="R541" s="70"/>
      <c r="S541" s="70" t="s">
        <v>1794</v>
      </c>
      <c r="T541" s="70"/>
      <c r="U541" s="70" t="s">
        <v>4356</v>
      </c>
      <c r="V541" s="70"/>
    </row>
    <row r="542" spans="1:22" ht="15.75" customHeight="1">
      <c r="A542" s="66">
        <v>40626</v>
      </c>
      <c r="B542" s="67">
        <f t="shared" ca="1" si="4"/>
        <v>15.204393643455095</v>
      </c>
      <c r="C542" s="68" t="str">
        <f t="shared" ca="1" si="5"/>
        <v>15 years, 2 months</v>
      </c>
      <c r="D542" s="69">
        <v>9449308942</v>
      </c>
      <c r="E542" s="69">
        <v>20110324</v>
      </c>
      <c r="F542" s="70"/>
      <c r="G542" s="70" t="s">
        <v>4357</v>
      </c>
      <c r="H542" s="70" t="s">
        <v>4358</v>
      </c>
      <c r="I542" s="70" t="s">
        <v>4359</v>
      </c>
      <c r="J542" s="70" t="s">
        <v>1422</v>
      </c>
      <c r="K542" s="70" t="s">
        <v>1285</v>
      </c>
      <c r="L542" s="70" t="s">
        <v>4360</v>
      </c>
      <c r="M542" s="70" t="s">
        <v>4361</v>
      </c>
      <c r="N542" s="70"/>
      <c r="O542" s="70" t="s">
        <v>1862</v>
      </c>
      <c r="P542" s="70"/>
      <c r="Q542" s="69">
        <v>21450516</v>
      </c>
      <c r="R542" s="70"/>
      <c r="S542" s="70" t="s">
        <v>1794</v>
      </c>
      <c r="T542" s="70"/>
      <c r="U542" s="70" t="s">
        <v>4362</v>
      </c>
      <c r="V542" s="70"/>
    </row>
    <row r="543" spans="1:22" ht="15.75" customHeight="1">
      <c r="A543" s="66">
        <v>40628</v>
      </c>
      <c r="B543" s="67">
        <f t="shared" ca="1" si="4"/>
        <v>15.1989141914003</v>
      </c>
      <c r="C543" s="68" t="str">
        <f t="shared" ca="1" si="5"/>
        <v>15 years, 2 months</v>
      </c>
      <c r="D543" s="69">
        <v>9449303290</v>
      </c>
      <c r="E543" s="69">
        <v>20110326</v>
      </c>
      <c r="F543" s="70"/>
      <c r="G543" s="70" t="s">
        <v>4363</v>
      </c>
      <c r="H543" s="70" t="s">
        <v>4364</v>
      </c>
      <c r="I543" s="70" t="s">
        <v>4365</v>
      </c>
      <c r="J543" s="70" t="s">
        <v>1314</v>
      </c>
      <c r="K543" s="70" t="s">
        <v>1263</v>
      </c>
      <c r="L543" s="70"/>
      <c r="M543" s="70" t="s">
        <v>4366</v>
      </c>
      <c r="N543" s="70" t="s">
        <v>1806</v>
      </c>
      <c r="O543" s="70" t="s">
        <v>1807</v>
      </c>
      <c r="P543" s="70" t="s">
        <v>1793</v>
      </c>
      <c r="Q543" s="69">
        <v>7359211</v>
      </c>
      <c r="R543" s="70"/>
      <c r="S543" s="70" t="s">
        <v>1794</v>
      </c>
      <c r="T543" s="70"/>
      <c r="U543" s="70" t="s">
        <v>4367</v>
      </c>
      <c r="V543" s="70"/>
    </row>
    <row r="544" spans="1:22" ht="15.75" customHeight="1">
      <c r="A544" s="66">
        <v>40629</v>
      </c>
      <c r="B544" s="67">
        <f t="shared" ca="1" si="4"/>
        <v>15.196174465372902</v>
      </c>
      <c r="C544" s="68" t="str">
        <f t="shared" ca="1" si="5"/>
        <v>15 years, 2 months</v>
      </c>
      <c r="D544" s="69">
        <v>9449303827</v>
      </c>
      <c r="E544" s="69">
        <v>20110327</v>
      </c>
      <c r="F544" s="70"/>
      <c r="G544" s="70" t="s">
        <v>4368</v>
      </c>
      <c r="H544" s="70" t="s">
        <v>4369</v>
      </c>
      <c r="I544" s="70" t="s">
        <v>4370</v>
      </c>
      <c r="J544" s="70" t="s">
        <v>1391</v>
      </c>
      <c r="K544" s="70" t="s">
        <v>1263</v>
      </c>
      <c r="L544" s="70"/>
      <c r="M544" s="70" t="s">
        <v>4371</v>
      </c>
      <c r="N544" s="70"/>
      <c r="O544" s="70" t="s">
        <v>1819</v>
      </c>
      <c r="P544" s="70" t="s">
        <v>1793</v>
      </c>
      <c r="Q544" s="69">
        <v>7295377</v>
      </c>
      <c r="R544" s="70"/>
      <c r="S544" s="70" t="s">
        <v>1794</v>
      </c>
      <c r="T544" s="70"/>
      <c r="U544" s="70" t="s">
        <v>4372</v>
      </c>
      <c r="V544" s="70"/>
    </row>
    <row r="545" spans="1:22" ht="15.75" customHeight="1">
      <c r="A545" s="66">
        <v>40631</v>
      </c>
      <c r="B545" s="67">
        <f t="shared" ca="1" si="4"/>
        <v>15.190695013318107</v>
      </c>
      <c r="C545" s="68" t="str">
        <f t="shared" ca="1" si="5"/>
        <v>15 years, 2 months</v>
      </c>
      <c r="D545" s="69">
        <v>9449303614</v>
      </c>
      <c r="E545" s="69">
        <v>20110329</v>
      </c>
      <c r="F545" s="70"/>
      <c r="G545" s="70" t="s">
        <v>4373</v>
      </c>
      <c r="H545" s="70" t="s">
        <v>4374</v>
      </c>
      <c r="I545" s="70" t="s">
        <v>4375</v>
      </c>
      <c r="J545" s="70" t="s">
        <v>1422</v>
      </c>
      <c r="K545" s="70" t="s">
        <v>1285</v>
      </c>
      <c r="L545" s="70"/>
      <c r="M545" s="70" t="s">
        <v>4376</v>
      </c>
      <c r="N545" s="70" t="s">
        <v>1818</v>
      </c>
      <c r="O545" s="70" t="s">
        <v>1819</v>
      </c>
      <c r="P545" s="70" t="s">
        <v>1793</v>
      </c>
      <c r="Q545" s="69">
        <v>17335791</v>
      </c>
      <c r="R545" s="70"/>
      <c r="S545" s="70" t="s">
        <v>1794</v>
      </c>
      <c r="T545" s="70"/>
      <c r="U545" s="70" t="s">
        <v>4377</v>
      </c>
      <c r="V545" s="70"/>
    </row>
    <row r="546" spans="1:22" ht="15.75" customHeight="1">
      <c r="A546" s="66">
        <v>40632</v>
      </c>
      <c r="B546" s="67">
        <f t="shared" ca="1" si="4"/>
        <v>15.187955287290711</v>
      </c>
      <c r="C546" s="68" t="str">
        <f t="shared" ca="1" si="5"/>
        <v>15 years, 2 months</v>
      </c>
      <c r="D546" s="69">
        <v>9449304122</v>
      </c>
      <c r="E546" s="69">
        <v>20110330</v>
      </c>
      <c r="F546" s="70"/>
      <c r="G546" s="70" t="s">
        <v>2046</v>
      </c>
      <c r="H546" s="70" t="s">
        <v>4378</v>
      </c>
      <c r="I546" s="70" t="s">
        <v>4379</v>
      </c>
      <c r="J546" s="70" t="s">
        <v>1391</v>
      </c>
      <c r="K546" s="70" t="s">
        <v>1263</v>
      </c>
      <c r="L546" s="70"/>
      <c r="M546" s="70" t="s">
        <v>4380</v>
      </c>
      <c r="N546" s="70"/>
      <c r="O546" s="70" t="s">
        <v>1792</v>
      </c>
      <c r="P546" s="70" t="s">
        <v>1793</v>
      </c>
      <c r="Q546" s="69">
        <v>17338044</v>
      </c>
      <c r="R546" s="70"/>
      <c r="S546" s="70" t="s">
        <v>1794</v>
      </c>
      <c r="T546" s="70"/>
      <c r="U546" s="70" t="s">
        <v>4381</v>
      </c>
      <c r="V546" s="70"/>
    </row>
    <row r="547" spans="1:22" ht="15.75" customHeight="1">
      <c r="A547" s="66">
        <v>40632</v>
      </c>
      <c r="B547" s="67">
        <f t="shared" ca="1" si="4"/>
        <v>15.187955287290711</v>
      </c>
      <c r="C547" s="68" t="str">
        <f t="shared" ca="1" si="5"/>
        <v>15 years, 2 months</v>
      </c>
      <c r="D547" s="69">
        <v>9449307180</v>
      </c>
      <c r="E547" s="69">
        <v>20110330</v>
      </c>
      <c r="F547" s="70"/>
      <c r="G547" s="70" t="s">
        <v>4382</v>
      </c>
      <c r="H547" s="70" t="s">
        <v>4383</v>
      </c>
      <c r="I547" s="70" t="s">
        <v>4384</v>
      </c>
      <c r="J547" s="70" t="s">
        <v>1314</v>
      </c>
      <c r="K547" s="70" t="s">
        <v>2016</v>
      </c>
      <c r="L547" s="70"/>
      <c r="M547" s="70" t="s">
        <v>4385</v>
      </c>
      <c r="N547" s="70"/>
      <c r="O547" s="70" t="s">
        <v>1807</v>
      </c>
      <c r="P547" s="70" t="s">
        <v>1793</v>
      </c>
      <c r="Q547" s="69">
        <v>7361037</v>
      </c>
      <c r="R547" s="70"/>
      <c r="S547" s="70" t="s">
        <v>1794</v>
      </c>
      <c r="T547" s="70"/>
      <c r="U547" s="70" t="s">
        <v>4386</v>
      </c>
      <c r="V547" s="70"/>
    </row>
    <row r="548" spans="1:22" ht="15.75" customHeight="1">
      <c r="A548" s="66">
        <v>40633</v>
      </c>
      <c r="B548" s="67">
        <f t="shared" ca="1" si="4"/>
        <v>15.185215561263313</v>
      </c>
      <c r="C548" s="68" t="str">
        <f t="shared" ca="1" si="5"/>
        <v>15 years, 2 months</v>
      </c>
      <c r="D548" s="69">
        <v>9449304726</v>
      </c>
      <c r="E548" s="69">
        <v>20110331</v>
      </c>
      <c r="F548" s="70"/>
      <c r="G548" s="70" t="s">
        <v>4387</v>
      </c>
      <c r="H548" s="70"/>
      <c r="I548" s="70" t="s">
        <v>4388</v>
      </c>
      <c r="J548" s="70" t="s">
        <v>1422</v>
      </c>
      <c r="K548" s="70" t="s">
        <v>1285</v>
      </c>
      <c r="L548" s="70"/>
      <c r="M548" s="70" t="s">
        <v>4389</v>
      </c>
      <c r="N548" s="70"/>
      <c r="O548" s="70" t="s">
        <v>1800</v>
      </c>
      <c r="P548" s="70" t="s">
        <v>1793</v>
      </c>
      <c r="Q548" s="69">
        <v>7330972</v>
      </c>
      <c r="R548" s="70"/>
      <c r="S548" s="70" t="s">
        <v>1794</v>
      </c>
      <c r="T548" s="70"/>
      <c r="U548" s="70" t="s">
        <v>4390</v>
      </c>
      <c r="V548" s="70"/>
    </row>
    <row r="549" spans="1:22" ht="15.75" customHeight="1">
      <c r="A549" s="66">
        <v>40634</v>
      </c>
      <c r="B549" s="67">
        <f t="shared" ca="1" si="4"/>
        <v>15.182475835235916</v>
      </c>
      <c r="C549" s="68" t="str">
        <f t="shared" ca="1" si="5"/>
        <v>15 years, 2 months</v>
      </c>
      <c r="D549" s="69">
        <v>9449309671</v>
      </c>
      <c r="E549" s="69">
        <v>20110401</v>
      </c>
      <c r="F549" s="70"/>
      <c r="G549" s="70" t="s">
        <v>4289</v>
      </c>
      <c r="H549" s="70"/>
      <c r="I549" s="70" t="s">
        <v>4391</v>
      </c>
      <c r="J549" s="70" t="s">
        <v>1422</v>
      </c>
      <c r="K549" s="70" t="s">
        <v>1285</v>
      </c>
      <c r="L549" s="70"/>
      <c r="M549" s="70" t="s">
        <v>4392</v>
      </c>
      <c r="N549" s="70"/>
      <c r="O549" s="70" t="s">
        <v>1886</v>
      </c>
      <c r="P549" s="70" t="s">
        <v>1793</v>
      </c>
      <c r="Q549" s="69">
        <v>9720319</v>
      </c>
      <c r="R549" s="70"/>
      <c r="S549" s="70" t="s">
        <v>1794</v>
      </c>
      <c r="T549" s="70"/>
      <c r="U549" s="70" t="s">
        <v>4393</v>
      </c>
      <c r="V549" s="70"/>
    </row>
    <row r="550" spans="1:22" ht="15.75" customHeight="1">
      <c r="A550" s="66">
        <v>40635</v>
      </c>
      <c r="B550" s="67">
        <f t="shared" ca="1" si="4"/>
        <v>15.17973610920852</v>
      </c>
      <c r="C550" s="68" t="str">
        <f t="shared" ca="1" si="5"/>
        <v>15 years, 2 months</v>
      </c>
      <c r="D550" s="69">
        <v>9449310300</v>
      </c>
      <c r="E550" s="69">
        <v>20110402</v>
      </c>
      <c r="F550" s="70"/>
      <c r="G550" s="70" t="s">
        <v>3782</v>
      </c>
      <c r="H550" s="70"/>
      <c r="I550" s="70" t="s">
        <v>3783</v>
      </c>
      <c r="J550" s="70" t="s">
        <v>1284</v>
      </c>
      <c r="K550" s="70" t="s">
        <v>1285</v>
      </c>
      <c r="L550" s="70" t="s">
        <v>4394</v>
      </c>
      <c r="M550" s="70" t="s">
        <v>4395</v>
      </c>
      <c r="N550" s="70" t="s">
        <v>2532</v>
      </c>
      <c r="O550" s="70" t="s">
        <v>1906</v>
      </c>
      <c r="P550" s="70"/>
      <c r="Q550" s="69">
        <v>20169954</v>
      </c>
      <c r="R550" s="70"/>
      <c r="S550" s="70" t="s">
        <v>1794</v>
      </c>
      <c r="T550" s="70"/>
      <c r="U550" s="70" t="s">
        <v>4396</v>
      </c>
      <c r="V550" s="70"/>
    </row>
    <row r="551" spans="1:22" ht="15.75" customHeight="1">
      <c r="A551" s="66">
        <v>40636</v>
      </c>
      <c r="B551" s="67">
        <f t="shared" ca="1" si="4"/>
        <v>15.176996383181121</v>
      </c>
      <c r="C551" s="68" t="str">
        <f t="shared" ca="1" si="5"/>
        <v>15 years, 2 months</v>
      </c>
      <c r="D551" s="69">
        <v>9449308896</v>
      </c>
      <c r="E551" s="69">
        <v>20110403</v>
      </c>
      <c r="F551" s="70"/>
      <c r="G551" s="70" t="s">
        <v>4397</v>
      </c>
      <c r="H551" s="70"/>
      <c r="I551" s="70" t="s">
        <v>4398</v>
      </c>
      <c r="J551" s="70" t="s">
        <v>1422</v>
      </c>
      <c r="K551" s="70" t="s">
        <v>1285</v>
      </c>
      <c r="L551" s="70"/>
      <c r="M551" s="70" t="s">
        <v>4399</v>
      </c>
      <c r="N551" s="70"/>
      <c r="O551" s="70" t="s">
        <v>1862</v>
      </c>
      <c r="P551" s="70" t="s">
        <v>1793</v>
      </c>
      <c r="Q551" s="69">
        <v>9572387</v>
      </c>
      <c r="R551" s="70"/>
      <c r="S551" s="70" t="s">
        <v>1794</v>
      </c>
      <c r="T551" s="70"/>
      <c r="U551" s="70" t="s">
        <v>4400</v>
      </c>
      <c r="V551" s="70"/>
    </row>
    <row r="552" spans="1:22" ht="15.75" customHeight="1">
      <c r="A552" s="66">
        <v>40636</v>
      </c>
      <c r="B552" s="67">
        <f t="shared" ca="1" si="4"/>
        <v>15.176996383181121</v>
      </c>
      <c r="C552" s="68" t="str">
        <f t="shared" ca="1" si="5"/>
        <v>15 years, 2 months</v>
      </c>
      <c r="D552" s="69">
        <v>9449306079</v>
      </c>
      <c r="E552" s="69">
        <v>20110403</v>
      </c>
      <c r="F552" s="70"/>
      <c r="G552" s="70" t="s">
        <v>4401</v>
      </c>
      <c r="H552" s="70" t="s">
        <v>4402</v>
      </c>
      <c r="I552" s="70" t="s">
        <v>4403</v>
      </c>
      <c r="J552" s="70" t="s">
        <v>1422</v>
      </c>
      <c r="K552" s="70" t="s">
        <v>1285</v>
      </c>
      <c r="L552" s="70"/>
      <c r="M552" s="70" t="s">
        <v>4404</v>
      </c>
      <c r="N552" s="70" t="s">
        <v>1874</v>
      </c>
      <c r="O552" s="70" t="s">
        <v>1800</v>
      </c>
      <c r="P552" s="70" t="s">
        <v>1793</v>
      </c>
      <c r="Q552" s="69">
        <v>7346185</v>
      </c>
      <c r="R552" s="70"/>
      <c r="S552" s="70" t="s">
        <v>1794</v>
      </c>
      <c r="T552" s="70"/>
      <c r="U552" s="70" t="s">
        <v>4405</v>
      </c>
      <c r="V552" s="70"/>
    </row>
    <row r="553" spans="1:22" ht="15.75" customHeight="1">
      <c r="A553" s="66">
        <v>40638</v>
      </c>
      <c r="B553" s="67">
        <f t="shared" ca="1" si="4"/>
        <v>15.171516931126327</v>
      </c>
      <c r="C553" s="68" t="str">
        <f t="shared" ca="1" si="5"/>
        <v>15 years, 2 months</v>
      </c>
      <c r="D553" s="69">
        <v>9449304327</v>
      </c>
      <c r="E553" s="69">
        <v>20110405</v>
      </c>
      <c r="F553" s="70"/>
      <c r="G553" s="70" t="s">
        <v>4406</v>
      </c>
      <c r="H553" s="70"/>
      <c r="I553" s="70" t="s">
        <v>4407</v>
      </c>
      <c r="J553" s="70" t="s">
        <v>1391</v>
      </c>
      <c r="K553" s="70" t="s">
        <v>2016</v>
      </c>
      <c r="L553" s="70" t="s">
        <v>4408</v>
      </c>
      <c r="M553" s="70" t="s">
        <v>4409</v>
      </c>
      <c r="N553" s="70" t="s">
        <v>3613</v>
      </c>
      <c r="O553" s="70" t="s">
        <v>1792</v>
      </c>
      <c r="P553" s="70" t="s">
        <v>1793</v>
      </c>
      <c r="Q553" s="69">
        <v>24459427</v>
      </c>
      <c r="R553" s="70"/>
      <c r="S553" s="70" t="s">
        <v>1794</v>
      </c>
      <c r="T553" s="70"/>
      <c r="U553" s="70" t="s">
        <v>4410</v>
      </c>
      <c r="V553" s="70"/>
    </row>
    <row r="554" spans="1:22" ht="15.75" customHeight="1">
      <c r="A554" s="66">
        <v>40641</v>
      </c>
      <c r="B554" s="67">
        <f t="shared" ca="1" si="4"/>
        <v>15.163297753044136</v>
      </c>
      <c r="C554" s="68" t="str">
        <f t="shared" ca="1" si="5"/>
        <v>15 years, 1 months</v>
      </c>
      <c r="D554" s="69">
        <v>9449305161</v>
      </c>
      <c r="E554" s="69">
        <v>20110408</v>
      </c>
      <c r="F554" s="70"/>
      <c r="G554" s="70" t="s">
        <v>4411</v>
      </c>
      <c r="H554" s="70" t="s">
        <v>4412</v>
      </c>
      <c r="I554" s="70" t="s">
        <v>4413</v>
      </c>
      <c r="J554" s="70" t="s">
        <v>1391</v>
      </c>
      <c r="K554" s="70" t="s">
        <v>1263</v>
      </c>
      <c r="L554" s="70"/>
      <c r="M554" s="70" t="s">
        <v>4414</v>
      </c>
      <c r="N554" s="70"/>
      <c r="O554" s="70" t="s">
        <v>1800</v>
      </c>
      <c r="P554" s="70" t="s">
        <v>1793</v>
      </c>
      <c r="Q554" s="69">
        <v>7334617</v>
      </c>
      <c r="R554" s="70"/>
      <c r="S554" s="70" t="s">
        <v>1794</v>
      </c>
      <c r="T554" s="70"/>
      <c r="U554" s="70" t="s">
        <v>4415</v>
      </c>
      <c r="V554" s="70"/>
    </row>
    <row r="555" spans="1:22" ht="15.75" customHeight="1">
      <c r="A555" s="66">
        <v>40641</v>
      </c>
      <c r="B555" s="67">
        <f t="shared" ca="1" si="4"/>
        <v>15.163297753044136</v>
      </c>
      <c r="C555" s="68" t="str">
        <f t="shared" ca="1" si="5"/>
        <v>15 years, 1 months</v>
      </c>
      <c r="D555" s="71">
        <v>9449306141</v>
      </c>
      <c r="E555" s="69">
        <v>20110408</v>
      </c>
      <c r="F555" s="70"/>
      <c r="G555" s="70" t="s">
        <v>4416</v>
      </c>
      <c r="H555" s="70" t="s">
        <v>4417</v>
      </c>
      <c r="I555" s="70" t="s">
        <v>4418</v>
      </c>
      <c r="J555" s="70" t="s">
        <v>1391</v>
      </c>
      <c r="K555" s="70" t="s">
        <v>1263</v>
      </c>
      <c r="L555" s="70"/>
      <c r="M555" s="70" t="s">
        <v>4419</v>
      </c>
      <c r="N555" s="70"/>
      <c r="O555" s="70" t="s">
        <v>1906</v>
      </c>
      <c r="P555" s="70"/>
      <c r="Q555" s="69">
        <v>17357475</v>
      </c>
      <c r="R555" s="70"/>
      <c r="S555" s="70" t="s">
        <v>1794</v>
      </c>
      <c r="T555" s="70"/>
      <c r="U555" s="70" t="s">
        <v>4420</v>
      </c>
      <c r="V555" s="70"/>
    </row>
    <row r="556" spans="1:22" ht="15.75" customHeight="1">
      <c r="A556" s="66">
        <v>40642</v>
      </c>
      <c r="B556" s="67">
        <f t="shared" ca="1" si="4"/>
        <v>15.160558027016737</v>
      </c>
      <c r="C556" s="68" t="str">
        <f t="shared" ca="1" si="5"/>
        <v>15 years, 1 months</v>
      </c>
      <c r="D556" s="69">
        <v>9449305269</v>
      </c>
      <c r="E556" s="69">
        <v>20110409</v>
      </c>
      <c r="F556" s="70"/>
      <c r="G556" s="70" t="s">
        <v>4421</v>
      </c>
      <c r="H556" s="70" t="s">
        <v>2330</v>
      </c>
      <c r="I556" s="70" t="s">
        <v>4422</v>
      </c>
      <c r="J556" s="70" t="s">
        <v>1391</v>
      </c>
      <c r="K556" s="70" t="s">
        <v>1263</v>
      </c>
      <c r="L556" s="70" t="s">
        <v>3498</v>
      </c>
      <c r="M556" s="70" t="s">
        <v>4423</v>
      </c>
      <c r="N556" s="70" t="s">
        <v>2312</v>
      </c>
      <c r="O556" s="70" t="s">
        <v>1800</v>
      </c>
      <c r="P556" s="70" t="s">
        <v>1793</v>
      </c>
      <c r="Q556" s="69">
        <v>20169427</v>
      </c>
      <c r="R556" s="70"/>
      <c r="S556" s="70" t="s">
        <v>1794</v>
      </c>
      <c r="T556" s="70"/>
      <c r="U556" s="70" t="s">
        <v>4424</v>
      </c>
      <c r="V556" s="70"/>
    </row>
    <row r="557" spans="1:22" ht="15.75" customHeight="1">
      <c r="A557" s="66">
        <v>40642</v>
      </c>
      <c r="B557" s="67">
        <f t="shared" ca="1" si="4"/>
        <v>15.160558027016737</v>
      </c>
      <c r="C557" s="68" t="str">
        <f t="shared" ca="1" si="5"/>
        <v>15 years, 1 months</v>
      </c>
      <c r="D557" s="69">
        <v>9449307091</v>
      </c>
      <c r="E557" s="69">
        <v>20110409</v>
      </c>
      <c r="F557" s="70"/>
      <c r="G557" s="70" t="s">
        <v>4425</v>
      </c>
      <c r="H557" s="70" t="s">
        <v>4426</v>
      </c>
      <c r="I557" s="70" t="s">
        <v>4427</v>
      </c>
      <c r="J557" s="70" t="s">
        <v>1391</v>
      </c>
      <c r="K557" s="70" t="s">
        <v>1263</v>
      </c>
      <c r="L557" s="70" t="s">
        <v>4428</v>
      </c>
      <c r="M557" s="70" t="s">
        <v>1928</v>
      </c>
      <c r="N557" s="70"/>
      <c r="O557" s="70" t="s">
        <v>1807</v>
      </c>
      <c r="P557" s="70" t="s">
        <v>1793</v>
      </c>
      <c r="Q557" s="69">
        <v>17361318</v>
      </c>
      <c r="R557" s="70"/>
      <c r="S557" s="70" t="s">
        <v>1794</v>
      </c>
      <c r="T557" s="70"/>
      <c r="U557" s="70" t="s">
        <v>4429</v>
      </c>
      <c r="V557" s="70"/>
    </row>
    <row r="558" spans="1:22" ht="15.75" customHeight="1">
      <c r="A558" s="66">
        <v>40643</v>
      </c>
      <c r="B558" s="67">
        <f t="shared" ca="1" si="4"/>
        <v>15.157818300989341</v>
      </c>
      <c r="C558" s="68" t="str">
        <f t="shared" ca="1" si="5"/>
        <v>15 years, 1 months</v>
      </c>
      <c r="D558" s="69">
        <v>9449308500</v>
      </c>
      <c r="E558" s="69">
        <v>20110410</v>
      </c>
      <c r="F558" s="70"/>
      <c r="G558" s="70" t="s">
        <v>4430</v>
      </c>
      <c r="H558" s="70"/>
      <c r="I558" s="70" t="s">
        <v>4431</v>
      </c>
      <c r="J558" s="70" t="s">
        <v>1422</v>
      </c>
      <c r="K558" s="70" t="s">
        <v>1285</v>
      </c>
      <c r="L558" s="70"/>
      <c r="M558" s="70" t="s">
        <v>4432</v>
      </c>
      <c r="N558" s="70"/>
      <c r="O558" s="70" t="s">
        <v>2177</v>
      </c>
      <c r="P558" s="70"/>
      <c r="Q558" s="69">
        <v>7400883</v>
      </c>
      <c r="R558" s="70"/>
      <c r="S558" s="70" t="s">
        <v>1794</v>
      </c>
      <c r="T558" s="70"/>
      <c r="U558" s="70" t="s">
        <v>4433</v>
      </c>
      <c r="V558" s="70"/>
    </row>
    <row r="559" spans="1:22" ht="15.75" customHeight="1">
      <c r="A559" s="66">
        <v>40645</v>
      </c>
      <c r="B559" s="67">
        <f t="shared" ca="1" si="4"/>
        <v>15.152338848934546</v>
      </c>
      <c r="C559" s="68" t="str">
        <f t="shared" ca="1" si="5"/>
        <v>15 years, 1 months</v>
      </c>
      <c r="D559" s="69">
        <v>9449304440</v>
      </c>
      <c r="E559" s="69">
        <v>20110412</v>
      </c>
      <c r="F559" s="70"/>
      <c r="G559" s="70" t="s">
        <v>4434</v>
      </c>
      <c r="H559" s="70" t="s">
        <v>4435</v>
      </c>
      <c r="I559" s="70" t="s">
        <v>4436</v>
      </c>
      <c r="J559" s="70" t="s">
        <v>1422</v>
      </c>
      <c r="K559" s="70" t="s">
        <v>1285</v>
      </c>
      <c r="L559" s="70" t="s">
        <v>4437</v>
      </c>
      <c r="M559" s="70" t="s">
        <v>2296</v>
      </c>
      <c r="N559" s="70"/>
      <c r="O559" s="70" t="s">
        <v>1800</v>
      </c>
      <c r="P559" s="70" t="s">
        <v>1793</v>
      </c>
      <c r="Q559" s="69">
        <v>21416636</v>
      </c>
      <c r="R559" s="70"/>
      <c r="S559" s="70" t="s">
        <v>1794</v>
      </c>
      <c r="T559" s="70"/>
      <c r="U559" s="70" t="s">
        <v>4438</v>
      </c>
      <c r="V559" s="70"/>
    </row>
    <row r="560" spans="1:22" ht="15.75" customHeight="1">
      <c r="A560" s="66">
        <v>40645</v>
      </c>
      <c r="B560" s="67">
        <f t="shared" ca="1" si="4"/>
        <v>15.152338848934546</v>
      </c>
      <c r="C560" s="68" t="str">
        <f t="shared" ca="1" si="5"/>
        <v>15 years, 1 months</v>
      </c>
      <c r="D560" s="69">
        <v>9449307946</v>
      </c>
      <c r="E560" s="69">
        <v>20110412</v>
      </c>
      <c r="F560" s="70"/>
      <c r="G560" s="70" t="s">
        <v>4439</v>
      </c>
      <c r="H560" s="70" t="s">
        <v>4440</v>
      </c>
      <c r="I560" s="70" t="s">
        <v>4441</v>
      </c>
      <c r="J560" s="70" t="s">
        <v>1422</v>
      </c>
      <c r="K560" s="70" t="s">
        <v>1285</v>
      </c>
      <c r="L560" s="70" t="s">
        <v>1839</v>
      </c>
      <c r="M560" s="70" t="s">
        <v>1840</v>
      </c>
      <c r="N560" s="70"/>
      <c r="O560" s="70" t="s">
        <v>1812</v>
      </c>
      <c r="P560" s="70" t="s">
        <v>1793</v>
      </c>
      <c r="Q560" s="69">
        <v>21405702</v>
      </c>
      <c r="R560" s="70"/>
      <c r="S560" s="70" t="s">
        <v>1794</v>
      </c>
      <c r="T560" s="70"/>
      <c r="U560" s="70" t="s">
        <v>1841</v>
      </c>
      <c r="V560" s="70"/>
    </row>
    <row r="561" spans="1:22" ht="15.75" customHeight="1">
      <c r="A561" s="66">
        <v>40648</v>
      </c>
      <c r="B561" s="67">
        <f t="shared" ca="1" si="4"/>
        <v>15.144119670852355</v>
      </c>
      <c r="C561" s="68" t="str">
        <f t="shared" ca="1" si="5"/>
        <v>15 years, 1 months</v>
      </c>
      <c r="D561" s="69">
        <v>9449306516</v>
      </c>
      <c r="E561" s="69">
        <v>20110415</v>
      </c>
      <c r="F561" s="70"/>
      <c r="G561" s="70" t="s">
        <v>4442</v>
      </c>
      <c r="H561" s="70"/>
      <c r="I561" s="70" t="s">
        <v>4443</v>
      </c>
      <c r="J561" s="70" t="s">
        <v>1391</v>
      </c>
      <c r="K561" s="70" t="s">
        <v>1263</v>
      </c>
      <c r="L561" s="70"/>
      <c r="M561" s="70" t="s">
        <v>4444</v>
      </c>
      <c r="N561" s="70" t="s">
        <v>3476</v>
      </c>
      <c r="O561" s="70" t="s">
        <v>1906</v>
      </c>
      <c r="P561" s="70" t="s">
        <v>1793</v>
      </c>
      <c r="Q561" s="69">
        <v>7355871</v>
      </c>
      <c r="R561" s="70"/>
      <c r="S561" s="70" t="s">
        <v>1794</v>
      </c>
      <c r="T561" s="70"/>
      <c r="U561" s="70" t="s">
        <v>4445</v>
      </c>
      <c r="V561" s="70"/>
    </row>
    <row r="562" spans="1:22" ht="15.75" customHeight="1">
      <c r="A562" s="66">
        <v>40653</v>
      </c>
      <c r="B562" s="67">
        <f t="shared" ca="1" si="4"/>
        <v>15.130421040715369</v>
      </c>
      <c r="C562" s="68" t="str">
        <f t="shared" ca="1" si="5"/>
        <v>15 years, 1 months</v>
      </c>
      <c r="D562" s="69">
        <v>9449308144</v>
      </c>
      <c r="E562" s="69">
        <v>20110420</v>
      </c>
      <c r="F562" s="70"/>
      <c r="G562" s="70" t="s">
        <v>4446</v>
      </c>
      <c r="H562" s="70" t="s">
        <v>4447</v>
      </c>
      <c r="I562" s="70" t="s">
        <v>4448</v>
      </c>
      <c r="J562" s="70" t="s">
        <v>1422</v>
      </c>
      <c r="K562" s="70" t="s">
        <v>1285</v>
      </c>
      <c r="L562" s="70"/>
      <c r="M562" s="70" t="s">
        <v>4449</v>
      </c>
      <c r="N562" s="70"/>
      <c r="O562" s="70" t="s">
        <v>2132</v>
      </c>
      <c r="P562" s="70" t="s">
        <v>1793</v>
      </c>
      <c r="Q562" s="69">
        <v>7396939</v>
      </c>
      <c r="R562" s="70"/>
      <c r="S562" s="70" t="s">
        <v>1794</v>
      </c>
      <c r="T562" s="70"/>
      <c r="U562" s="70" t="s">
        <v>4450</v>
      </c>
      <c r="V562" s="70"/>
    </row>
    <row r="563" spans="1:22" ht="15.75" customHeight="1">
      <c r="A563" s="66">
        <v>40655</v>
      </c>
      <c r="B563" s="67">
        <f t="shared" ca="1" si="4"/>
        <v>15.124941588660574</v>
      </c>
      <c r="C563" s="68" t="str">
        <f t="shared" ca="1" si="5"/>
        <v>15 years, 1 months</v>
      </c>
      <c r="D563" s="69">
        <v>9449308470</v>
      </c>
      <c r="E563" s="69">
        <v>20110422</v>
      </c>
      <c r="F563" s="70"/>
      <c r="G563" s="70" t="s">
        <v>4451</v>
      </c>
      <c r="H563" s="70"/>
      <c r="I563" s="70" t="s">
        <v>4452</v>
      </c>
      <c r="J563" s="70" t="s">
        <v>1314</v>
      </c>
      <c r="K563" s="70" t="s">
        <v>1263</v>
      </c>
      <c r="L563" s="70"/>
      <c r="M563" s="70" t="s">
        <v>4453</v>
      </c>
      <c r="N563" s="70"/>
      <c r="O563" s="70" t="s">
        <v>2177</v>
      </c>
      <c r="P563" s="70"/>
      <c r="Q563" s="69">
        <v>7400673</v>
      </c>
      <c r="R563" s="70"/>
      <c r="S563" s="70" t="s">
        <v>1794</v>
      </c>
      <c r="T563" s="70"/>
      <c r="U563" s="70" t="s">
        <v>4454</v>
      </c>
      <c r="V563" s="70"/>
    </row>
    <row r="564" spans="1:22" ht="15.75" customHeight="1">
      <c r="A564" s="66">
        <v>40655</v>
      </c>
      <c r="B564" s="67">
        <f t="shared" ca="1" si="4"/>
        <v>15.124941588660574</v>
      </c>
      <c r="C564" s="68" t="str">
        <f t="shared" ca="1" si="5"/>
        <v>15 years, 1 months</v>
      </c>
      <c r="D564" s="69">
        <v>9449305811</v>
      </c>
      <c r="E564" s="69">
        <v>20110422</v>
      </c>
      <c r="F564" s="70"/>
      <c r="G564" s="70" t="s">
        <v>1913</v>
      </c>
      <c r="H564" s="70"/>
      <c r="I564" s="70" t="s">
        <v>4455</v>
      </c>
      <c r="J564" s="70" t="s">
        <v>1314</v>
      </c>
      <c r="K564" s="70" t="s">
        <v>1263</v>
      </c>
      <c r="L564" s="70"/>
      <c r="M564" s="70" t="s">
        <v>4456</v>
      </c>
      <c r="N564" s="70"/>
      <c r="O564" s="70" t="s">
        <v>1800</v>
      </c>
      <c r="P564" s="70" t="s">
        <v>1793</v>
      </c>
      <c r="Q564" s="69">
        <v>7342054</v>
      </c>
      <c r="R564" s="70"/>
      <c r="S564" s="70" t="s">
        <v>1794</v>
      </c>
      <c r="T564" s="70"/>
      <c r="U564" s="70" t="s">
        <v>4457</v>
      </c>
      <c r="V564" s="70"/>
    </row>
    <row r="565" spans="1:22" ht="15.75" customHeight="1">
      <c r="A565" s="66">
        <v>40656</v>
      </c>
      <c r="B565" s="67">
        <f t="shared" ca="1" si="4"/>
        <v>15.122201862633176</v>
      </c>
      <c r="C565" s="68" t="str">
        <f t="shared" ca="1" si="5"/>
        <v>15 years, 1 months</v>
      </c>
      <c r="D565" s="69">
        <v>9449309108</v>
      </c>
      <c r="E565" s="69">
        <v>20110423</v>
      </c>
      <c r="F565" s="70"/>
      <c r="G565" s="70" t="s">
        <v>2562</v>
      </c>
      <c r="H565" s="70" t="s">
        <v>4458</v>
      </c>
      <c r="I565" s="70" t="s">
        <v>4459</v>
      </c>
      <c r="J565" s="70" t="s">
        <v>1391</v>
      </c>
      <c r="K565" s="70" t="s">
        <v>1263</v>
      </c>
      <c r="L565" s="70"/>
      <c r="M565" s="70" t="s">
        <v>4460</v>
      </c>
      <c r="N565" s="70"/>
      <c r="O565" s="70" t="s">
        <v>1862</v>
      </c>
      <c r="P565" s="70" t="s">
        <v>1793</v>
      </c>
      <c r="Q565" s="69">
        <v>9574766</v>
      </c>
      <c r="R565" s="70"/>
      <c r="S565" s="70" t="s">
        <v>1794</v>
      </c>
      <c r="T565" s="70"/>
      <c r="U565" s="70" t="s">
        <v>4461</v>
      </c>
      <c r="V565" s="70"/>
    </row>
    <row r="566" spans="1:22" ht="15.75" customHeight="1">
      <c r="A566" s="66">
        <v>40657</v>
      </c>
      <c r="B566" s="67">
        <f t="shared" ca="1" si="4"/>
        <v>15.11946213660578</v>
      </c>
      <c r="C566" s="68" t="str">
        <f t="shared" ca="1" si="5"/>
        <v>15 years, 1 months</v>
      </c>
      <c r="D566" s="69">
        <v>9449309523</v>
      </c>
      <c r="E566" s="69">
        <v>20110424</v>
      </c>
      <c r="F566" s="70"/>
      <c r="G566" s="70" t="s">
        <v>2282</v>
      </c>
      <c r="H566" s="70"/>
      <c r="I566" s="70" t="s">
        <v>4462</v>
      </c>
      <c r="J566" s="70" t="s">
        <v>1391</v>
      </c>
      <c r="K566" s="70" t="s">
        <v>1263</v>
      </c>
      <c r="L566" s="70"/>
      <c r="M566" s="70" t="s">
        <v>4463</v>
      </c>
      <c r="N566" s="70" t="s">
        <v>2343</v>
      </c>
      <c r="O566" s="70" t="s">
        <v>2344</v>
      </c>
      <c r="P566" s="70" t="s">
        <v>1793</v>
      </c>
      <c r="Q566" s="69">
        <v>9576523</v>
      </c>
      <c r="R566" s="70"/>
      <c r="S566" s="70" t="s">
        <v>1794</v>
      </c>
      <c r="T566" s="70"/>
      <c r="U566" s="70" t="s">
        <v>4464</v>
      </c>
      <c r="V566" s="70"/>
    </row>
    <row r="567" spans="1:22" ht="15.75" customHeight="1">
      <c r="A567" s="66">
        <v>40658</v>
      </c>
      <c r="B567" s="67">
        <f t="shared" ca="1" si="4"/>
        <v>15.116722410578381</v>
      </c>
      <c r="C567" s="68" t="str">
        <f t="shared" ca="1" si="5"/>
        <v>15 years, 1 months</v>
      </c>
      <c r="D567" s="69">
        <v>9449306397</v>
      </c>
      <c r="E567" s="69">
        <v>20110425</v>
      </c>
      <c r="F567" s="70"/>
      <c r="G567" s="70" t="s">
        <v>4465</v>
      </c>
      <c r="H567" s="70" t="s">
        <v>3373</v>
      </c>
      <c r="I567" s="70" t="s">
        <v>4466</v>
      </c>
      <c r="J567" s="70" t="s">
        <v>1391</v>
      </c>
      <c r="K567" s="70" t="s">
        <v>1263</v>
      </c>
      <c r="L567" s="70" t="s">
        <v>4467</v>
      </c>
      <c r="M567" s="70" t="s">
        <v>4468</v>
      </c>
      <c r="N567" s="70" t="s">
        <v>2184</v>
      </c>
      <c r="O567" s="70" t="s">
        <v>1906</v>
      </c>
      <c r="P567" s="70" t="s">
        <v>1793</v>
      </c>
      <c r="Q567" s="69">
        <v>17358168</v>
      </c>
      <c r="R567" s="70"/>
      <c r="S567" s="70" t="s">
        <v>1794</v>
      </c>
      <c r="T567" s="70"/>
      <c r="U567" s="70" t="s">
        <v>4469</v>
      </c>
      <c r="V567" s="70"/>
    </row>
    <row r="568" spans="1:22" ht="15.75" customHeight="1">
      <c r="A568" s="66">
        <v>40658</v>
      </c>
      <c r="B568" s="67">
        <f t="shared" ca="1" si="4"/>
        <v>15.116722410578381</v>
      </c>
      <c r="C568" s="68" t="str">
        <f t="shared" ca="1" si="5"/>
        <v>15 years, 1 months</v>
      </c>
      <c r="D568" s="69">
        <v>9449306362</v>
      </c>
      <c r="E568" s="69">
        <v>20110425</v>
      </c>
      <c r="F568" s="70"/>
      <c r="G568" s="70" t="s">
        <v>4470</v>
      </c>
      <c r="H568" s="70" t="s">
        <v>4471</v>
      </c>
      <c r="I568" s="70" t="s">
        <v>4472</v>
      </c>
      <c r="J568" s="70" t="s">
        <v>1422</v>
      </c>
      <c r="K568" s="70" t="s">
        <v>1285</v>
      </c>
      <c r="L568" s="70" t="s">
        <v>4473</v>
      </c>
      <c r="M568" s="70" t="s">
        <v>2194</v>
      </c>
      <c r="N568" s="70" t="s">
        <v>2184</v>
      </c>
      <c r="O568" s="70" t="s">
        <v>1906</v>
      </c>
      <c r="P568" s="70"/>
      <c r="Q568" s="69">
        <v>17358116</v>
      </c>
      <c r="R568" s="70"/>
      <c r="S568" s="70" t="s">
        <v>1794</v>
      </c>
      <c r="T568" s="70"/>
      <c r="U568" s="70" t="s">
        <v>4474</v>
      </c>
      <c r="V568" s="70"/>
    </row>
    <row r="569" spans="1:22" ht="15.75" customHeight="1">
      <c r="A569" s="66">
        <v>40662</v>
      </c>
      <c r="B569" s="67">
        <f t="shared" ca="1" si="4"/>
        <v>15.105763506468794</v>
      </c>
      <c r="C569" s="68" t="str">
        <f t="shared" ca="1" si="5"/>
        <v>15 years, 1 months</v>
      </c>
      <c r="D569" s="69">
        <v>9449303398</v>
      </c>
      <c r="E569" s="69">
        <v>20110429</v>
      </c>
      <c r="F569" s="70"/>
      <c r="G569" s="70" t="s">
        <v>4475</v>
      </c>
      <c r="H569" s="70" t="s">
        <v>4476</v>
      </c>
      <c r="I569" s="70" t="s">
        <v>4477</v>
      </c>
      <c r="J569" s="70" t="s">
        <v>1391</v>
      </c>
      <c r="K569" s="70" t="s">
        <v>1263</v>
      </c>
      <c r="L569" s="70"/>
      <c r="M569" s="70" t="s">
        <v>4478</v>
      </c>
      <c r="N569" s="70"/>
      <c r="O569" s="70" t="s">
        <v>1845</v>
      </c>
      <c r="P569" s="70"/>
      <c r="Q569" s="69">
        <v>32115549</v>
      </c>
      <c r="R569" s="70"/>
      <c r="S569" s="70" t="s">
        <v>1794</v>
      </c>
      <c r="T569" s="70"/>
      <c r="U569" s="70" t="s">
        <v>4479</v>
      </c>
      <c r="V569" s="70"/>
    </row>
    <row r="570" spans="1:22" ht="15.75" customHeight="1">
      <c r="A570" s="66">
        <v>40662</v>
      </c>
      <c r="B570" s="67">
        <f t="shared" ca="1" si="4"/>
        <v>15.105763506468794</v>
      </c>
      <c r="C570" s="68" t="str">
        <f t="shared" ca="1" si="5"/>
        <v>15 years, 1 months</v>
      </c>
      <c r="D570" s="69">
        <v>9449305900</v>
      </c>
      <c r="E570" s="69">
        <v>20110429</v>
      </c>
      <c r="F570" s="70"/>
      <c r="G570" s="70" t="s">
        <v>4480</v>
      </c>
      <c r="H570" s="70"/>
      <c r="I570" s="70" t="s">
        <v>4481</v>
      </c>
      <c r="J570" s="70" t="s">
        <v>1422</v>
      </c>
      <c r="K570" s="70" t="s">
        <v>1932</v>
      </c>
      <c r="L570" s="70"/>
      <c r="M570" s="70" t="s">
        <v>4482</v>
      </c>
      <c r="N570" s="70"/>
      <c r="O570" s="70" t="s">
        <v>1800</v>
      </c>
      <c r="P570" s="70" t="s">
        <v>1793</v>
      </c>
      <c r="Q570" s="69">
        <v>7343383</v>
      </c>
      <c r="R570" s="70"/>
      <c r="S570" s="70" t="s">
        <v>1794</v>
      </c>
      <c r="T570" s="70"/>
      <c r="U570" s="70" t="s">
        <v>4483</v>
      </c>
      <c r="V570" s="70"/>
    </row>
    <row r="571" spans="1:22" ht="15.75" customHeight="1">
      <c r="A571" s="66">
        <v>40665</v>
      </c>
      <c r="B571" s="67">
        <f t="shared" ca="1" si="4"/>
        <v>15.097544328386601</v>
      </c>
      <c r="C571" s="68" t="str">
        <f t="shared" ca="1" si="5"/>
        <v>15 years, 1 months</v>
      </c>
      <c r="D571" s="69">
        <v>9449305390</v>
      </c>
      <c r="E571" s="69">
        <v>20110502</v>
      </c>
      <c r="F571" s="70"/>
      <c r="G571" s="70" t="s">
        <v>4484</v>
      </c>
      <c r="H571" s="70" t="s">
        <v>4485</v>
      </c>
      <c r="I571" s="70" t="s">
        <v>4486</v>
      </c>
      <c r="J571" s="70" t="s">
        <v>1422</v>
      </c>
      <c r="K571" s="70" t="s">
        <v>1285</v>
      </c>
      <c r="L571" s="70"/>
      <c r="M571" s="70" t="s">
        <v>4487</v>
      </c>
      <c r="N571" s="70"/>
      <c r="O571" s="70" t="s">
        <v>1800</v>
      </c>
      <c r="P571" s="70" t="s">
        <v>1793</v>
      </c>
      <c r="Q571" s="69">
        <v>7337244</v>
      </c>
      <c r="R571" s="70"/>
      <c r="S571" s="70" t="s">
        <v>1794</v>
      </c>
      <c r="T571" s="70"/>
      <c r="U571" s="70" t="s">
        <v>4488</v>
      </c>
      <c r="V571" s="70"/>
    </row>
    <row r="572" spans="1:22" ht="15.75" customHeight="1">
      <c r="A572" s="66">
        <v>40668</v>
      </c>
      <c r="B572" s="67">
        <f t="shared" ca="1" si="4"/>
        <v>15.089325150304409</v>
      </c>
      <c r="C572" s="68" t="str">
        <f t="shared" ca="1" si="5"/>
        <v>15 years, 1 months</v>
      </c>
      <c r="D572" s="69">
        <v>9449310254</v>
      </c>
      <c r="E572" s="69">
        <v>20110505</v>
      </c>
      <c r="F572" s="70"/>
      <c r="G572" s="70" t="s">
        <v>4489</v>
      </c>
      <c r="H572" s="70" t="s">
        <v>2260</v>
      </c>
      <c r="I572" s="70" t="s">
        <v>4490</v>
      </c>
      <c r="J572" s="70" t="s">
        <v>1422</v>
      </c>
      <c r="K572" s="70" t="s">
        <v>1285</v>
      </c>
      <c r="L572" s="70"/>
      <c r="M572" s="70" t="s">
        <v>4491</v>
      </c>
      <c r="N572" s="70" t="s">
        <v>1973</v>
      </c>
      <c r="O572" s="70" t="s">
        <v>1807</v>
      </c>
      <c r="P572" s="70" t="s">
        <v>1793</v>
      </c>
      <c r="Q572" s="69">
        <v>17363165</v>
      </c>
      <c r="R572" s="70"/>
      <c r="S572" s="70" t="s">
        <v>1794</v>
      </c>
      <c r="T572" s="70"/>
      <c r="U572" s="70" t="s">
        <v>4492</v>
      </c>
      <c r="V572" s="70"/>
    </row>
    <row r="573" spans="1:22" ht="15.75" customHeight="1">
      <c r="A573" s="66">
        <v>40669</v>
      </c>
      <c r="B573" s="67">
        <f t="shared" ca="1" si="4"/>
        <v>15.086585424277011</v>
      </c>
      <c r="C573" s="68" t="str">
        <f t="shared" ca="1" si="5"/>
        <v>15 years, 1 months</v>
      </c>
      <c r="D573" s="69">
        <v>9449306206</v>
      </c>
      <c r="E573" s="69">
        <v>20110506</v>
      </c>
      <c r="F573" s="70"/>
      <c r="G573" s="70" t="s">
        <v>4493</v>
      </c>
      <c r="H573" s="70" t="s">
        <v>4494</v>
      </c>
      <c r="I573" s="70" t="s">
        <v>4495</v>
      </c>
      <c r="J573" s="70" t="s">
        <v>1422</v>
      </c>
      <c r="K573" s="70" t="s">
        <v>1285</v>
      </c>
      <c r="L573" s="70"/>
      <c r="M573" s="70" t="s">
        <v>4496</v>
      </c>
      <c r="N573" s="70"/>
      <c r="O573" s="70" t="s">
        <v>1906</v>
      </c>
      <c r="P573" s="70" t="s">
        <v>1793</v>
      </c>
      <c r="Q573" s="69">
        <v>7354330</v>
      </c>
      <c r="R573" s="70"/>
      <c r="S573" s="70" t="s">
        <v>1794</v>
      </c>
      <c r="T573" s="70"/>
      <c r="U573" s="70" t="s">
        <v>4497</v>
      </c>
      <c r="V573" s="70"/>
    </row>
    <row r="574" spans="1:22" ht="15.75" customHeight="1">
      <c r="A574" s="66">
        <v>40670</v>
      </c>
      <c r="B574" s="67">
        <f t="shared" ca="1" si="4"/>
        <v>15.083845698249615</v>
      </c>
      <c r="C574" s="68" t="str">
        <f t="shared" ca="1" si="5"/>
        <v>15 years, 1 months</v>
      </c>
      <c r="D574" s="69">
        <v>9449304297</v>
      </c>
      <c r="E574" s="69">
        <v>20110507</v>
      </c>
      <c r="F574" s="70"/>
      <c r="G574" s="70" t="s">
        <v>4498</v>
      </c>
      <c r="H574" s="70" t="s">
        <v>4499</v>
      </c>
      <c r="I574" s="70" t="s">
        <v>4500</v>
      </c>
      <c r="J574" s="70" t="s">
        <v>1391</v>
      </c>
      <c r="K574" s="70" t="s">
        <v>1263</v>
      </c>
      <c r="L574" s="70" t="s">
        <v>4501</v>
      </c>
      <c r="M574" s="70" t="s">
        <v>3996</v>
      </c>
      <c r="N574" s="70" t="s">
        <v>3613</v>
      </c>
      <c r="O574" s="70" t="s">
        <v>1792</v>
      </c>
      <c r="P574" s="70" t="s">
        <v>1793</v>
      </c>
      <c r="Q574" s="69">
        <v>24459413</v>
      </c>
      <c r="R574" s="70"/>
      <c r="S574" s="70" t="s">
        <v>1794</v>
      </c>
      <c r="T574" s="70"/>
      <c r="U574" s="70" t="s">
        <v>4502</v>
      </c>
      <c r="V574" s="70"/>
    </row>
    <row r="575" spans="1:22" ht="15.75" customHeight="1">
      <c r="A575" s="66">
        <v>40671</v>
      </c>
      <c r="B575" s="67">
        <f t="shared" ca="1" si="4"/>
        <v>15.081105972222218</v>
      </c>
      <c r="C575" s="68" t="str">
        <f t="shared" ca="1" si="5"/>
        <v>15 years, 0 months</v>
      </c>
      <c r="D575" s="69">
        <v>9449307377</v>
      </c>
      <c r="E575" s="69">
        <v>20110508</v>
      </c>
      <c r="F575" s="70"/>
      <c r="G575" s="70" t="s">
        <v>4503</v>
      </c>
      <c r="H575" s="70" t="s">
        <v>4504</v>
      </c>
      <c r="I575" s="70" t="s">
        <v>4505</v>
      </c>
      <c r="J575" s="70" t="s">
        <v>1314</v>
      </c>
      <c r="K575" s="70" t="s">
        <v>1263</v>
      </c>
      <c r="L575" s="70"/>
      <c r="M575" s="70" t="s">
        <v>4506</v>
      </c>
      <c r="N575" s="70"/>
      <c r="O575" s="70" t="s">
        <v>1807</v>
      </c>
      <c r="P575" s="70" t="s">
        <v>1793</v>
      </c>
      <c r="Q575" s="69">
        <v>7361791</v>
      </c>
      <c r="R575" s="70"/>
      <c r="S575" s="70" t="s">
        <v>1794</v>
      </c>
      <c r="T575" s="70"/>
      <c r="U575" s="70" t="s">
        <v>4507</v>
      </c>
      <c r="V575" s="70"/>
    </row>
    <row r="576" spans="1:22" ht="15.75" customHeight="1">
      <c r="A576" s="72">
        <v>40672</v>
      </c>
      <c r="B576" s="67">
        <f t="shared" ca="1" si="4"/>
        <v>15.07836624619482</v>
      </c>
      <c r="C576" s="68" t="str">
        <f t="shared" ca="1" si="5"/>
        <v>15 years, 0 months</v>
      </c>
      <c r="D576" s="69">
        <v>9449306621</v>
      </c>
      <c r="E576" s="69">
        <v>20110509</v>
      </c>
      <c r="F576" s="70"/>
      <c r="G576" s="70" t="s">
        <v>4508</v>
      </c>
      <c r="H576" s="70"/>
      <c r="I576" s="70" t="s">
        <v>4509</v>
      </c>
      <c r="J576" s="70" t="s">
        <v>1391</v>
      </c>
      <c r="K576" s="70" t="s">
        <v>1263</v>
      </c>
      <c r="L576" s="70" t="s">
        <v>4510</v>
      </c>
      <c r="M576" s="70" t="s">
        <v>4511</v>
      </c>
      <c r="N576" s="70"/>
      <c r="O576" s="70" t="s">
        <v>1834</v>
      </c>
      <c r="P576" s="70"/>
      <c r="Q576" s="69">
        <v>21972615</v>
      </c>
      <c r="R576" s="70"/>
      <c r="S576" s="70" t="s">
        <v>1794</v>
      </c>
      <c r="T576" s="70"/>
      <c r="U576" s="70" t="s">
        <v>4512</v>
      </c>
      <c r="V576" s="70"/>
    </row>
    <row r="577" spans="1:22" ht="15.75" customHeight="1">
      <c r="A577" s="66">
        <v>40672</v>
      </c>
      <c r="B577" s="67">
        <f t="shared" ca="1" si="4"/>
        <v>15.07836624619482</v>
      </c>
      <c r="C577" s="68" t="str">
        <f t="shared" ca="1" si="5"/>
        <v>15 years, 0 months</v>
      </c>
      <c r="D577" s="69">
        <v>9449308039</v>
      </c>
      <c r="E577" s="69">
        <v>20110509</v>
      </c>
      <c r="F577" s="70"/>
      <c r="G577" s="70" t="s">
        <v>2192</v>
      </c>
      <c r="H577" s="70" t="s">
        <v>4513</v>
      </c>
      <c r="I577" s="70" t="s">
        <v>4514</v>
      </c>
      <c r="J577" s="70" t="s">
        <v>1422</v>
      </c>
      <c r="K577" s="70" t="s">
        <v>1285</v>
      </c>
      <c r="L577" s="70" t="s">
        <v>4515</v>
      </c>
      <c r="M577" s="70" t="s">
        <v>4516</v>
      </c>
      <c r="N577" s="70"/>
      <c r="O577" s="70" t="s">
        <v>2132</v>
      </c>
      <c r="P577" s="70" t="s">
        <v>1793</v>
      </c>
      <c r="Q577" s="69">
        <v>21405881</v>
      </c>
      <c r="R577" s="70"/>
      <c r="S577" s="70" t="s">
        <v>1794</v>
      </c>
      <c r="T577" s="70"/>
      <c r="U577" s="70" t="s">
        <v>4517</v>
      </c>
      <c r="V577" s="70"/>
    </row>
    <row r="578" spans="1:22" ht="15.75" customHeight="1">
      <c r="A578" s="66">
        <v>40674</v>
      </c>
      <c r="B578" s="67">
        <f t="shared" ca="1" si="4"/>
        <v>15.072886794140025</v>
      </c>
      <c r="C578" s="68" t="str">
        <f t="shared" ca="1" si="5"/>
        <v>15 years, 0 months</v>
      </c>
      <c r="D578" s="69">
        <v>9449308268</v>
      </c>
      <c r="E578" s="69">
        <v>20110511</v>
      </c>
      <c r="F578" s="70"/>
      <c r="G578" s="70" t="s">
        <v>4518</v>
      </c>
      <c r="H578" s="70" t="s">
        <v>4519</v>
      </c>
      <c r="I578" s="70" t="s">
        <v>4520</v>
      </c>
      <c r="J578" s="70" t="s">
        <v>1391</v>
      </c>
      <c r="K578" s="70" t="s">
        <v>1263</v>
      </c>
      <c r="L578" s="70"/>
      <c r="M578" s="70" t="s">
        <v>4521</v>
      </c>
      <c r="N578" s="70"/>
      <c r="O578" s="70" t="s">
        <v>2177</v>
      </c>
      <c r="P578" s="70" t="s">
        <v>1793</v>
      </c>
      <c r="Q578" s="69">
        <v>7398017</v>
      </c>
      <c r="R578" s="70"/>
      <c r="S578" s="70" t="s">
        <v>1794</v>
      </c>
      <c r="T578" s="70"/>
      <c r="U578" s="70" t="s">
        <v>4522</v>
      </c>
      <c r="V578" s="70"/>
    </row>
    <row r="579" spans="1:22" ht="15.75" customHeight="1">
      <c r="A579" s="66">
        <v>40674</v>
      </c>
      <c r="B579" s="67">
        <f t="shared" ca="1" si="4"/>
        <v>15.072886794140025</v>
      </c>
      <c r="C579" s="68" t="str">
        <f t="shared" ca="1" si="5"/>
        <v>15 years, 0 months</v>
      </c>
      <c r="D579" s="69">
        <v>9449303967</v>
      </c>
      <c r="E579" s="69">
        <v>20110511</v>
      </c>
      <c r="F579" s="70"/>
      <c r="G579" s="70" t="s">
        <v>4523</v>
      </c>
      <c r="H579" s="70" t="s">
        <v>3254</v>
      </c>
      <c r="I579" s="70" t="s">
        <v>4524</v>
      </c>
      <c r="J579" s="70" t="s">
        <v>1314</v>
      </c>
      <c r="K579" s="70" t="s">
        <v>1263</v>
      </c>
      <c r="L579" s="70" t="s">
        <v>4525</v>
      </c>
      <c r="M579" s="70" t="s">
        <v>4526</v>
      </c>
      <c r="N579" s="70"/>
      <c r="O579" s="70" t="s">
        <v>1792</v>
      </c>
      <c r="P579" s="70" t="s">
        <v>1793</v>
      </c>
      <c r="Q579" s="69">
        <v>24338019</v>
      </c>
      <c r="R579" s="70"/>
      <c r="S579" s="70" t="s">
        <v>1794</v>
      </c>
      <c r="T579" s="70"/>
      <c r="U579" s="70" t="s">
        <v>4527</v>
      </c>
      <c r="V579" s="70"/>
    </row>
    <row r="580" spans="1:22" ht="15.75" customHeight="1">
      <c r="A580" s="66">
        <v>40674</v>
      </c>
      <c r="B580" s="67">
        <f t="shared" ca="1" si="4"/>
        <v>15.072886794140025</v>
      </c>
      <c r="C580" s="68" t="str">
        <f t="shared" ca="1" si="5"/>
        <v>15 years, 0 months</v>
      </c>
      <c r="D580" s="69">
        <v>9449307172</v>
      </c>
      <c r="E580" s="69">
        <v>20110511</v>
      </c>
      <c r="F580" s="70"/>
      <c r="G580" s="70" t="s">
        <v>4528</v>
      </c>
      <c r="H580" s="70" t="s">
        <v>3756</v>
      </c>
      <c r="I580" s="70" t="s">
        <v>4529</v>
      </c>
      <c r="J580" s="70" t="s">
        <v>1391</v>
      </c>
      <c r="K580" s="70" t="s">
        <v>2016</v>
      </c>
      <c r="L580" s="70" t="s">
        <v>1735</v>
      </c>
      <c r="M580" s="70" t="s">
        <v>4530</v>
      </c>
      <c r="N580" s="70"/>
      <c r="O580" s="70" t="s">
        <v>1807</v>
      </c>
      <c r="P580" s="70"/>
      <c r="Q580" s="69">
        <v>32175103</v>
      </c>
      <c r="R580" s="70"/>
      <c r="S580" s="70" t="s">
        <v>1794</v>
      </c>
      <c r="T580" s="70"/>
      <c r="U580" s="70" t="s">
        <v>4531</v>
      </c>
      <c r="V580" s="70"/>
    </row>
    <row r="581" spans="1:22" ht="15.75" customHeight="1">
      <c r="A581" s="66">
        <v>40674</v>
      </c>
      <c r="B581" s="67">
        <f t="shared" ca="1" si="4"/>
        <v>15.072886794140025</v>
      </c>
      <c r="C581" s="68" t="str">
        <f t="shared" ca="1" si="5"/>
        <v>15 years, 0 months</v>
      </c>
      <c r="D581" s="69">
        <v>9449307202</v>
      </c>
      <c r="E581" s="69">
        <v>20110511</v>
      </c>
      <c r="F581" s="70"/>
      <c r="G581" s="70" t="s">
        <v>4532</v>
      </c>
      <c r="H581" s="70"/>
      <c r="I581" s="70" t="s">
        <v>4533</v>
      </c>
      <c r="J581" s="70" t="s">
        <v>1391</v>
      </c>
      <c r="K581" s="70" t="s">
        <v>2016</v>
      </c>
      <c r="L581" s="70"/>
      <c r="M581" s="70" t="s">
        <v>4534</v>
      </c>
      <c r="N581" s="70"/>
      <c r="O581" s="70" t="s">
        <v>1807</v>
      </c>
      <c r="P581" s="70"/>
      <c r="Q581" s="69">
        <v>31969359</v>
      </c>
      <c r="R581" s="70"/>
      <c r="S581" s="70" t="s">
        <v>1794</v>
      </c>
      <c r="T581" s="70"/>
      <c r="U581" s="70" t="s">
        <v>4535</v>
      </c>
      <c r="V581" s="70"/>
    </row>
    <row r="582" spans="1:22" ht="15.75" customHeight="1">
      <c r="A582" s="66">
        <v>40675</v>
      </c>
      <c r="B582" s="67">
        <f t="shared" ca="1" si="4"/>
        <v>15.070147068112629</v>
      </c>
      <c r="C582" s="68" t="str">
        <f t="shared" ca="1" si="5"/>
        <v>15 years, 0 months</v>
      </c>
      <c r="D582" s="69">
        <v>9449308152</v>
      </c>
      <c r="E582" s="69">
        <v>20110512</v>
      </c>
      <c r="F582" s="70"/>
      <c r="G582" s="70" t="s">
        <v>4536</v>
      </c>
      <c r="H582" s="70" t="s">
        <v>4537</v>
      </c>
      <c r="I582" s="70" t="s">
        <v>4538</v>
      </c>
      <c r="J582" s="70" t="s">
        <v>1422</v>
      </c>
      <c r="K582" s="70" t="s">
        <v>1285</v>
      </c>
      <c r="L582" s="70"/>
      <c r="M582" s="70" t="s">
        <v>4539</v>
      </c>
      <c r="N582" s="70"/>
      <c r="O582" s="70" t="s">
        <v>2132</v>
      </c>
      <c r="P582" s="70" t="s">
        <v>1793</v>
      </c>
      <c r="Q582" s="69">
        <v>7397248</v>
      </c>
      <c r="R582" s="70"/>
      <c r="S582" s="70" t="s">
        <v>1794</v>
      </c>
      <c r="T582" s="70"/>
      <c r="U582" s="70" t="s">
        <v>4540</v>
      </c>
      <c r="V582" s="70"/>
    </row>
    <row r="583" spans="1:22" ht="15.75" customHeight="1">
      <c r="A583" s="66">
        <v>40675</v>
      </c>
      <c r="B583" s="67">
        <f t="shared" ca="1" si="4"/>
        <v>15.070147068112629</v>
      </c>
      <c r="C583" s="68" t="str">
        <f t="shared" ca="1" si="5"/>
        <v>15 years, 0 months</v>
      </c>
      <c r="D583" s="69">
        <v>9449308993</v>
      </c>
      <c r="E583" s="69">
        <v>20110512</v>
      </c>
      <c r="F583" s="70"/>
      <c r="G583" s="70" t="s">
        <v>2308</v>
      </c>
      <c r="H583" s="70" t="s">
        <v>4541</v>
      </c>
      <c r="I583" s="70" t="s">
        <v>4542</v>
      </c>
      <c r="J583" s="70" t="s">
        <v>1422</v>
      </c>
      <c r="K583" s="70" t="s">
        <v>1285</v>
      </c>
      <c r="L583" s="70" t="s">
        <v>4543</v>
      </c>
      <c r="M583" s="70" t="s">
        <v>4544</v>
      </c>
      <c r="N583" s="70"/>
      <c r="O583" s="70" t="s">
        <v>1862</v>
      </c>
      <c r="P583" s="70"/>
      <c r="Q583" s="69">
        <v>29497563</v>
      </c>
      <c r="R583" s="70"/>
      <c r="S583" s="70" t="s">
        <v>1794</v>
      </c>
      <c r="T583" s="70"/>
      <c r="U583" s="70" t="s">
        <v>4545</v>
      </c>
      <c r="V583" s="70"/>
    </row>
    <row r="584" spans="1:22" ht="15.75" customHeight="1">
      <c r="A584" s="66">
        <v>40675</v>
      </c>
      <c r="B584" s="67">
        <f t="shared" ca="1" si="4"/>
        <v>15.070147068112629</v>
      </c>
      <c r="C584" s="68" t="str">
        <f t="shared" ca="1" si="5"/>
        <v>15 years, 0 months</v>
      </c>
      <c r="D584" s="69">
        <v>9449303622</v>
      </c>
      <c r="E584" s="69">
        <v>20110512</v>
      </c>
      <c r="F584" s="70"/>
      <c r="G584" s="70" t="s">
        <v>4546</v>
      </c>
      <c r="H584" s="70"/>
      <c r="I584" s="70" t="s">
        <v>4547</v>
      </c>
      <c r="J584" s="70" t="s">
        <v>1391</v>
      </c>
      <c r="K584" s="70" t="s">
        <v>1932</v>
      </c>
      <c r="L584" s="70"/>
      <c r="M584" s="70" t="s">
        <v>4548</v>
      </c>
      <c r="N584" s="70" t="s">
        <v>1818</v>
      </c>
      <c r="O584" s="70" t="s">
        <v>1819</v>
      </c>
      <c r="P584" s="70" t="s">
        <v>1793</v>
      </c>
      <c r="Q584" s="69">
        <v>17335865</v>
      </c>
      <c r="R584" s="70"/>
      <c r="S584" s="70" t="s">
        <v>1794</v>
      </c>
      <c r="T584" s="70"/>
      <c r="U584" s="70" t="s">
        <v>4549</v>
      </c>
      <c r="V584" s="70"/>
    </row>
    <row r="585" spans="1:22" ht="15.75" customHeight="1">
      <c r="A585" s="66">
        <v>40675</v>
      </c>
      <c r="B585" s="67">
        <f t="shared" ca="1" si="4"/>
        <v>15.070147068112629</v>
      </c>
      <c r="C585" s="68" t="str">
        <f t="shared" ca="1" si="5"/>
        <v>15 years, 0 months</v>
      </c>
      <c r="D585" s="69">
        <v>9449308209</v>
      </c>
      <c r="E585" s="69">
        <v>20110512</v>
      </c>
      <c r="F585" s="70"/>
      <c r="G585" s="70" t="s">
        <v>4550</v>
      </c>
      <c r="H585" s="70" t="s">
        <v>4551</v>
      </c>
      <c r="I585" s="70" t="s">
        <v>4552</v>
      </c>
      <c r="J585" s="70" t="s">
        <v>1422</v>
      </c>
      <c r="K585" s="70" t="s">
        <v>1285</v>
      </c>
      <c r="L585" s="70"/>
      <c r="M585" s="70" t="s">
        <v>4553</v>
      </c>
      <c r="N585" s="70"/>
      <c r="O585" s="70" t="s">
        <v>2132</v>
      </c>
      <c r="P585" s="70" t="s">
        <v>1793</v>
      </c>
      <c r="Q585" s="69">
        <v>7397807</v>
      </c>
      <c r="R585" s="70"/>
      <c r="S585" s="70" t="s">
        <v>1794</v>
      </c>
      <c r="T585" s="70"/>
      <c r="U585" s="70" t="s">
        <v>4554</v>
      </c>
      <c r="V585" s="70"/>
    </row>
    <row r="586" spans="1:22" ht="15.75" customHeight="1">
      <c r="A586" s="66">
        <v>40676</v>
      </c>
      <c r="B586" s="67">
        <f t="shared" ca="1" si="4"/>
        <v>15.067407342085231</v>
      </c>
      <c r="C586" s="68" t="str">
        <f t="shared" ca="1" si="5"/>
        <v>15 years, 0 months</v>
      </c>
      <c r="D586" s="69">
        <v>9449305617</v>
      </c>
      <c r="E586" s="69">
        <v>20110513</v>
      </c>
      <c r="F586" s="70"/>
      <c r="G586" s="70" t="s">
        <v>3076</v>
      </c>
      <c r="H586" s="70" t="s">
        <v>4555</v>
      </c>
      <c r="I586" s="70" t="s">
        <v>4556</v>
      </c>
      <c r="J586" s="70" t="s">
        <v>1422</v>
      </c>
      <c r="K586" s="70" t="s">
        <v>1285</v>
      </c>
      <c r="L586" s="70"/>
      <c r="M586" s="70" t="s">
        <v>4557</v>
      </c>
      <c r="N586" s="70"/>
      <c r="O586" s="70" t="s">
        <v>1800</v>
      </c>
      <c r="P586" s="70"/>
      <c r="Q586" s="69">
        <v>32600230</v>
      </c>
      <c r="R586" s="70"/>
      <c r="S586" s="70" t="s">
        <v>1794</v>
      </c>
      <c r="T586" s="70"/>
      <c r="U586" s="70" t="s">
        <v>4558</v>
      </c>
      <c r="V586" s="70"/>
    </row>
    <row r="587" spans="1:22" ht="15.75" customHeight="1">
      <c r="A587" s="66">
        <v>40676</v>
      </c>
      <c r="B587" s="67">
        <f t="shared" ca="1" si="4"/>
        <v>15.067407342085231</v>
      </c>
      <c r="C587" s="68" t="str">
        <f t="shared" ca="1" si="5"/>
        <v>15 years, 0 months</v>
      </c>
      <c r="D587" s="69">
        <v>9449304432</v>
      </c>
      <c r="E587" s="69">
        <v>20110513</v>
      </c>
      <c r="F587" s="70"/>
      <c r="G587" s="70" t="s">
        <v>4559</v>
      </c>
      <c r="H587" s="70" t="s">
        <v>4560</v>
      </c>
      <c r="I587" s="70" t="s">
        <v>4561</v>
      </c>
      <c r="J587" s="70" t="s">
        <v>1422</v>
      </c>
      <c r="K587" s="70" t="s">
        <v>1285</v>
      </c>
      <c r="L587" s="70"/>
      <c r="M587" s="70" t="s">
        <v>4562</v>
      </c>
      <c r="N587" s="70"/>
      <c r="O587" s="70" t="s">
        <v>1800</v>
      </c>
      <c r="P587" s="70" t="s">
        <v>1793</v>
      </c>
      <c r="Q587" s="69">
        <v>7328392</v>
      </c>
      <c r="R587" s="70"/>
      <c r="S587" s="70" t="s">
        <v>1794</v>
      </c>
      <c r="T587" s="70"/>
      <c r="U587" s="70" t="s">
        <v>4563</v>
      </c>
      <c r="V587" s="70"/>
    </row>
    <row r="588" spans="1:22" ht="15.75" customHeight="1">
      <c r="A588" s="66">
        <v>40677</v>
      </c>
      <c r="B588" s="67">
        <f t="shared" ca="1" si="4"/>
        <v>15.064667616057834</v>
      </c>
      <c r="C588" s="68" t="str">
        <f t="shared" ca="1" si="5"/>
        <v>15 years, 0 months</v>
      </c>
      <c r="D588" s="69">
        <v>9449308055</v>
      </c>
      <c r="E588" s="69">
        <v>20110514</v>
      </c>
      <c r="F588" s="70"/>
      <c r="G588" s="70" t="s">
        <v>4357</v>
      </c>
      <c r="H588" s="70" t="s">
        <v>4564</v>
      </c>
      <c r="I588" s="70" t="s">
        <v>4565</v>
      </c>
      <c r="J588" s="70" t="s">
        <v>1422</v>
      </c>
      <c r="K588" s="70" t="s">
        <v>1932</v>
      </c>
      <c r="L588" s="70"/>
      <c r="M588" s="70" t="s">
        <v>4566</v>
      </c>
      <c r="N588" s="70"/>
      <c r="O588" s="70" t="s">
        <v>2132</v>
      </c>
      <c r="P588" s="70" t="s">
        <v>1793</v>
      </c>
      <c r="Q588" s="69">
        <v>7396161</v>
      </c>
      <c r="R588" s="70"/>
      <c r="S588" s="70" t="s">
        <v>1794</v>
      </c>
      <c r="T588" s="70"/>
      <c r="U588" s="70" t="s">
        <v>4567</v>
      </c>
      <c r="V588" s="70"/>
    </row>
    <row r="589" spans="1:22" ht="15.75" customHeight="1">
      <c r="A589" s="66">
        <v>40678</v>
      </c>
      <c r="B589" s="67">
        <f t="shared" ca="1" si="4"/>
        <v>15.061927890030436</v>
      </c>
      <c r="C589" s="68" t="str">
        <f t="shared" ca="1" si="5"/>
        <v>15 years, 0 months</v>
      </c>
      <c r="D589" s="69">
        <v>9449306982</v>
      </c>
      <c r="E589" s="69">
        <v>20110515</v>
      </c>
      <c r="F589" s="70"/>
      <c r="G589" s="70" t="s">
        <v>4568</v>
      </c>
      <c r="H589" s="70"/>
      <c r="I589" s="70" t="s">
        <v>4569</v>
      </c>
      <c r="J589" s="70" t="s">
        <v>1391</v>
      </c>
      <c r="K589" s="70" t="s">
        <v>1263</v>
      </c>
      <c r="L589" s="70" t="s">
        <v>4570</v>
      </c>
      <c r="M589" s="70" t="s">
        <v>4571</v>
      </c>
      <c r="N589" s="70" t="s">
        <v>1806</v>
      </c>
      <c r="O589" s="70" t="s">
        <v>1807</v>
      </c>
      <c r="P589" s="70" t="s">
        <v>1793</v>
      </c>
      <c r="Q589" s="69">
        <v>24460470</v>
      </c>
      <c r="R589" s="70"/>
      <c r="S589" s="70" t="s">
        <v>1794</v>
      </c>
      <c r="T589" s="70"/>
      <c r="U589" s="70" t="s">
        <v>4572</v>
      </c>
      <c r="V589" s="70"/>
    </row>
    <row r="590" spans="1:22" ht="15.75" customHeight="1">
      <c r="A590" s="66">
        <v>40680</v>
      </c>
      <c r="B590" s="67">
        <f t="shared" ca="1" si="4"/>
        <v>15.056448437975643</v>
      </c>
      <c r="C590" s="68" t="str">
        <f t="shared" ca="1" si="5"/>
        <v>15 years, 0 months</v>
      </c>
      <c r="D590" s="69">
        <v>9449306494</v>
      </c>
      <c r="E590" s="69">
        <v>20110517</v>
      </c>
      <c r="F590" s="70"/>
      <c r="G590" s="70" t="s">
        <v>4573</v>
      </c>
      <c r="H590" s="70" t="s">
        <v>4574</v>
      </c>
      <c r="I590" s="70" t="s">
        <v>4575</v>
      </c>
      <c r="J590" s="70" t="s">
        <v>1422</v>
      </c>
      <c r="K590" s="70" t="s">
        <v>1285</v>
      </c>
      <c r="L590" s="70" t="s">
        <v>4576</v>
      </c>
      <c r="M590" s="70" t="s">
        <v>4577</v>
      </c>
      <c r="N590" s="70"/>
      <c r="O590" s="70" t="s">
        <v>1906</v>
      </c>
      <c r="P590" s="70" t="s">
        <v>1793</v>
      </c>
      <c r="Q590" s="69">
        <v>20170311</v>
      </c>
      <c r="R590" s="70"/>
      <c r="S590" s="70" t="s">
        <v>1794</v>
      </c>
      <c r="T590" s="70"/>
      <c r="U590" s="70" t="s">
        <v>4578</v>
      </c>
      <c r="V590" s="70"/>
    </row>
    <row r="591" spans="1:22" ht="15.75" customHeight="1">
      <c r="A591" s="66">
        <v>40680</v>
      </c>
      <c r="B591" s="67">
        <f t="shared" ca="1" si="4"/>
        <v>15.056448437975643</v>
      </c>
      <c r="C591" s="68" t="str">
        <f t="shared" ca="1" si="5"/>
        <v>15 years, 0 months</v>
      </c>
      <c r="D591" s="69">
        <v>9449307652</v>
      </c>
      <c r="E591" s="69">
        <v>20110517</v>
      </c>
      <c r="F591" s="70"/>
      <c r="G591" s="70" t="s">
        <v>4579</v>
      </c>
      <c r="H591" s="70"/>
      <c r="I591" s="70" t="s">
        <v>4580</v>
      </c>
      <c r="J591" s="70" t="s">
        <v>1391</v>
      </c>
      <c r="K591" s="70" t="s">
        <v>1263</v>
      </c>
      <c r="L591" s="70"/>
      <c r="M591" s="70" t="s">
        <v>4581</v>
      </c>
      <c r="N591" s="70" t="s">
        <v>1973</v>
      </c>
      <c r="O591" s="70" t="s">
        <v>1807</v>
      </c>
      <c r="P591" s="70" t="s">
        <v>1793</v>
      </c>
      <c r="Q591" s="69">
        <v>7364378</v>
      </c>
      <c r="R591" s="70"/>
      <c r="S591" s="70" t="s">
        <v>1794</v>
      </c>
      <c r="T591" s="70"/>
      <c r="U591" s="70" t="s">
        <v>4582</v>
      </c>
      <c r="V591" s="70"/>
    </row>
    <row r="592" spans="1:22" ht="15.75" customHeight="1">
      <c r="A592" s="66">
        <v>40682</v>
      </c>
      <c r="B592" s="67">
        <f t="shared" ca="1" si="4"/>
        <v>15.050968985920848</v>
      </c>
      <c r="C592" s="68" t="str">
        <f t="shared" ca="1" si="5"/>
        <v>15 years, 0 months</v>
      </c>
      <c r="D592" s="69">
        <v>9449309175</v>
      </c>
      <c r="E592" s="69">
        <v>20110519</v>
      </c>
      <c r="F592" s="70"/>
      <c r="G592" s="70" t="s">
        <v>4583</v>
      </c>
      <c r="H592" s="70" t="s">
        <v>4584</v>
      </c>
      <c r="I592" s="70" t="s">
        <v>4585</v>
      </c>
      <c r="J592" s="70" t="s">
        <v>1314</v>
      </c>
      <c r="K592" s="70" t="s">
        <v>1263</v>
      </c>
      <c r="L592" s="70"/>
      <c r="M592" s="70" t="s">
        <v>4586</v>
      </c>
      <c r="N592" s="70" t="s">
        <v>1861</v>
      </c>
      <c r="O592" s="70" t="s">
        <v>1862</v>
      </c>
      <c r="P592" s="70" t="s">
        <v>1793</v>
      </c>
      <c r="Q592" s="69">
        <v>22565966</v>
      </c>
      <c r="R592" s="70"/>
      <c r="S592" s="70" t="s">
        <v>1794</v>
      </c>
      <c r="T592" s="70"/>
      <c r="U592" s="70" t="s">
        <v>4587</v>
      </c>
      <c r="V592" s="70"/>
    </row>
    <row r="593" spans="1:22" ht="15.75" customHeight="1">
      <c r="A593" s="66">
        <v>40682</v>
      </c>
      <c r="B593" s="67">
        <f t="shared" ca="1" si="4"/>
        <v>15.050968985920848</v>
      </c>
      <c r="C593" s="68" t="str">
        <f t="shared" ca="1" si="5"/>
        <v>15 years, 0 months</v>
      </c>
      <c r="D593" s="69">
        <v>9449309728</v>
      </c>
      <c r="E593" s="69">
        <v>20110519</v>
      </c>
      <c r="F593" s="70"/>
      <c r="G593" s="70" t="s">
        <v>2144</v>
      </c>
      <c r="H593" s="70" t="s">
        <v>2897</v>
      </c>
      <c r="I593" s="70" t="s">
        <v>4588</v>
      </c>
      <c r="J593" s="70" t="s">
        <v>1422</v>
      </c>
      <c r="K593" s="70" t="s">
        <v>1285</v>
      </c>
      <c r="L593" s="70"/>
      <c r="M593" s="70" t="s">
        <v>4589</v>
      </c>
      <c r="N593" s="70"/>
      <c r="O593" s="70" t="s">
        <v>1886</v>
      </c>
      <c r="P593" s="70" t="s">
        <v>1793</v>
      </c>
      <c r="Q593" s="69">
        <v>9721154</v>
      </c>
      <c r="R593" s="70"/>
      <c r="S593" s="70" t="s">
        <v>1794</v>
      </c>
      <c r="T593" s="70"/>
      <c r="U593" s="70" t="s">
        <v>4590</v>
      </c>
      <c r="V593" s="70"/>
    </row>
    <row r="594" spans="1:22" ht="15.75" customHeight="1">
      <c r="A594" s="66">
        <v>40683</v>
      </c>
      <c r="B594" s="67">
        <f t="shared" ca="1" si="4"/>
        <v>15.04822925989345</v>
      </c>
      <c r="C594" s="68" t="str">
        <f t="shared" ca="1" si="5"/>
        <v>15 years, 0 months</v>
      </c>
      <c r="D594" s="69">
        <v>9449308578</v>
      </c>
      <c r="E594" s="69">
        <v>20110520</v>
      </c>
      <c r="F594" s="70"/>
      <c r="G594" s="70" t="s">
        <v>4591</v>
      </c>
      <c r="H594" s="70"/>
      <c r="I594" s="70" t="s">
        <v>4592</v>
      </c>
      <c r="J594" s="70" t="s">
        <v>1422</v>
      </c>
      <c r="K594" s="70" t="s">
        <v>1285</v>
      </c>
      <c r="L594" s="70"/>
      <c r="M594" s="70" t="s">
        <v>4593</v>
      </c>
      <c r="N594" s="70"/>
      <c r="O594" s="70" t="s">
        <v>2678</v>
      </c>
      <c r="P594" s="70"/>
      <c r="Q594" s="69">
        <v>31655107</v>
      </c>
      <c r="R594" s="70"/>
      <c r="S594" s="70" t="s">
        <v>1794</v>
      </c>
      <c r="T594" s="70"/>
      <c r="U594" s="70" t="s">
        <v>4594</v>
      </c>
      <c r="V594" s="70"/>
    </row>
    <row r="595" spans="1:22" ht="15.75" customHeight="1">
      <c r="A595" s="66">
        <v>40686</v>
      </c>
      <c r="B595" s="67">
        <f t="shared" ca="1" si="4"/>
        <v>15.040010081811259</v>
      </c>
      <c r="C595" s="68" t="str">
        <f t="shared" ca="1" si="5"/>
        <v>15 years, 0 months</v>
      </c>
      <c r="D595" s="69">
        <v>9449308691</v>
      </c>
      <c r="E595" s="69">
        <v>20110523</v>
      </c>
      <c r="F595" s="70"/>
      <c r="G595" s="70" t="s">
        <v>2517</v>
      </c>
      <c r="H595" s="70" t="s">
        <v>4595</v>
      </c>
      <c r="I595" s="70" t="s">
        <v>4596</v>
      </c>
      <c r="J595" s="70" t="s">
        <v>1391</v>
      </c>
      <c r="K595" s="70" t="s">
        <v>2016</v>
      </c>
      <c r="L595" s="70"/>
      <c r="M595" s="70" t="s">
        <v>4597</v>
      </c>
      <c r="N595" s="70" t="s">
        <v>2677</v>
      </c>
      <c r="O595" s="70" t="s">
        <v>2678</v>
      </c>
      <c r="P595" s="70" t="s">
        <v>1793</v>
      </c>
      <c r="Q595" s="69">
        <v>18356467</v>
      </c>
      <c r="R595" s="70"/>
      <c r="S595" s="70" t="s">
        <v>1794</v>
      </c>
      <c r="T595" s="70"/>
      <c r="U595" s="70" t="s">
        <v>4598</v>
      </c>
      <c r="V595" s="70"/>
    </row>
    <row r="596" spans="1:22" ht="15.75" customHeight="1">
      <c r="A596" s="66">
        <v>40687</v>
      </c>
      <c r="B596" s="67">
        <f t="shared" ca="1" si="4"/>
        <v>15.037270355783862</v>
      </c>
      <c r="C596" s="68" t="str">
        <f t="shared" ca="1" si="5"/>
        <v>15 years, 0 months</v>
      </c>
      <c r="D596" s="69">
        <v>9449309191</v>
      </c>
      <c r="E596" s="69">
        <v>20110524</v>
      </c>
      <c r="F596" s="70"/>
      <c r="G596" s="70" t="s">
        <v>4599</v>
      </c>
      <c r="H596" s="70" t="s">
        <v>4600</v>
      </c>
      <c r="I596" s="70" t="s">
        <v>4601</v>
      </c>
      <c r="J596" s="70" t="s">
        <v>1314</v>
      </c>
      <c r="K596" s="70" t="s">
        <v>1263</v>
      </c>
      <c r="L596" s="70"/>
      <c r="M596" s="70" t="s">
        <v>4602</v>
      </c>
      <c r="N596" s="70" t="s">
        <v>2073</v>
      </c>
      <c r="O596" s="70" t="s">
        <v>1862</v>
      </c>
      <c r="P596" s="70" t="s">
        <v>1793</v>
      </c>
      <c r="Q596" s="69">
        <v>9575767</v>
      </c>
      <c r="R596" s="70"/>
      <c r="S596" s="70" t="s">
        <v>1794</v>
      </c>
      <c r="T596" s="70"/>
      <c r="U596" s="70" t="s">
        <v>4603</v>
      </c>
      <c r="V596" s="70"/>
    </row>
    <row r="597" spans="1:22" ht="15.75" customHeight="1">
      <c r="A597" s="66">
        <v>40687</v>
      </c>
      <c r="B597" s="67">
        <f t="shared" ca="1" si="4"/>
        <v>15.037270355783862</v>
      </c>
      <c r="C597" s="68" t="str">
        <f t="shared" ca="1" si="5"/>
        <v>15 years, 0 months</v>
      </c>
      <c r="D597" s="69">
        <v>9449307709</v>
      </c>
      <c r="E597" s="69">
        <v>20110524</v>
      </c>
      <c r="F597" s="70"/>
      <c r="G597" s="70" t="s">
        <v>4604</v>
      </c>
      <c r="H597" s="70" t="s">
        <v>4605</v>
      </c>
      <c r="I597" s="70" t="s">
        <v>4606</v>
      </c>
      <c r="J597" s="70" t="s">
        <v>1422</v>
      </c>
      <c r="K597" s="70" t="s">
        <v>1285</v>
      </c>
      <c r="L597" s="70"/>
      <c r="M597" s="70" t="s">
        <v>4607</v>
      </c>
      <c r="N597" s="70" t="s">
        <v>1973</v>
      </c>
      <c r="O597" s="70" t="s">
        <v>1807</v>
      </c>
      <c r="P597" s="70" t="s">
        <v>1793</v>
      </c>
      <c r="Q597" s="69">
        <v>7364740</v>
      </c>
      <c r="R597" s="70"/>
      <c r="S597" s="70" t="s">
        <v>1794</v>
      </c>
      <c r="T597" s="70"/>
      <c r="U597" s="70" t="s">
        <v>4608</v>
      </c>
      <c r="V597" s="70"/>
    </row>
    <row r="598" spans="1:22" ht="15.75" customHeight="1">
      <c r="A598" s="66">
        <v>40687</v>
      </c>
      <c r="B598" s="67">
        <f t="shared" ca="1" si="4"/>
        <v>15.037270355783862</v>
      </c>
      <c r="C598" s="68" t="str">
        <f t="shared" ca="1" si="5"/>
        <v>15 years, 0 months</v>
      </c>
      <c r="D598" s="69">
        <v>9449304408</v>
      </c>
      <c r="E598" s="69">
        <v>20110524</v>
      </c>
      <c r="F598" s="70"/>
      <c r="G598" s="70" t="s">
        <v>4609</v>
      </c>
      <c r="H598" s="70"/>
      <c r="I598" s="70" t="s">
        <v>3417</v>
      </c>
      <c r="J598" s="70" t="s">
        <v>1422</v>
      </c>
      <c r="K598" s="70" t="s">
        <v>1285</v>
      </c>
      <c r="L598" s="70"/>
      <c r="M598" s="70" t="s">
        <v>4610</v>
      </c>
      <c r="N598" s="70"/>
      <c r="O598" s="70" t="s">
        <v>1800</v>
      </c>
      <c r="P598" s="70" t="s">
        <v>1793</v>
      </c>
      <c r="Q598" s="69">
        <v>7328148</v>
      </c>
      <c r="R598" s="70"/>
      <c r="S598" s="70" t="s">
        <v>1794</v>
      </c>
      <c r="T598" s="70"/>
      <c r="U598" s="70" t="s">
        <v>4611</v>
      </c>
      <c r="V598" s="70"/>
    </row>
    <row r="599" spans="1:22" ht="15.75" customHeight="1">
      <c r="A599" s="66">
        <v>40688</v>
      </c>
      <c r="B599" s="67">
        <f t="shared" ca="1" si="4"/>
        <v>15.034530629756464</v>
      </c>
      <c r="C599" s="68" t="str">
        <f t="shared" ca="1" si="5"/>
        <v>15 years, 0 months</v>
      </c>
      <c r="D599" s="69">
        <v>9449307903</v>
      </c>
      <c r="E599" s="69">
        <v>20110525</v>
      </c>
      <c r="F599" s="70"/>
      <c r="G599" s="70" t="s">
        <v>4612</v>
      </c>
      <c r="H599" s="70" t="s">
        <v>4613</v>
      </c>
      <c r="I599" s="70" t="s">
        <v>4614</v>
      </c>
      <c r="J599" s="70" t="s">
        <v>1422</v>
      </c>
      <c r="K599" s="70" t="s">
        <v>1285</v>
      </c>
      <c r="L599" s="70"/>
      <c r="M599" s="70" t="s">
        <v>4615</v>
      </c>
      <c r="N599" s="70"/>
      <c r="O599" s="70" t="s">
        <v>1812</v>
      </c>
      <c r="P599" s="70" t="s">
        <v>1793</v>
      </c>
      <c r="Q599" s="69">
        <v>22029499</v>
      </c>
      <c r="R599" s="70"/>
      <c r="S599" s="70" t="s">
        <v>1794</v>
      </c>
      <c r="T599" s="70"/>
      <c r="U599" s="70" t="s">
        <v>4616</v>
      </c>
      <c r="V599" s="70"/>
    </row>
    <row r="600" spans="1:22" ht="15.75" customHeight="1">
      <c r="A600" s="66">
        <v>40689</v>
      </c>
      <c r="B600" s="67">
        <f t="shared" ca="1" si="4"/>
        <v>15.031790903729068</v>
      </c>
      <c r="C600" s="68" t="str">
        <f t="shared" ca="1" si="5"/>
        <v>15 years, 0 months</v>
      </c>
      <c r="D600" s="69">
        <v>9449309388</v>
      </c>
      <c r="E600" s="69">
        <v>20110526</v>
      </c>
      <c r="F600" s="70"/>
      <c r="G600" s="70" t="s">
        <v>4617</v>
      </c>
      <c r="H600" s="70" t="s">
        <v>4618</v>
      </c>
      <c r="I600" s="70" t="s">
        <v>4619</v>
      </c>
      <c r="J600" s="70" t="s">
        <v>1391</v>
      </c>
      <c r="K600" s="70" t="s">
        <v>1263</v>
      </c>
      <c r="L600" s="70" t="s">
        <v>4620</v>
      </c>
      <c r="M600" s="70" t="s">
        <v>4621</v>
      </c>
      <c r="N600" s="70" t="s">
        <v>4622</v>
      </c>
      <c r="O600" s="70" t="s">
        <v>1862</v>
      </c>
      <c r="P600" s="70" t="s">
        <v>1793</v>
      </c>
      <c r="Q600" s="69">
        <v>22557599</v>
      </c>
      <c r="R600" s="70"/>
      <c r="S600" s="70" t="s">
        <v>1794</v>
      </c>
      <c r="T600" s="70"/>
      <c r="U600" s="70" t="s">
        <v>4623</v>
      </c>
      <c r="V600" s="70"/>
    </row>
    <row r="601" spans="1:22" ht="15.75" customHeight="1">
      <c r="A601" s="66">
        <v>40689</v>
      </c>
      <c r="B601" s="67">
        <f t="shared" ca="1" si="4"/>
        <v>15.031790903729068</v>
      </c>
      <c r="C601" s="68" t="str">
        <f t="shared" ca="1" si="5"/>
        <v>15 years, 0 months</v>
      </c>
      <c r="D601" s="69">
        <v>9449305722</v>
      </c>
      <c r="E601" s="69">
        <v>20110526</v>
      </c>
      <c r="F601" s="70"/>
      <c r="G601" s="70" t="s">
        <v>3809</v>
      </c>
      <c r="H601" s="70" t="s">
        <v>4624</v>
      </c>
      <c r="I601" s="70" t="s">
        <v>4625</v>
      </c>
      <c r="J601" s="70" t="s">
        <v>1391</v>
      </c>
      <c r="K601" s="70" t="s">
        <v>1263</v>
      </c>
      <c r="L601" s="70"/>
      <c r="M601" s="70" t="s">
        <v>4626</v>
      </c>
      <c r="N601" s="70"/>
      <c r="O601" s="70" t="s">
        <v>1800</v>
      </c>
      <c r="P601" s="70" t="s">
        <v>1793</v>
      </c>
      <c r="Q601" s="69">
        <v>23862139</v>
      </c>
      <c r="R601" s="70"/>
      <c r="S601" s="70" t="s">
        <v>1794</v>
      </c>
      <c r="T601" s="70"/>
      <c r="U601" s="70" t="s">
        <v>4627</v>
      </c>
      <c r="V601" s="70"/>
    </row>
    <row r="602" spans="1:22" ht="15.75" customHeight="1">
      <c r="A602" s="66">
        <v>40691</v>
      </c>
      <c r="B602" s="67">
        <f t="shared" ca="1" si="4"/>
        <v>15.026311451674273</v>
      </c>
      <c r="C602" s="68" t="str">
        <f t="shared" ca="1" si="5"/>
        <v>15 years, 0 months</v>
      </c>
      <c r="D602" s="69">
        <v>9449307490</v>
      </c>
      <c r="E602" s="69">
        <v>20110528</v>
      </c>
      <c r="F602" s="70"/>
      <c r="G602" s="70" t="s">
        <v>4150</v>
      </c>
      <c r="H602" s="70" t="s">
        <v>4628</v>
      </c>
      <c r="I602" s="70" t="s">
        <v>4629</v>
      </c>
      <c r="J602" s="70" t="s">
        <v>1391</v>
      </c>
      <c r="K602" s="70" t="s">
        <v>1263</v>
      </c>
      <c r="L602" s="70"/>
      <c r="M602" s="70" t="s">
        <v>4630</v>
      </c>
      <c r="N602" s="70" t="s">
        <v>2055</v>
      </c>
      <c r="O602" s="70" t="s">
        <v>1807</v>
      </c>
      <c r="P602" s="70" t="s">
        <v>1793</v>
      </c>
      <c r="Q602" s="69">
        <v>7363016</v>
      </c>
      <c r="R602" s="70"/>
      <c r="S602" s="70" t="s">
        <v>1794</v>
      </c>
      <c r="T602" s="70"/>
      <c r="U602" s="70" t="s">
        <v>4631</v>
      </c>
      <c r="V602" s="70"/>
    </row>
    <row r="603" spans="1:22" ht="15.75" customHeight="1">
      <c r="A603" s="66">
        <v>40691</v>
      </c>
      <c r="B603" s="67">
        <f t="shared" ca="1" si="4"/>
        <v>15.026311451674273</v>
      </c>
      <c r="C603" s="68" t="str">
        <f t="shared" ca="1" si="5"/>
        <v>15 years, 0 months</v>
      </c>
      <c r="D603" s="69">
        <v>9449304688</v>
      </c>
      <c r="E603" s="69">
        <v>20110528</v>
      </c>
      <c r="F603" s="70"/>
      <c r="G603" s="70" t="s">
        <v>3658</v>
      </c>
      <c r="H603" s="70" t="s">
        <v>1904</v>
      </c>
      <c r="I603" s="70" t="s">
        <v>4632</v>
      </c>
      <c r="J603" s="70" t="s">
        <v>1422</v>
      </c>
      <c r="K603" s="70" t="s">
        <v>1285</v>
      </c>
      <c r="L603" s="70"/>
      <c r="M603" s="70" t="s">
        <v>4633</v>
      </c>
      <c r="N603" s="70"/>
      <c r="O603" s="70" t="s">
        <v>1800</v>
      </c>
      <c r="P603" s="70" t="s">
        <v>1793</v>
      </c>
      <c r="Q603" s="69">
        <v>7330713</v>
      </c>
      <c r="R603" s="70"/>
      <c r="S603" s="70" t="s">
        <v>1794</v>
      </c>
      <c r="T603" s="70"/>
      <c r="U603" s="70" t="s">
        <v>2137</v>
      </c>
      <c r="V603" s="70"/>
    </row>
    <row r="604" spans="1:22" ht="15.75" customHeight="1">
      <c r="A604" s="66">
        <v>40691</v>
      </c>
      <c r="B604" s="67">
        <f t="shared" ca="1" si="4"/>
        <v>15.026311451674273</v>
      </c>
      <c r="C604" s="68" t="str">
        <f t="shared" ca="1" si="5"/>
        <v>15 years, 0 months</v>
      </c>
      <c r="D604" s="69">
        <v>9449306567</v>
      </c>
      <c r="E604" s="69">
        <v>20110528</v>
      </c>
      <c r="F604" s="70"/>
      <c r="G604" s="70" t="s">
        <v>4634</v>
      </c>
      <c r="H604" s="70" t="s">
        <v>4635</v>
      </c>
      <c r="I604" s="70" t="s">
        <v>4636</v>
      </c>
      <c r="J604" s="70" t="s">
        <v>1422</v>
      </c>
      <c r="K604" s="70" t="s">
        <v>1285</v>
      </c>
      <c r="L604" s="70" t="s">
        <v>4637</v>
      </c>
      <c r="M604" s="70" t="s">
        <v>4638</v>
      </c>
      <c r="N604" s="70" t="s">
        <v>2532</v>
      </c>
      <c r="O604" s="70" t="s">
        <v>1906</v>
      </c>
      <c r="P604" s="70"/>
      <c r="Q604" s="69">
        <v>20170445</v>
      </c>
      <c r="R604" s="70"/>
      <c r="S604" s="70" t="s">
        <v>1794</v>
      </c>
      <c r="T604" s="70"/>
      <c r="U604" s="70" t="s">
        <v>4639</v>
      </c>
      <c r="V604" s="70"/>
    </row>
    <row r="605" spans="1:22" ht="15.75" customHeight="1">
      <c r="A605" s="66">
        <v>40692</v>
      </c>
      <c r="B605" s="67">
        <f t="shared" ca="1" si="4"/>
        <v>15.023571725646875</v>
      </c>
      <c r="C605" s="68" t="str">
        <f t="shared" ca="1" si="5"/>
        <v>15 years, 0 months</v>
      </c>
      <c r="D605" s="69">
        <v>9449306915</v>
      </c>
      <c r="E605" s="69">
        <v>20110529</v>
      </c>
      <c r="F605" s="70"/>
      <c r="G605" s="70" t="s">
        <v>4640</v>
      </c>
      <c r="H605" s="70" t="s">
        <v>4641</v>
      </c>
      <c r="I605" s="70" t="s">
        <v>4642</v>
      </c>
      <c r="J605" s="70" t="s">
        <v>1391</v>
      </c>
      <c r="K605" s="70" t="s">
        <v>1263</v>
      </c>
      <c r="L605" s="70" t="s">
        <v>4643</v>
      </c>
      <c r="M605" s="70" t="s">
        <v>1868</v>
      </c>
      <c r="N605" s="70" t="s">
        <v>1806</v>
      </c>
      <c r="O605" s="70" t="s">
        <v>1807</v>
      </c>
      <c r="P605" s="70"/>
      <c r="Q605" s="69">
        <v>30083953</v>
      </c>
      <c r="R605" s="70"/>
      <c r="S605" s="70" t="s">
        <v>1794</v>
      </c>
      <c r="T605" s="70"/>
      <c r="U605" s="70" t="s">
        <v>4644</v>
      </c>
      <c r="V605" s="70"/>
    </row>
    <row r="606" spans="1:22" ht="15.75" customHeight="1">
      <c r="A606" s="66">
        <v>40694</v>
      </c>
      <c r="B606" s="67">
        <f t="shared" ca="1" si="4"/>
        <v>15.01809227359208</v>
      </c>
      <c r="C606" s="68" t="str">
        <f t="shared" ca="1" si="5"/>
        <v>15 years, 0 months</v>
      </c>
      <c r="D606" s="69">
        <v>9449308403</v>
      </c>
      <c r="E606" s="69">
        <v>20110531</v>
      </c>
      <c r="F606" s="70"/>
      <c r="G606" s="70" t="s">
        <v>4645</v>
      </c>
      <c r="H606" s="70"/>
      <c r="I606" s="70" t="s">
        <v>4646</v>
      </c>
      <c r="J606" s="70" t="s">
        <v>1422</v>
      </c>
      <c r="K606" s="70" t="s">
        <v>1285</v>
      </c>
      <c r="L606" s="70"/>
      <c r="M606" s="70" t="s">
        <v>4051</v>
      </c>
      <c r="N606" s="70"/>
      <c r="O606" s="70" t="s">
        <v>2524</v>
      </c>
      <c r="P606" s="70" t="s">
        <v>1793</v>
      </c>
      <c r="Q606" s="69">
        <v>22029824</v>
      </c>
      <c r="R606" s="70"/>
      <c r="S606" s="70" t="s">
        <v>1794</v>
      </c>
      <c r="T606" s="70"/>
      <c r="U606" s="70" t="s">
        <v>4647</v>
      </c>
      <c r="V606" s="70"/>
    </row>
    <row r="607" spans="1:22" ht="15.75" customHeight="1">
      <c r="A607" s="66">
        <v>40694</v>
      </c>
      <c r="B607" s="67">
        <f t="shared" ca="1" si="4"/>
        <v>15.01809227359208</v>
      </c>
      <c r="C607" s="68" t="str">
        <f t="shared" ca="1" si="5"/>
        <v>15 years, 0 months</v>
      </c>
      <c r="D607" s="69">
        <v>9449303878</v>
      </c>
      <c r="E607" s="69">
        <v>20110531</v>
      </c>
      <c r="F607" s="70"/>
      <c r="G607" s="70" t="s">
        <v>4122</v>
      </c>
      <c r="H607" s="70" t="s">
        <v>4648</v>
      </c>
      <c r="I607" s="70" t="s">
        <v>4649</v>
      </c>
      <c r="J607" s="70" t="s">
        <v>1422</v>
      </c>
      <c r="K607" s="70" t="s">
        <v>1285</v>
      </c>
      <c r="L607" s="70" t="s">
        <v>4650</v>
      </c>
      <c r="M607" s="70" t="s">
        <v>4651</v>
      </c>
      <c r="N607" s="70"/>
      <c r="O607" s="70" t="s">
        <v>1819</v>
      </c>
      <c r="P607" s="70"/>
      <c r="Q607" s="69">
        <v>20166785</v>
      </c>
      <c r="R607" s="70"/>
      <c r="S607" s="70" t="s">
        <v>1794</v>
      </c>
      <c r="T607" s="70"/>
      <c r="U607" s="70" t="s">
        <v>4652</v>
      </c>
      <c r="V607" s="70"/>
    </row>
    <row r="608" spans="1:22" ht="15.75" customHeight="1">
      <c r="A608" s="66">
        <v>40694</v>
      </c>
      <c r="B608" s="67">
        <f t="shared" ca="1" si="4"/>
        <v>15.01809227359208</v>
      </c>
      <c r="C608" s="68" t="str">
        <f t="shared" ca="1" si="5"/>
        <v>15 years, 0 months</v>
      </c>
      <c r="D608" s="69">
        <v>9449305218</v>
      </c>
      <c r="E608" s="69">
        <v>20110531</v>
      </c>
      <c r="F608" s="70"/>
      <c r="G608" s="70" t="s">
        <v>4245</v>
      </c>
      <c r="H608" s="70" t="s">
        <v>3929</v>
      </c>
      <c r="I608" s="70" t="s">
        <v>4653</v>
      </c>
      <c r="J608" s="70" t="s">
        <v>1314</v>
      </c>
      <c r="K608" s="70" t="s">
        <v>1263</v>
      </c>
      <c r="L608" s="70"/>
      <c r="M608" s="70" t="s">
        <v>4654</v>
      </c>
      <c r="N608" s="70"/>
      <c r="O608" s="70" t="s">
        <v>1800</v>
      </c>
      <c r="P608" s="70" t="s">
        <v>1793</v>
      </c>
      <c r="Q608" s="69">
        <v>7335005</v>
      </c>
      <c r="R608" s="70"/>
      <c r="S608" s="70" t="s">
        <v>1794</v>
      </c>
      <c r="T608" s="70"/>
      <c r="U608" s="70" t="s">
        <v>4655</v>
      </c>
      <c r="V608" s="70"/>
    </row>
    <row r="609" spans="1:22" ht="15.75" customHeight="1">
      <c r="A609" s="66">
        <v>40694</v>
      </c>
      <c r="B609" s="67">
        <f t="shared" ca="1" si="4"/>
        <v>15.01809227359208</v>
      </c>
      <c r="C609" s="68" t="str">
        <f t="shared" ca="1" si="5"/>
        <v>15 years, 0 months</v>
      </c>
      <c r="D609" s="69">
        <v>9449305714</v>
      </c>
      <c r="E609" s="69">
        <v>20110531</v>
      </c>
      <c r="F609" s="70"/>
      <c r="G609" s="70" t="s">
        <v>4656</v>
      </c>
      <c r="H609" s="70" t="s">
        <v>4657</v>
      </c>
      <c r="I609" s="70" t="s">
        <v>4658</v>
      </c>
      <c r="J609" s="70" t="s">
        <v>1314</v>
      </c>
      <c r="K609" s="70" t="s">
        <v>1263</v>
      </c>
      <c r="L609" s="70"/>
      <c r="M609" s="70" t="s">
        <v>4659</v>
      </c>
      <c r="N609" s="70"/>
      <c r="O609" s="70" t="s">
        <v>1800</v>
      </c>
      <c r="P609" s="70" t="s">
        <v>1793</v>
      </c>
      <c r="Q609" s="69">
        <v>17352966</v>
      </c>
      <c r="R609" s="70"/>
      <c r="S609" s="70" t="s">
        <v>1794</v>
      </c>
      <c r="T609" s="70"/>
      <c r="U609" s="70" t="s">
        <v>4292</v>
      </c>
      <c r="V609" s="70"/>
    </row>
    <row r="610" spans="1:22" ht="15.75" customHeight="1">
      <c r="A610" s="66">
        <v>40694</v>
      </c>
      <c r="B610" s="67">
        <f t="shared" ca="1" si="4"/>
        <v>15.01809227359208</v>
      </c>
      <c r="C610" s="68" t="str">
        <f t="shared" ca="1" si="5"/>
        <v>15 years, 0 months</v>
      </c>
      <c r="D610" s="69">
        <v>9449307695</v>
      </c>
      <c r="E610" s="69">
        <v>20110531</v>
      </c>
      <c r="F610" s="70"/>
      <c r="G610" s="70" t="s">
        <v>4660</v>
      </c>
      <c r="H610" s="70" t="s">
        <v>4661</v>
      </c>
      <c r="I610" s="70" t="s">
        <v>4662</v>
      </c>
      <c r="J610" s="70" t="s">
        <v>1422</v>
      </c>
      <c r="K610" s="70" t="s">
        <v>1285</v>
      </c>
      <c r="L610" s="70"/>
      <c r="M610" s="70" t="s">
        <v>4663</v>
      </c>
      <c r="N610" s="70" t="s">
        <v>1973</v>
      </c>
      <c r="O610" s="70" t="s">
        <v>1807</v>
      </c>
      <c r="P610" s="70" t="s">
        <v>1793</v>
      </c>
      <c r="Q610" s="69">
        <v>7364697</v>
      </c>
      <c r="R610" s="70"/>
      <c r="S610" s="70" t="s">
        <v>1794</v>
      </c>
      <c r="T610" s="70"/>
      <c r="U610" s="70" t="s">
        <v>4664</v>
      </c>
      <c r="V610" s="70"/>
    </row>
    <row r="611" spans="1:22" ht="15.75" customHeight="1">
      <c r="A611" s="66">
        <v>40694</v>
      </c>
      <c r="B611" s="67">
        <f t="shared" ca="1" si="4"/>
        <v>15.01809227359208</v>
      </c>
      <c r="C611" s="68" t="str">
        <f t="shared" ca="1" si="5"/>
        <v>15 years, 0 months</v>
      </c>
      <c r="D611" s="69">
        <v>9449308063</v>
      </c>
      <c r="E611" s="69">
        <v>20110531</v>
      </c>
      <c r="F611" s="70"/>
      <c r="G611" s="70" t="s">
        <v>3701</v>
      </c>
      <c r="H611" s="70"/>
      <c r="I611" s="70" t="s">
        <v>4665</v>
      </c>
      <c r="J611" s="70" t="s">
        <v>1422</v>
      </c>
      <c r="K611" s="70" t="s">
        <v>1285</v>
      </c>
      <c r="L611" s="70" t="s">
        <v>4666</v>
      </c>
      <c r="M611" s="70" t="s">
        <v>4667</v>
      </c>
      <c r="N611" s="70"/>
      <c r="O611" s="70" t="s">
        <v>2132</v>
      </c>
      <c r="P611" s="70" t="s">
        <v>1793</v>
      </c>
      <c r="Q611" s="69">
        <v>17376496</v>
      </c>
      <c r="R611" s="70"/>
      <c r="S611" s="70" t="s">
        <v>1794</v>
      </c>
      <c r="T611" s="70"/>
      <c r="U611" s="70" t="s">
        <v>4668</v>
      </c>
      <c r="V611" s="70"/>
    </row>
    <row r="612" spans="1:22" ht="15.75" customHeight="1">
      <c r="A612" s="66">
        <v>40694</v>
      </c>
      <c r="B612" s="67">
        <f t="shared" ca="1" si="4"/>
        <v>15.01809227359208</v>
      </c>
      <c r="C612" s="68" t="str">
        <f t="shared" ca="1" si="5"/>
        <v>15 years, 0 months</v>
      </c>
      <c r="D612" s="69">
        <v>9449309949</v>
      </c>
      <c r="E612" s="69">
        <v>20110531</v>
      </c>
      <c r="F612" s="70"/>
      <c r="G612" s="70" t="s">
        <v>4573</v>
      </c>
      <c r="H612" s="70" t="s">
        <v>3871</v>
      </c>
      <c r="I612" s="70" t="s">
        <v>4669</v>
      </c>
      <c r="J612" s="70" t="s">
        <v>1422</v>
      </c>
      <c r="K612" s="70" t="s">
        <v>1285</v>
      </c>
      <c r="L612" s="70" t="s">
        <v>4670</v>
      </c>
      <c r="M612" s="70" t="s">
        <v>2362</v>
      </c>
      <c r="N612" s="70"/>
      <c r="O612" s="70" t="s">
        <v>1886</v>
      </c>
      <c r="P612" s="70"/>
      <c r="Q612" s="69">
        <v>18811513</v>
      </c>
      <c r="R612" s="70"/>
      <c r="S612" s="70" t="s">
        <v>1794</v>
      </c>
      <c r="T612" s="70"/>
      <c r="U612" s="70" t="s">
        <v>4671</v>
      </c>
      <c r="V612" s="70"/>
    </row>
    <row r="613" spans="1:22" ht="15.75" customHeight="1">
      <c r="A613" s="66">
        <v>40694</v>
      </c>
      <c r="B613" s="67">
        <f t="shared" ca="1" si="4"/>
        <v>15.01809227359208</v>
      </c>
      <c r="C613" s="68" t="str">
        <f t="shared" ca="1" si="5"/>
        <v>15 years, 0 months</v>
      </c>
      <c r="D613" s="69">
        <v>9449309698</v>
      </c>
      <c r="E613" s="69">
        <v>20110531</v>
      </c>
      <c r="F613" s="70"/>
      <c r="G613" s="70" t="s">
        <v>4672</v>
      </c>
      <c r="H613" s="70"/>
      <c r="I613" s="70" t="s">
        <v>4673</v>
      </c>
      <c r="J613" s="70" t="s">
        <v>1422</v>
      </c>
      <c r="K613" s="70" t="s">
        <v>1285</v>
      </c>
      <c r="L613" s="70"/>
      <c r="M613" s="70" t="s">
        <v>4674</v>
      </c>
      <c r="N613" s="70"/>
      <c r="O613" s="70" t="s">
        <v>1886</v>
      </c>
      <c r="P613" s="70" t="s">
        <v>1793</v>
      </c>
      <c r="Q613" s="69">
        <v>9720506</v>
      </c>
      <c r="R613" s="70"/>
      <c r="S613" s="70" t="s">
        <v>1794</v>
      </c>
      <c r="T613" s="70"/>
      <c r="U613" s="70" t="s">
        <v>4675</v>
      </c>
      <c r="V613" s="70"/>
    </row>
    <row r="614" spans="1:22" ht="15.75" customHeight="1">
      <c r="A614" s="66">
        <v>40695</v>
      </c>
      <c r="B614" s="67">
        <f t="shared" ca="1" si="4"/>
        <v>15.015352547564683</v>
      </c>
      <c r="C614" s="68" t="str">
        <f t="shared" ca="1" si="5"/>
        <v>15 years, 0 months</v>
      </c>
      <c r="D614" s="69">
        <v>9449307806</v>
      </c>
      <c r="E614" s="69">
        <v>20110601</v>
      </c>
      <c r="F614" s="70"/>
      <c r="G614" s="70" t="s">
        <v>4676</v>
      </c>
      <c r="H614" s="70"/>
      <c r="I614" s="70" t="s">
        <v>4677</v>
      </c>
      <c r="J614" s="70" t="s">
        <v>1391</v>
      </c>
      <c r="K614" s="70" t="s">
        <v>1263</v>
      </c>
      <c r="L614" s="70"/>
      <c r="M614" s="70" t="s">
        <v>4678</v>
      </c>
      <c r="N614" s="70" t="s">
        <v>1973</v>
      </c>
      <c r="O614" s="70" t="s">
        <v>1807</v>
      </c>
      <c r="P614" s="70" t="s">
        <v>1793</v>
      </c>
      <c r="Q614" s="69">
        <v>7365879</v>
      </c>
      <c r="R614" s="70"/>
      <c r="S614" s="70" t="s">
        <v>1794</v>
      </c>
      <c r="T614" s="70"/>
      <c r="U614" s="70" t="s">
        <v>4679</v>
      </c>
      <c r="V614" s="70"/>
    </row>
    <row r="615" spans="1:22" ht="15.75" customHeight="1">
      <c r="A615" s="66">
        <v>40695</v>
      </c>
      <c r="B615" s="67">
        <f t="shared" ca="1" si="4"/>
        <v>15.015352547564683</v>
      </c>
      <c r="C615" s="68" t="str">
        <f t="shared" ca="1" si="5"/>
        <v>15 years, 0 months</v>
      </c>
      <c r="D615" s="69">
        <v>9449308861</v>
      </c>
      <c r="E615" s="69">
        <v>20110601</v>
      </c>
      <c r="F615" s="70"/>
      <c r="G615" s="70" t="s">
        <v>4680</v>
      </c>
      <c r="H615" s="70" t="s">
        <v>4681</v>
      </c>
      <c r="I615" s="70" t="s">
        <v>4682</v>
      </c>
      <c r="J615" s="70" t="s">
        <v>1391</v>
      </c>
      <c r="K615" s="70" t="s">
        <v>1263</v>
      </c>
      <c r="L615" s="70"/>
      <c r="M615" s="70" t="s">
        <v>4683</v>
      </c>
      <c r="N615" s="70"/>
      <c r="O615" s="70" t="s">
        <v>1862</v>
      </c>
      <c r="P615" s="70"/>
      <c r="Q615" s="69">
        <v>9572246</v>
      </c>
      <c r="R615" s="70"/>
      <c r="S615" s="70" t="s">
        <v>1794</v>
      </c>
      <c r="T615" s="70"/>
      <c r="U615" s="70" t="s">
        <v>4684</v>
      </c>
      <c r="V615" s="70"/>
    </row>
    <row r="616" spans="1:22" ht="15.75" customHeight="1">
      <c r="A616" s="66">
        <v>40695</v>
      </c>
      <c r="B616" s="67">
        <f t="shared" ca="1" si="4"/>
        <v>15.015352547564683</v>
      </c>
      <c r="C616" s="68" t="str">
        <f t="shared" ca="1" si="5"/>
        <v>15 years, 0 months</v>
      </c>
      <c r="D616" s="69">
        <v>9449305781</v>
      </c>
      <c r="E616" s="69">
        <v>20110601</v>
      </c>
      <c r="F616" s="70"/>
      <c r="G616" s="70" t="s">
        <v>4685</v>
      </c>
      <c r="H616" s="70" t="s">
        <v>4686</v>
      </c>
      <c r="I616" s="70" t="s">
        <v>4687</v>
      </c>
      <c r="J616" s="70" t="s">
        <v>1391</v>
      </c>
      <c r="K616" s="70" t="s">
        <v>1263</v>
      </c>
      <c r="L616" s="70"/>
      <c r="M616" s="70" t="s">
        <v>4688</v>
      </c>
      <c r="N616" s="70"/>
      <c r="O616" s="70" t="s">
        <v>1800</v>
      </c>
      <c r="P616" s="70" t="s">
        <v>1793</v>
      </c>
      <c r="Q616" s="69">
        <v>7341607</v>
      </c>
      <c r="R616" s="70"/>
      <c r="S616" s="70" t="s">
        <v>1794</v>
      </c>
      <c r="T616" s="70"/>
      <c r="U616" s="70" t="s">
        <v>4689</v>
      </c>
      <c r="V616" s="70"/>
    </row>
    <row r="617" spans="1:22" ht="15.75" customHeight="1">
      <c r="A617" s="66">
        <v>40695</v>
      </c>
      <c r="B617" s="67">
        <f t="shared" ca="1" si="4"/>
        <v>15.015352547564683</v>
      </c>
      <c r="C617" s="68" t="str">
        <f t="shared" ca="1" si="5"/>
        <v>15 years, 0 months</v>
      </c>
      <c r="D617" s="69">
        <v>9449303576</v>
      </c>
      <c r="E617" s="69">
        <v>20110601</v>
      </c>
      <c r="F617" s="70"/>
      <c r="G617" s="70" t="s">
        <v>4690</v>
      </c>
      <c r="H617" s="70" t="s">
        <v>4691</v>
      </c>
      <c r="I617" s="70" t="s">
        <v>4692</v>
      </c>
      <c r="J617" s="70" t="s">
        <v>1314</v>
      </c>
      <c r="K617" s="70" t="s">
        <v>1263</v>
      </c>
      <c r="L617" s="70"/>
      <c r="M617" s="70" t="s">
        <v>4693</v>
      </c>
      <c r="N617" s="70" t="s">
        <v>1818</v>
      </c>
      <c r="O617" s="70" t="s">
        <v>1819</v>
      </c>
      <c r="P617" s="70"/>
      <c r="Q617" s="69">
        <v>7292938</v>
      </c>
      <c r="R617" s="70"/>
      <c r="S617" s="70" t="s">
        <v>1794</v>
      </c>
      <c r="T617" s="70"/>
      <c r="U617" s="70" t="s">
        <v>4694</v>
      </c>
      <c r="V617" s="70"/>
    </row>
    <row r="618" spans="1:22" ht="15.75" customHeight="1">
      <c r="A618" s="66">
        <v>40695</v>
      </c>
      <c r="B618" s="67">
        <f t="shared" ca="1" si="4"/>
        <v>15.015352547564683</v>
      </c>
      <c r="C618" s="68" t="str">
        <f t="shared" ca="1" si="5"/>
        <v>15 years, 0 months</v>
      </c>
      <c r="D618" s="69">
        <v>9449307237</v>
      </c>
      <c r="E618" s="69">
        <v>20110601</v>
      </c>
      <c r="F618" s="70"/>
      <c r="G618" s="70" t="s">
        <v>4695</v>
      </c>
      <c r="H618" s="70" t="s">
        <v>4696</v>
      </c>
      <c r="I618" s="70" t="s">
        <v>4697</v>
      </c>
      <c r="J618" s="70" t="s">
        <v>1422</v>
      </c>
      <c r="K618" s="70" t="s">
        <v>1285</v>
      </c>
      <c r="L618" s="70" t="s">
        <v>4698</v>
      </c>
      <c r="M618" s="70" t="s">
        <v>2490</v>
      </c>
      <c r="N618" s="70"/>
      <c r="O618" s="70" t="s">
        <v>1807</v>
      </c>
      <c r="P618" s="70"/>
      <c r="Q618" s="69">
        <v>30955388</v>
      </c>
      <c r="R618" s="70"/>
      <c r="S618" s="70" t="s">
        <v>1794</v>
      </c>
      <c r="T618" s="70"/>
      <c r="U618" s="70" t="s">
        <v>4699</v>
      </c>
      <c r="V618" s="70"/>
    </row>
    <row r="619" spans="1:22" ht="15.75" customHeight="1">
      <c r="A619" s="66">
        <v>40695</v>
      </c>
      <c r="B619" s="67">
        <f t="shared" ca="1" si="4"/>
        <v>15.015352547564683</v>
      </c>
      <c r="C619" s="68" t="str">
        <f t="shared" ca="1" si="5"/>
        <v>15 years, 0 months</v>
      </c>
      <c r="D619" s="69">
        <v>9449305668</v>
      </c>
      <c r="E619" s="69">
        <v>20110601</v>
      </c>
      <c r="F619" s="70"/>
      <c r="G619" s="70" t="s">
        <v>3571</v>
      </c>
      <c r="H619" s="70" t="s">
        <v>4700</v>
      </c>
      <c r="I619" s="70" t="s">
        <v>4701</v>
      </c>
      <c r="J619" s="70" t="s">
        <v>1422</v>
      </c>
      <c r="K619" s="70" t="s">
        <v>1285</v>
      </c>
      <c r="L619" s="70" t="s">
        <v>4702</v>
      </c>
      <c r="M619" s="70" t="s">
        <v>1868</v>
      </c>
      <c r="N619" s="70"/>
      <c r="O619" s="70" t="s">
        <v>1800</v>
      </c>
      <c r="P619" s="70"/>
      <c r="Q619" s="69">
        <v>17352848</v>
      </c>
      <c r="R619" s="70"/>
      <c r="S619" s="70" t="s">
        <v>1794</v>
      </c>
      <c r="T619" s="70"/>
      <c r="U619" s="70" t="s">
        <v>4703</v>
      </c>
      <c r="V619" s="70"/>
    </row>
    <row r="620" spans="1:22" ht="15.75" customHeight="1">
      <c r="A620" s="66">
        <v>40695</v>
      </c>
      <c r="B620" s="67">
        <f t="shared" ca="1" si="4"/>
        <v>15.015352547564683</v>
      </c>
      <c r="C620" s="68" t="str">
        <f t="shared" ca="1" si="5"/>
        <v>15 years, 0 months</v>
      </c>
      <c r="D620" s="69">
        <v>9449304394</v>
      </c>
      <c r="E620" s="69">
        <v>20110601</v>
      </c>
      <c r="F620" s="70"/>
      <c r="G620" s="70" t="s">
        <v>2934</v>
      </c>
      <c r="H620" s="70" t="s">
        <v>4704</v>
      </c>
      <c r="I620" s="70" t="s">
        <v>4705</v>
      </c>
      <c r="J620" s="70" t="s">
        <v>1422</v>
      </c>
      <c r="K620" s="70" t="s">
        <v>1285</v>
      </c>
      <c r="L620" s="70"/>
      <c r="M620" s="70" t="s">
        <v>4706</v>
      </c>
      <c r="N620" s="70"/>
      <c r="O620" s="70" t="s">
        <v>1800</v>
      </c>
      <c r="P620" s="70"/>
      <c r="Q620" s="69">
        <v>28172380</v>
      </c>
      <c r="R620" s="70"/>
      <c r="S620" s="70" t="s">
        <v>1794</v>
      </c>
      <c r="T620" s="70"/>
      <c r="U620" s="70" t="s">
        <v>3740</v>
      </c>
      <c r="V620" s="70"/>
    </row>
    <row r="621" spans="1:22" ht="15.75" customHeight="1">
      <c r="A621" s="66">
        <v>40696</v>
      </c>
      <c r="B621" s="67">
        <f t="shared" ca="1" si="4"/>
        <v>15.012612821537287</v>
      </c>
      <c r="C621" s="68" t="str">
        <f t="shared" ca="1" si="5"/>
        <v>15 years, 0 months</v>
      </c>
      <c r="D621" s="69">
        <v>9449307970</v>
      </c>
      <c r="E621" s="69">
        <v>20110602</v>
      </c>
      <c r="F621" s="70"/>
      <c r="G621" s="70" t="s">
        <v>1821</v>
      </c>
      <c r="H621" s="70" t="s">
        <v>4707</v>
      </c>
      <c r="I621" s="70" t="s">
        <v>4708</v>
      </c>
      <c r="J621" s="70" t="s">
        <v>1422</v>
      </c>
      <c r="K621" s="70" t="s">
        <v>1285</v>
      </c>
      <c r="L621" s="70"/>
      <c r="M621" s="70" t="s">
        <v>4709</v>
      </c>
      <c r="N621" s="70"/>
      <c r="O621" s="70" t="s">
        <v>1812</v>
      </c>
      <c r="P621" s="70" t="s">
        <v>1793</v>
      </c>
      <c r="Q621" s="69">
        <v>7379173</v>
      </c>
      <c r="R621" s="70"/>
      <c r="S621" s="70" t="s">
        <v>1794</v>
      </c>
      <c r="T621" s="70"/>
      <c r="U621" s="70" t="s">
        <v>4710</v>
      </c>
      <c r="V621" s="70"/>
    </row>
    <row r="622" spans="1:22" ht="15.75" customHeight="1">
      <c r="A622" s="66">
        <v>40696</v>
      </c>
      <c r="B622" s="67">
        <f t="shared" ca="1" si="4"/>
        <v>15.012612821537287</v>
      </c>
      <c r="C622" s="68" t="str">
        <f t="shared" ca="1" si="5"/>
        <v>15 years, 0 months</v>
      </c>
      <c r="D622" s="69">
        <v>9449309892</v>
      </c>
      <c r="E622" s="69">
        <v>20110602</v>
      </c>
      <c r="F622" s="70"/>
      <c r="G622" s="70" t="s">
        <v>1815</v>
      </c>
      <c r="H622" s="70" t="s">
        <v>4711</v>
      </c>
      <c r="I622" s="70" t="s">
        <v>4712</v>
      </c>
      <c r="J622" s="70" t="s">
        <v>1422</v>
      </c>
      <c r="K622" s="70" t="s">
        <v>1285</v>
      </c>
      <c r="L622" s="70"/>
      <c r="M622" s="70" t="s">
        <v>4713</v>
      </c>
      <c r="N622" s="70"/>
      <c r="O622" s="70" t="s">
        <v>1886</v>
      </c>
      <c r="P622" s="70" t="s">
        <v>1793</v>
      </c>
      <c r="Q622" s="69">
        <v>9722590</v>
      </c>
      <c r="R622" s="70"/>
      <c r="S622" s="70" t="s">
        <v>1794</v>
      </c>
      <c r="T622" s="70"/>
      <c r="U622" s="70" t="s">
        <v>4714</v>
      </c>
      <c r="V622" s="70"/>
    </row>
    <row r="623" spans="1:22" ht="15.75" customHeight="1">
      <c r="A623" s="66">
        <v>40696</v>
      </c>
      <c r="B623" s="67">
        <f t="shared" ca="1" si="4"/>
        <v>15.012612821537287</v>
      </c>
      <c r="C623" s="68" t="str">
        <f t="shared" ca="1" si="5"/>
        <v>15 years, 0 months</v>
      </c>
      <c r="D623" s="69">
        <v>9449304629</v>
      </c>
      <c r="E623" s="69">
        <v>20110602</v>
      </c>
      <c r="F623" s="70"/>
      <c r="G623" s="70" t="s">
        <v>4715</v>
      </c>
      <c r="H623" s="70"/>
      <c r="I623" s="70" t="s">
        <v>4716</v>
      </c>
      <c r="J623" s="70" t="s">
        <v>1391</v>
      </c>
      <c r="K623" s="70" t="s">
        <v>2016</v>
      </c>
      <c r="L623" s="70"/>
      <c r="M623" s="70" t="s">
        <v>4717</v>
      </c>
      <c r="N623" s="70"/>
      <c r="O623" s="70" t="s">
        <v>1800</v>
      </c>
      <c r="P623" s="70" t="s">
        <v>1793</v>
      </c>
      <c r="Q623" s="69">
        <v>7329650</v>
      </c>
      <c r="R623" s="70"/>
      <c r="S623" s="70" t="s">
        <v>1794</v>
      </c>
      <c r="T623" s="70"/>
      <c r="U623" s="70" t="s">
        <v>4718</v>
      </c>
      <c r="V623" s="70"/>
    </row>
    <row r="624" spans="1:22" ht="15.75" customHeight="1">
      <c r="A624" s="66">
        <v>40696</v>
      </c>
      <c r="B624" s="67">
        <f t="shared" ca="1" si="4"/>
        <v>15.012612821537287</v>
      </c>
      <c r="C624" s="68" t="str">
        <f t="shared" ca="1" si="5"/>
        <v>15 years, 0 months</v>
      </c>
      <c r="D624" s="69">
        <v>9449308640</v>
      </c>
      <c r="E624" s="69">
        <v>20110602</v>
      </c>
      <c r="F624" s="70"/>
      <c r="G624" s="70" t="s">
        <v>4719</v>
      </c>
      <c r="H624" s="70" t="s">
        <v>2269</v>
      </c>
      <c r="I624" s="70" t="s">
        <v>4720</v>
      </c>
      <c r="J624" s="70" t="s">
        <v>1391</v>
      </c>
      <c r="K624" s="70" t="s">
        <v>1263</v>
      </c>
      <c r="L624" s="70" t="s">
        <v>4721</v>
      </c>
      <c r="M624" s="70" t="s">
        <v>2839</v>
      </c>
      <c r="N624" s="70"/>
      <c r="O624" s="70" t="s">
        <v>2678</v>
      </c>
      <c r="P624" s="70" t="s">
        <v>1793</v>
      </c>
      <c r="Q624" s="69">
        <v>18356400</v>
      </c>
      <c r="R624" s="70"/>
      <c r="S624" s="70" t="s">
        <v>1794</v>
      </c>
      <c r="T624" s="70"/>
      <c r="U624" s="70" t="s">
        <v>4722</v>
      </c>
      <c r="V624" s="70"/>
    </row>
    <row r="625" spans="1:22" ht="15.75" customHeight="1">
      <c r="A625" s="66">
        <v>40697</v>
      </c>
      <c r="B625" s="67">
        <f t="shared" ca="1" si="4"/>
        <v>15.009873095509889</v>
      </c>
      <c r="C625" s="68" t="str">
        <f t="shared" ca="1" si="5"/>
        <v>15 years, 0 months</v>
      </c>
      <c r="D625" s="69">
        <v>9449310335</v>
      </c>
      <c r="E625" s="69">
        <v>20110603</v>
      </c>
      <c r="F625" s="70"/>
      <c r="G625" s="70" t="s">
        <v>4723</v>
      </c>
      <c r="H625" s="70" t="s">
        <v>4724</v>
      </c>
      <c r="I625" s="70" t="s">
        <v>4725</v>
      </c>
      <c r="J625" s="70" t="s">
        <v>1262</v>
      </c>
      <c r="K625" s="70" t="s">
        <v>1263</v>
      </c>
      <c r="L625" s="70" t="s">
        <v>4726</v>
      </c>
      <c r="M625" s="70" t="s">
        <v>4727</v>
      </c>
      <c r="N625" s="70" t="s">
        <v>2184</v>
      </c>
      <c r="O625" s="70" t="s">
        <v>1906</v>
      </c>
      <c r="P625" s="70" t="s">
        <v>1793</v>
      </c>
      <c r="Q625" s="69">
        <v>17357998</v>
      </c>
      <c r="R625" s="70"/>
      <c r="S625" s="70" t="s">
        <v>1794</v>
      </c>
      <c r="T625" s="70"/>
      <c r="U625" s="70" t="s">
        <v>4728</v>
      </c>
      <c r="V625" s="70"/>
    </row>
    <row r="626" spans="1:22" ht="15.75" customHeight="1">
      <c r="A626" s="66">
        <v>40697</v>
      </c>
      <c r="B626" s="67">
        <f t="shared" ca="1" si="4"/>
        <v>15.009873095509889</v>
      </c>
      <c r="C626" s="68" t="str">
        <f t="shared" ca="1" si="5"/>
        <v>15 years, 0 months</v>
      </c>
      <c r="D626" s="69">
        <v>9449305129</v>
      </c>
      <c r="E626" s="69">
        <v>20110603</v>
      </c>
      <c r="F626" s="70"/>
      <c r="G626" s="70" t="s">
        <v>2951</v>
      </c>
      <c r="H626" s="70" t="s">
        <v>4729</v>
      </c>
      <c r="I626" s="70" t="s">
        <v>4730</v>
      </c>
      <c r="J626" s="70" t="s">
        <v>1422</v>
      </c>
      <c r="K626" s="70" t="s">
        <v>1285</v>
      </c>
      <c r="L626" s="70"/>
      <c r="M626" s="70" t="s">
        <v>4731</v>
      </c>
      <c r="N626" s="70"/>
      <c r="O626" s="70" t="s">
        <v>1800</v>
      </c>
      <c r="P626" s="70" t="s">
        <v>1793</v>
      </c>
      <c r="Q626" s="69">
        <v>7334352</v>
      </c>
      <c r="R626" s="70"/>
      <c r="S626" s="70" t="s">
        <v>1794</v>
      </c>
      <c r="T626" s="70"/>
      <c r="U626" s="70" t="s">
        <v>4732</v>
      </c>
      <c r="V626" s="70"/>
    </row>
    <row r="627" spans="1:22" ht="15.75" customHeight="1">
      <c r="A627" s="66">
        <v>40698</v>
      </c>
      <c r="B627" s="67">
        <f t="shared" ca="1" si="4"/>
        <v>15.007133369482492</v>
      </c>
      <c r="C627" s="68" t="str">
        <f t="shared" ca="1" si="5"/>
        <v>15 years, 0 months</v>
      </c>
      <c r="D627" s="69">
        <v>9449307334</v>
      </c>
      <c r="E627" s="69">
        <v>20110604</v>
      </c>
      <c r="F627" s="70"/>
      <c r="G627" s="70" t="s">
        <v>4733</v>
      </c>
      <c r="H627" s="70" t="s">
        <v>4734</v>
      </c>
      <c r="I627" s="70" t="s">
        <v>4735</v>
      </c>
      <c r="J627" s="70" t="s">
        <v>1391</v>
      </c>
      <c r="K627" s="70" t="s">
        <v>1263</v>
      </c>
      <c r="L627" s="70"/>
      <c r="M627" s="70" t="s">
        <v>4736</v>
      </c>
      <c r="N627" s="70"/>
      <c r="O627" s="70" t="s">
        <v>1807</v>
      </c>
      <c r="P627" s="70" t="s">
        <v>1793</v>
      </c>
      <c r="Q627" s="69">
        <v>17361657</v>
      </c>
      <c r="R627" s="70"/>
      <c r="S627" s="70" t="s">
        <v>1794</v>
      </c>
      <c r="T627" s="70"/>
      <c r="U627" s="70" t="s">
        <v>4737</v>
      </c>
      <c r="V627" s="70"/>
    </row>
    <row r="628" spans="1:22" ht="15.75" customHeight="1">
      <c r="A628" s="66">
        <v>40698</v>
      </c>
      <c r="B628" s="67">
        <f t="shared" ca="1" si="4"/>
        <v>15.007133369482492</v>
      </c>
      <c r="C628" s="68" t="str">
        <f t="shared" ca="1" si="5"/>
        <v>15 years, 0 months</v>
      </c>
      <c r="D628" s="69">
        <v>9449309159</v>
      </c>
      <c r="E628" s="69">
        <v>20110604</v>
      </c>
      <c r="F628" s="70"/>
      <c r="G628" s="70" t="s">
        <v>4738</v>
      </c>
      <c r="H628" s="70" t="s">
        <v>4739</v>
      </c>
      <c r="I628" s="70" t="s">
        <v>4740</v>
      </c>
      <c r="J628" s="70" t="s">
        <v>1422</v>
      </c>
      <c r="K628" s="70" t="s">
        <v>2016</v>
      </c>
      <c r="L628" s="70" t="s">
        <v>4741</v>
      </c>
      <c r="M628" s="70" t="s">
        <v>4742</v>
      </c>
      <c r="N628" s="70" t="s">
        <v>3883</v>
      </c>
      <c r="O628" s="70" t="s">
        <v>1862</v>
      </c>
      <c r="P628" s="70" t="s">
        <v>1793</v>
      </c>
      <c r="Q628" s="69">
        <v>20524646</v>
      </c>
      <c r="R628" s="70"/>
      <c r="S628" s="70" t="s">
        <v>1794</v>
      </c>
      <c r="T628" s="70"/>
      <c r="U628" s="70" t="s">
        <v>4743</v>
      </c>
      <c r="V628" s="70"/>
    </row>
    <row r="629" spans="1:22" ht="15.75" customHeight="1">
      <c r="A629" s="66">
        <v>40699</v>
      </c>
      <c r="B629" s="67">
        <f t="shared" ca="1" si="4"/>
        <v>15.004393643455094</v>
      </c>
      <c r="C629" s="68" t="str">
        <f t="shared" ca="1" si="5"/>
        <v>15 years, 0 months</v>
      </c>
      <c r="D629" s="69">
        <v>9449307253</v>
      </c>
      <c r="E629" s="69">
        <v>20110605</v>
      </c>
      <c r="F629" s="70"/>
      <c r="G629" s="70" t="s">
        <v>4744</v>
      </c>
      <c r="H629" s="70" t="s">
        <v>4745</v>
      </c>
      <c r="I629" s="70" t="s">
        <v>4746</v>
      </c>
      <c r="J629" s="70" t="s">
        <v>1422</v>
      </c>
      <c r="K629" s="70" t="s">
        <v>2016</v>
      </c>
      <c r="L629" s="70"/>
      <c r="M629" s="70" t="s">
        <v>4747</v>
      </c>
      <c r="N629" s="70"/>
      <c r="O629" s="70" t="s">
        <v>1807</v>
      </c>
      <c r="P629" s="70" t="s">
        <v>1793</v>
      </c>
      <c r="Q629" s="69">
        <v>7361506</v>
      </c>
      <c r="R629" s="70"/>
      <c r="S629" s="70" t="s">
        <v>1794</v>
      </c>
      <c r="T629" s="70"/>
      <c r="U629" s="70" t="s">
        <v>4748</v>
      </c>
      <c r="V629" s="70"/>
    </row>
    <row r="630" spans="1:22" ht="15.75" customHeight="1">
      <c r="A630" s="66">
        <v>40701</v>
      </c>
      <c r="B630" s="67">
        <f t="shared" ca="1" si="4"/>
        <v>14.998914191400299</v>
      </c>
      <c r="C630" s="68" t="str">
        <f t="shared" ca="1" si="5"/>
        <v>14 years, 11 months</v>
      </c>
      <c r="D630" s="69">
        <v>9449310726</v>
      </c>
      <c r="E630" s="69">
        <v>20110607</v>
      </c>
      <c r="F630" s="70"/>
      <c r="G630" s="70" t="s">
        <v>4749</v>
      </c>
      <c r="H630" s="70"/>
      <c r="I630" s="70" t="s">
        <v>4750</v>
      </c>
      <c r="J630" s="70" t="s">
        <v>1314</v>
      </c>
      <c r="K630" s="70" t="s">
        <v>1263</v>
      </c>
      <c r="L630" s="70"/>
      <c r="M630" s="70" t="s">
        <v>4751</v>
      </c>
      <c r="N630" s="70" t="s">
        <v>1973</v>
      </c>
      <c r="O630" s="70" t="s">
        <v>1807</v>
      </c>
      <c r="P630" s="70" t="s">
        <v>1793</v>
      </c>
      <c r="Q630" s="69">
        <v>7364996</v>
      </c>
      <c r="R630" s="70"/>
      <c r="S630" s="70" t="s">
        <v>1794</v>
      </c>
      <c r="T630" s="70"/>
      <c r="U630" s="70" t="s">
        <v>4752</v>
      </c>
      <c r="V630" s="70"/>
    </row>
    <row r="631" spans="1:22" ht="15.75" customHeight="1">
      <c r="A631" s="66">
        <v>40701</v>
      </c>
      <c r="B631" s="67">
        <f t="shared" ca="1" si="4"/>
        <v>14.998914191400299</v>
      </c>
      <c r="C631" s="68" t="str">
        <f t="shared" ca="1" si="5"/>
        <v>14 years, 11 months</v>
      </c>
      <c r="D631" s="69">
        <v>9449310734</v>
      </c>
      <c r="E631" s="69">
        <v>20110607</v>
      </c>
      <c r="F631" s="70"/>
      <c r="G631" s="70" t="s">
        <v>4749</v>
      </c>
      <c r="H631" s="70" t="s">
        <v>33</v>
      </c>
      <c r="I631" s="70" t="s">
        <v>4750</v>
      </c>
      <c r="J631" s="70" t="s">
        <v>1314</v>
      </c>
      <c r="K631" s="70" t="s">
        <v>1263</v>
      </c>
      <c r="L631" s="70"/>
      <c r="M631" s="70" t="s">
        <v>4751</v>
      </c>
      <c r="N631" s="70" t="s">
        <v>1973</v>
      </c>
      <c r="O631" s="70" t="s">
        <v>1807</v>
      </c>
      <c r="P631" s="70" t="s">
        <v>1793</v>
      </c>
      <c r="Q631" s="69">
        <v>7364996</v>
      </c>
      <c r="R631" s="70"/>
      <c r="S631" s="70" t="s">
        <v>1794</v>
      </c>
      <c r="T631" s="70"/>
      <c r="U631" s="70" t="s">
        <v>4752</v>
      </c>
      <c r="V631" s="70"/>
    </row>
    <row r="632" spans="1:22" ht="15.75" customHeight="1">
      <c r="A632" s="66">
        <v>40703</v>
      </c>
      <c r="B632" s="67">
        <f t="shared" ca="1" si="4"/>
        <v>14.993434739345505</v>
      </c>
      <c r="C632" s="68" t="str">
        <f t="shared" ca="1" si="5"/>
        <v>14 years, 11 months</v>
      </c>
      <c r="D632" s="69">
        <v>9449304777</v>
      </c>
      <c r="E632" s="69">
        <v>20110609</v>
      </c>
      <c r="F632" s="70"/>
      <c r="G632" s="70" t="s">
        <v>4753</v>
      </c>
      <c r="H632" s="70"/>
      <c r="I632" s="70" t="s">
        <v>4754</v>
      </c>
      <c r="J632" s="70" t="s">
        <v>1422</v>
      </c>
      <c r="K632" s="70" t="s">
        <v>2016</v>
      </c>
      <c r="L632" s="70"/>
      <c r="M632" s="70" t="s">
        <v>4755</v>
      </c>
      <c r="N632" s="70"/>
      <c r="O632" s="70" t="s">
        <v>1800</v>
      </c>
      <c r="P632" s="70" t="s">
        <v>1793</v>
      </c>
      <c r="Q632" s="69">
        <v>7331288</v>
      </c>
      <c r="R632" s="70"/>
      <c r="S632" s="70" t="s">
        <v>1794</v>
      </c>
      <c r="T632" s="70"/>
      <c r="U632" s="70" t="s">
        <v>4756</v>
      </c>
      <c r="V632" s="70"/>
    </row>
    <row r="633" spans="1:22" ht="15.75" customHeight="1">
      <c r="A633" s="66">
        <v>40703</v>
      </c>
      <c r="B633" s="67">
        <f t="shared" ca="1" si="4"/>
        <v>14.993434739345505</v>
      </c>
      <c r="C633" s="68" t="str">
        <f t="shared" ca="1" si="5"/>
        <v>14 years, 11 months</v>
      </c>
      <c r="D633" s="69">
        <v>9449306265</v>
      </c>
      <c r="E633" s="69">
        <v>20110609</v>
      </c>
      <c r="F633" s="70"/>
      <c r="G633" s="70" t="s">
        <v>2923</v>
      </c>
      <c r="H633" s="70"/>
      <c r="I633" s="70" t="s">
        <v>4757</v>
      </c>
      <c r="J633" s="70" t="s">
        <v>1391</v>
      </c>
      <c r="K633" s="70" t="s">
        <v>1263</v>
      </c>
      <c r="L633" s="70"/>
      <c r="M633" s="70" t="s">
        <v>4758</v>
      </c>
      <c r="N633" s="70"/>
      <c r="O633" s="70" t="s">
        <v>1906</v>
      </c>
      <c r="P633" s="70" t="s">
        <v>1793</v>
      </c>
      <c r="Q633" s="69">
        <v>7354874</v>
      </c>
      <c r="R633" s="70"/>
      <c r="S633" s="70" t="s">
        <v>1794</v>
      </c>
      <c r="T633" s="70"/>
      <c r="U633" s="70" t="s">
        <v>4759</v>
      </c>
      <c r="V633" s="70"/>
    </row>
    <row r="634" spans="1:22" ht="15.75" customHeight="1">
      <c r="A634" s="66">
        <v>40704</v>
      </c>
      <c r="B634" s="67">
        <f t="shared" ca="1" si="4"/>
        <v>14.990695013318108</v>
      </c>
      <c r="C634" s="68" t="str">
        <f t="shared" ca="1" si="5"/>
        <v>14 years, 11 months</v>
      </c>
      <c r="D634" s="69">
        <v>9449306931</v>
      </c>
      <c r="E634" s="69">
        <v>20110610</v>
      </c>
      <c r="F634" s="70"/>
      <c r="G634" s="70" t="s">
        <v>4760</v>
      </c>
      <c r="H634" s="70"/>
      <c r="I634" s="70" t="s">
        <v>4761</v>
      </c>
      <c r="J634" s="70" t="s">
        <v>1391</v>
      </c>
      <c r="K634" s="70" t="s">
        <v>1263</v>
      </c>
      <c r="L634" s="70"/>
      <c r="M634" s="70" t="s">
        <v>4762</v>
      </c>
      <c r="N634" s="70" t="s">
        <v>1806</v>
      </c>
      <c r="O634" s="70" t="s">
        <v>1807</v>
      </c>
      <c r="P634" s="70" t="s">
        <v>1793</v>
      </c>
      <c r="Q634" s="69">
        <v>30159748</v>
      </c>
      <c r="R634" s="70"/>
      <c r="S634" s="70" t="s">
        <v>1794</v>
      </c>
      <c r="T634" s="70"/>
      <c r="U634" s="70" t="s">
        <v>4763</v>
      </c>
      <c r="V634" s="70"/>
    </row>
    <row r="635" spans="1:22" ht="15.75" customHeight="1">
      <c r="A635" s="66">
        <v>40704</v>
      </c>
      <c r="B635" s="67">
        <f t="shared" ca="1" si="4"/>
        <v>14.990695013318108</v>
      </c>
      <c r="C635" s="68" t="str">
        <f t="shared" ca="1" si="5"/>
        <v>14 years, 11 months</v>
      </c>
      <c r="D635" s="69">
        <v>9449308438</v>
      </c>
      <c r="E635" s="69">
        <v>20110610</v>
      </c>
      <c r="F635" s="70"/>
      <c r="G635" s="70" t="s">
        <v>4764</v>
      </c>
      <c r="H635" s="70"/>
      <c r="I635" s="70" t="s">
        <v>4765</v>
      </c>
      <c r="J635" s="70" t="s">
        <v>1391</v>
      </c>
      <c r="K635" s="70" t="s">
        <v>1263</v>
      </c>
      <c r="L635" s="70"/>
      <c r="M635" s="70" t="s">
        <v>4766</v>
      </c>
      <c r="N635" s="70"/>
      <c r="O635" s="70" t="s">
        <v>2524</v>
      </c>
      <c r="P635" s="70" t="s">
        <v>1793</v>
      </c>
      <c r="Q635" s="69">
        <v>17378122</v>
      </c>
      <c r="R635" s="70"/>
      <c r="S635" s="70" t="s">
        <v>1794</v>
      </c>
      <c r="T635" s="70"/>
      <c r="U635" s="70" t="s">
        <v>4767</v>
      </c>
      <c r="V635" s="70"/>
    </row>
    <row r="636" spans="1:22" ht="15.75" customHeight="1">
      <c r="A636" s="66">
        <v>40704</v>
      </c>
      <c r="B636" s="67">
        <f t="shared" ca="1" si="4"/>
        <v>14.990695013318108</v>
      </c>
      <c r="C636" s="68" t="str">
        <f t="shared" ca="1" si="5"/>
        <v>14 years, 11 months</v>
      </c>
      <c r="D636" s="69">
        <v>9449304459</v>
      </c>
      <c r="E636" s="69">
        <v>20110610</v>
      </c>
      <c r="F636" s="70"/>
      <c r="G636" s="70" t="s">
        <v>4768</v>
      </c>
      <c r="H636" s="70" t="s">
        <v>4769</v>
      </c>
      <c r="I636" s="70" t="s">
        <v>4770</v>
      </c>
      <c r="J636" s="70" t="s">
        <v>1422</v>
      </c>
      <c r="K636" s="70" t="s">
        <v>1285</v>
      </c>
      <c r="L636" s="70" t="s">
        <v>4771</v>
      </c>
      <c r="M636" s="70" t="s">
        <v>4772</v>
      </c>
      <c r="N636" s="70"/>
      <c r="O636" s="70" t="s">
        <v>1800</v>
      </c>
      <c r="P636" s="70"/>
      <c r="Q636" s="69">
        <v>21972062</v>
      </c>
      <c r="R636" s="70"/>
      <c r="S636" s="70" t="s">
        <v>1794</v>
      </c>
      <c r="T636" s="70"/>
      <c r="U636" s="70" t="s">
        <v>4773</v>
      </c>
      <c r="V636" s="70"/>
    </row>
    <row r="637" spans="1:22" ht="15.75" customHeight="1">
      <c r="A637" s="66">
        <v>40705</v>
      </c>
      <c r="B637" s="67">
        <f t="shared" ca="1" si="4"/>
        <v>14.987955287290712</v>
      </c>
      <c r="C637" s="68" t="str">
        <f t="shared" ca="1" si="5"/>
        <v>14 years, 11 months</v>
      </c>
      <c r="D637" s="69">
        <v>9449307830</v>
      </c>
      <c r="E637" s="69">
        <v>20110611</v>
      </c>
      <c r="F637" s="70"/>
      <c r="G637" s="70" t="s">
        <v>4774</v>
      </c>
      <c r="H637" s="70" t="s">
        <v>4775</v>
      </c>
      <c r="I637" s="70" t="s">
        <v>4776</v>
      </c>
      <c r="J637" s="70" t="s">
        <v>1314</v>
      </c>
      <c r="K637" s="70" t="s">
        <v>1263</v>
      </c>
      <c r="L637" s="70" t="s">
        <v>4777</v>
      </c>
      <c r="M637" s="70" t="s">
        <v>3424</v>
      </c>
      <c r="N637" s="70" t="s">
        <v>1973</v>
      </c>
      <c r="O637" s="70" t="s">
        <v>1807</v>
      </c>
      <c r="P637" s="70" t="s">
        <v>1793</v>
      </c>
      <c r="Q637" s="69">
        <v>17364168</v>
      </c>
      <c r="R637" s="70"/>
      <c r="S637" s="70" t="s">
        <v>1794</v>
      </c>
      <c r="T637" s="70"/>
      <c r="U637" s="70" t="s">
        <v>4778</v>
      </c>
      <c r="V637" s="70"/>
    </row>
    <row r="638" spans="1:22" ht="15.75" customHeight="1">
      <c r="A638" s="66">
        <v>40705</v>
      </c>
      <c r="B638" s="67">
        <f t="shared" ca="1" si="4"/>
        <v>14.987955287290712</v>
      </c>
      <c r="C638" s="68" t="str">
        <f t="shared" ca="1" si="5"/>
        <v>14 years, 11 months</v>
      </c>
      <c r="D638" s="69">
        <v>9449304602</v>
      </c>
      <c r="E638" s="69">
        <v>20110611</v>
      </c>
      <c r="F638" s="70"/>
      <c r="G638" s="70" t="s">
        <v>4779</v>
      </c>
      <c r="H638" s="70" t="s">
        <v>4780</v>
      </c>
      <c r="I638" s="70" t="s">
        <v>4781</v>
      </c>
      <c r="J638" s="70" t="s">
        <v>1391</v>
      </c>
      <c r="K638" s="70" t="s">
        <v>1263</v>
      </c>
      <c r="L638" s="70"/>
      <c r="M638" s="70" t="s">
        <v>4782</v>
      </c>
      <c r="N638" s="70"/>
      <c r="O638" s="70" t="s">
        <v>1800</v>
      </c>
      <c r="P638" s="70" t="s">
        <v>1793</v>
      </c>
      <c r="Q638" s="69">
        <v>17348820</v>
      </c>
      <c r="R638" s="70"/>
      <c r="S638" s="70" t="s">
        <v>1794</v>
      </c>
      <c r="T638" s="70"/>
      <c r="U638" s="70" t="s">
        <v>4783</v>
      </c>
      <c r="V638" s="70"/>
    </row>
    <row r="639" spans="1:22" ht="15.75" customHeight="1">
      <c r="A639" s="66">
        <v>40706</v>
      </c>
      <c r="B639" s="67">
        <f t="shared" ca="1" si="4"/>
        <v>14.985215561263313</v>
      </c>
      <c r="C639" s="68" t="str">
        <f t="shared" ca="1" si="5"/>
        <v>14 years, 11 months</v>
      </c>
      <c r="D639" s="69">
        <v>9449308276</v>
      </c>
      <c r="E639" s="69">
        <v>20110612</v>
      </c>
      <c r="F639" s="70"/>
      <c r="G639" s="70" t="s">
        <v>4784</v>
      </c>
      <c r="H639" s="70" t="s">
        <v>4785</v>
      </c>
      <c r="I639" s="70" t="s">
        <v>3669</v>
      </c>
      <c r="J639" s="70" t="s">
        <v>1422</v>
      </c>
      <c r="K639" s="70" t="s">
        <v>1285</v>
      </c>
      <c r="L639" s="70"/>
      <c r="M639" s="70" t="s">
        <v>4786</v>
      </c>
      <c r="N639" s="70"/>
      <c r="O639" s="70" t="s">
        <v>2524</v>
      </c>
      <c r="P639" s="70" t="s">
        <v>1793</v>
      </c>
      <c r="Q639" s="69">
        <v>7401563</v>
      </c>
      <c r="R639" s="70"/>
      <c r="S639" s="70" t="s">
        <v>1794</v>
      </c>
      <c r="T639" s="70"/>
      <c r="U639" s="70" t="s">
        <v>4787</v>
      </c>
      <c r="V639" s="70"/>
    </row>
    <row r="640" spans="1:22" ht="15.75" customHeight="1">
      <c r="A640" s="66">
        <v>40707</v>
      </c>
      <c r="B640" s="67">
        <f t="shared" ca="1" si="4"/>
        <v>14.982475835235917</v>
      </c>
      <c r="C640" s="68" t="str">
        <f t="shared" ca="1" si="5"/>
        <v>14 years, 11 months</v>
      </c>
      <c r="D640" s="69">
        <v>9449308586</v>
      </c>
      <c r="E640" s="69">
        <v>20110613</v>
      </c>
      <c r="F640" s="70"/>
      <c r="G640" s="70" t="s">
        <v>4788</v>
      </c>
      <c r="H640" s="70"/>
      <c r="I640" s="70" t="s">
        <v>4789</v>
      </c>
      <c r="J640" s="70" t="s">
        <v>1422</v>
      </c>
      <c r="K640" s="70" t="s">
        <v>1285</v>
      </c>
      <c r="L640" s="70" t="s">
        <v>4790</v>
      </c>
      <c r="M640" s="70" t="s">
        <v>4791</v>
      </c>
      <c r="N640" s="70" t="s">
        <v>2261</v>
      </c>
      <c r="O640" s="70" t="s">
        <v>2678</v>
      </c>
      <c r="P640" s="70"/>
      <c r="Q640" s="69">
        <v>20523931</v>
      </c>
      <c r="R640" s="70"/>
      <c r="S640" s="70" t="s">
        <v>1794</v>
      </c>
      <c r="T640" s="70"/>
      <c r="U640" s="70" t="s">
        <v>4792</v>
      </c>
      <c r="V640" s="70"/>
    </row>
    <row r="641" spans="1:22" ht="15.75" customHeight="1">
      <c r="A641" s="66">
        <v>40707</v>
      </c>
      <c r="B641" s="67">
        <f t="shared" ca="1" si="4"/>
        <v>14.982475835235917</v>
      </c>
      <c r="C641" s="68" t="str">
        <f t="shared" ca="1" si="5"/>
        <v>14 years, 11 months</v>
      </c>
      <c r="D641" s="69">
        <v>9449304149</v>
      </c>
      <c r="E641" s="69">
        <v>20110613</v>
      </c>
      <c r="F641" s="70"/>
      <c r="G641" s="70" t="s">
        <v>4793</v>
      </c>
      <c r="H641" s="70"/>
      <c r="I641" s="70" t="s">
        <v>4794</v>
      </c>
      <c r="J641" s="70" t="s">
        <v>1422</v>
      </c>
      <c r="K641" s="70" t="s">
        <v>1285</v>
      </c>
      <c r="L641" s="70"/>
      <c r="M641" s="70" t="s">
        <v>4795</v>
      </c>
      <c r="N641" s="70"/>
      <c r="O641" s="70" t="s">
        <v>1792</v>
      </c>
      <c r="P641" s="70" t="s">
        <v>1793</v>
      </c>
      <c r="Q641" s="69">
        <v>7298838</v>
      </c>
      <c r="R641" s="70"/>
      <c r="S641" s="70" t="s">
        <v>1794</v>
      </c>
      <c r="T641" s="70"/>
      <c r="U641" s="70" t="s">
        <v>4796</v>
      </c>
      <c r="V641" s="70"/>
    </row>
    <row r="642" spans="1:22" ht="15.75" customHeight="1">
      <c r="A642" s="66">
        <v>40708</v>
      </c>
      <c r="B642" s="67">
        <f t="shared" ca="1" si="4"/>
        <v>14.979736109208519</v>
      </c>
      <c r="C642" s="68" t="str">
        <f t="shared" ca="1" si="5"/>
        <v>14 years, 11 months</v>
      </c>
      <c r="D642" s="69">
        <v>9449306680</v>
      </c>
      <c r="E642" s="69">
        <v>20110614</v>
      </c>
      <c r="F642" s="70"/>
      <c r="G642" s="70" t="s">
        <v>4797</v>
      </c>
      <c r="H642" s="70" t="s">
        <v>4798</v>
      </c>
      <c r="I642" s="70" t="s">
        <v>4799</v>
      </c>
      <c r="J642" s="70" t="s">
        <v>1422</v>
      </c>
      <c r="K642" s="70" t="s">
        <v>1285</v>
      </c>
      <c r="L642" s="70"/>
      <c r="M642" s="70" t="s">
        <v>4800</v>
      </c>
      <c r="N642" s="70"/>
      <c r="O642" s="70" t="s">
        <v>1834</v>
      </c>
      <c r="P642" s="70" t="s">
        <v>1793</v>
      </c>
      <c r="Q642" s="69">
        <v>7357619</v>
      </c>
      <c r="R642" s="70"/>
      <c r="S642" s="70" t="s">
        <v>1794</v>
      </c>
      <c r="T642" s="70"/>
      <c r="U642" s="70" t="s">
        <v>4801</v>
      </c>
      <c r="V642" s="70"/>
    </row>
    <row r="643" spans="1:22" ht="15.75" customHeight="1">
      <c r="A643" s="66">
        <v>40708</v>
      </c>
      <c r="B643" s="67">
        <f t="shared" ca="1" si="4"/>
        <v>14.979736109208519</v>
      </c>
      <c r="C643" s="68" t="str">
        <f t="shared" ca="1" si="5"/>
        <v>14 years, 11 months</v>
      </c>
      <c r="D643" s="69">
        <v>9449308853</v>
      </c>
      <c r="E643" s="69">
        <v>20110614</v>
      </c>
      <c r="F643" s="70"/>
      <c r="G643" s="70" t="s">
        <v>4802</v>
      </c>
      <c r="H643" s="70"/>
      <c r="I643" s="70" t="s">
        <v>4803</v>
      </c>
      <c r="J643" s="70" t="s">
        <v>1422</v>
      </c>
      <c r="K643" s="70" t="s">
        <v>2016</v>
      </c>
      <c r="L643" s="70" t="s">
        <v>4804</v>
      </c>
      <c r="M643" s="70" t="s">
        <v>3196</v>
      </c>
      <c r="N643" s="70"/>
      <c r="O643" s="70" t="s">
        <v>1862</v>
      </c>
      <c r="P643" s="70" t="s">
        <v>1793</v>
      </c>
      <c r="Q643" s="69">
        <v>29965500</v>
      </c>
      <c r="R643" s="70"/>
      <c r="S643" s="70" t="s">
        <v>1794</v>
      </c>
      <c r="T643" s="70"/>
      <c r="U643" s="70" t="s">
        <v>4805</v>
      </c>
      <c r="V643" s="70"/>
    </row>
    <row r="644" spans="1:22" ht="15.75" customHeight="1">
      <c r="A644" s="66">
        <v>40708</v>
      </c>
      <c r="B644" s="67">
        <f t="shared" ca="1" si="4"/>
        <v>14.979736109208519</v>
      </c>
      <c r="C644" s="68" t="str">
        <f t="shared" ca="1" si="5"/>
        <v>14 years, 11 months</v>
      </c>
      <c r="D644" s="69">
        <v>9449304084</v>
      </c>
      <c r="E644" s="69">
        <v>20110614</v>
      </c>
      <c r="F644" s="70"/>
      <c r="G644" s="70" t="s">
        <v>4806</v>
      </c>
      <c r="H644" s="70"/>
      <c r="I644" s="70" t="s">
        <v>4807</v>
      </c>
      <c r="J644" s="70" t="s">
        <v>1391</v>
      </c>
      <c r="K644" s="70" t="s">
        <v>1263</v>
      </c>
      <c r="L644" s="70"/>
      <c r="M644" s="70" t="s">
        <v>4808</v>
      </c>
      <c r="N644" s="70"/>
      <c r="O644" s="70" t="s">
        <v>1792</v>
      </c>
      <c r="P644" s="70" t="s">
        <v>1793</v>
      </c>
      <c r="Q644" s="69">
        <v>7298547</v>
      </c>
      <c r="R644" s="70"/>
      <c r="S644" s="70" t="s">
        <v>1794</v>
      </c>
      <c r="T644" s="70"/>
      <c r="U644" s="70" t="s">
        <v>4809</v>
      </c>
      <c r="V644" s="70"/>
    </row>
    <row r="645" spans="1:22" ht="15.75" customHeight="1">
      <c r="A645" s="66">
        <v>40708</v>
      </c>
      <c r="B645" s="67">
        <f t="shared" ca="1" si="4"/>
        <v>14.979736109208519</v>
      </c>
      <c r="C645" s="68" t="str">
        <f t="shared" ca="1" si="5"/>
        <v>14 years, 11 months</v>
      </c>
      <c r="D645" s="69">
        <v>9449303495</v>
      </c>
      <c r="E645" s="69">
        <v>20110614</v>
      </c>
      <c r="F645" s="70"/>
      <c r="G645" s="70" t="s">
        <v>4810</v>
      </c>
      <c r="H645" s="70"/>
      <c r="I645" s="70" t="s">
        <v>4811</v>
      </c>
      <c r="J645" s="70" t="s">
        <v>1422</v>
      </c>
      <c r="K645" s="70" t="s">
        <v>1285</v>
      </c>
      <c r="L645" s="70" t="s">
        <v>4812</v>
      </c>
      <c r="M645" s="70" t="s">
        <v>4813</v>
      </c>
      <c r="N645" s="70" t="s">
        <v>2079</v>
      </c>
      <c r="O645" s="70" t="s">
        <v>1845</v>
      </c>
      <c r="P645" s="70"/>
      <c r="Q645" s="69">
        <v>16406287</v>
      </c>
      <c r="R645" s="70"/>
      <c r="S645" s="70" t="s">
        <v>1794</v>
      </c>
      <c r="T645" s="70"/>
      <c r="U645" s="70" t="s">
        <v>4814</v>
      </c>
      <c r="V645" s="70"/>
    </row>
    <row r="646" spans="1:22" ht="15.75" customHeight="1">
      <c r="A646" s="66">
        <v>40709</v>
      </c>
      <c r="B646" s="67">
        <f t="shared" ca="1" si="4"/>
        <v>14.976996383181122</v>
      </c>
      <c r="C646" s="68" t="str">
        <f t="shared" ca="1" si="5"/>
        <v>14 years, 11 months</v>
      </c>
      <c r="D646" s="69">
        <v>9449306281</v>
      </c>
      <c r="E646" s="69">
        <v>20110615</v>
      </c>
      <c r="F646" s="70"/>
      <c r="G646" s="70" t="s">
        <v>2955</v>
      </c>
      <c r="H646" s="70" t="s">
        <v>4815</v>
      </c>
      <c r="I646" s="70" t="s">
        <v>4816</v>
      </c>
      <c r="J646" s="70" t="s">
        <v>1422</v>
      </c>
      <c r="K646" s="70" t="s">
        <v>1285</v>
      </c>
      <c r="L646" s="70"/>
      <c r="M646" s="70" t="s">
        <v>4817</v>
      </c>
      <c r="N646" s="70"/>
      <c r="O646" s="70" t="s">
        <v>1906</v>
      </c>
      <c r="P646" s="70" t="s">
        <v>1793</v>
      </c>
      <c r="Q646" s="69">
        <v>17357896</v>
      </c>
      <c r="R646" s="70"/>
      <c r="S646" s="70" t="s">
        <v>1794</v>
      </c>
      <c r="T646" s="70"/>
      <c r="U646" s="70" t="s">
        <v>4818</v>
      </c>
      <c r="V646" s="70"/>
    </row>
    <row r="647" spans="1:22" ht="15.75" customHeight="1">
      <c r="A647" s="66">
        <v>40709</v>
      </c>
      <c r="B647" s="67">
        <f t="shared" ca="1" si="4"/>
        <v>14.976996383181122</v>
      </c>
      <c r="C647" s="68" t="str">
        <f t="shared" ca="1" si="5"/>
        <v>14 years, 11 months</v>
      </c>
      <c r="D647" s="69">
        <v>9449309906</v>
      </c>
      <c r="E647" s="69">
        <v>20110615</v>
      </c>
      <c r="F647" s="70"/>
      <c r="G647" s="70" t="s">
        <v>4819</v>
      </c>
      <c r="H647" s="70" t="s">
        <v>4820</v>
      </c>
      <c r="I647" s="70" t="s">
        <v>4821</v>
      </c>
      <c r="J647" s="70" t="s">
        <v>1422</v>
      </c>
      <c r="K647" s="70" t="s">
        <v>1285</v>
      </c>
      <c r="L647" s="70"/>
      <c r="M647" s="70" t="s">
        <v>4822</v>
      </c>
      <c r="N647" s="70"/>
      <c r="O647" s="70" t="s">
        <v>1886</v>
      </c>
      <c r="P647" s="70" t="s">
        <v>1793</v>
      </c>
      <c r="Q647" s="69">
        <v>9722605</v>
      </c>
      <c r="R647" s="70"/>
      <c r="S647" s="70" t="s">
        <v>1794</v>
      </c>
      <c r="T647" s="70"/>
      <c r="U647" s="70" t="s">
        <v>4823</v>
      </c>
      <c r="V647" s="70"/>
    </row>
    <row r="648" spans="1:22" ht="15.75" customHeight="1">
      <c r="A648" s="66">
        <v>40710</v>
      </c>
      <c r="B648" s="67">
        <f t="shared" ca="1" si="4"/>
        <v>14.974256657153724</v>
      </c>
      <c r="C648" s="68" t="str">
        <f t="shared" ca="1" si="5"/>
        <v>14 years, 11 months</v>
      </c>
      <c r="D648" s="69">
        <v>9449308365</v>
      </c>
      <c r="E648" s="69">
        <v>20110616</v>
      </c>
      <c r="F648" s="70"/>
      <c r="G648" s="70" t="s">
        <v>4824</v>
      </c>
      <c r="H648" s="70" t="s">
        <v>4825</v>
      </c>
      <c r="I648" s="70" t="s">
        <v>4826</v>
      </c>
      <c r="J648" s="70" t="s">
        <v>1391</v>
      </c>
      <c r="K648" s="70" t="s">
        <v>1263</v>
      </c>
      <c r="L648" s="70"/>
      <c r="M648" s="70" t="s">
        <v>4827</v>
      </c>
      <c r="N648" s="70"/>
      <c r="O648" s="70" t="s">
        <v>2524</v>
      </c>
      <c r="P648" s="70" t="s">
        <v>1793</v>
      </c>
      <c r="Q648" s="69">
        <v>7402665</v>
      </c>
      <c r="R648" s="70"/>
      <c r="S648" s="70" t="s">
        <v>1794</v>
      </c>
      <c r="T648" s="70"/>
      <c r="U648" s="70" t="s">
        <v>4828</v>
      </c>
      <c r="V648" s="70"/>
    </row>
    <row r="649" spans="1:22" ht="15.75" customHeight="1">
      <c r="A649" s="66">
        <v>40715</v>
      </c>
      <c r="B649" s="67">
        <f t="shared" ca="1" si="4"/>
        <v>14.960558027016738</v>
      </c>
      <c r="C649" s="68" t="str">
        <f t="shared" ca="1" si="5"/>
        <v>14 years, 11 months</v>
      </c>
      <c r="D649" s="69">
        <v>9449308683</v>
      </c>
      <c r="E649" s="69">
        <v>20110621</v>
      </c>
      <c r="F649" s="70"/>
      <c r="G649" s="70" t="s">
        <v>4829</v>
      </c>
      <c r="H649" s="70"/>
      <c r="I649" s="70" t="s">
        <v>4830</v>
      </c>
      <c r="J649" s="70" t="s">
        <v>1422</v>
      </c>
      <c r="K649" s="70" t="s">
        <v>1932</v>
      </c>
      <c r="L649" s="70" t="s">
        <v>4831</v>
      </c>
      <c r="M649" s="70" t="s">
        <v>4832</v>
      </c>
      <c r="N649" s="70" t="s">
        <v>2943</v>
      </c>
      <c r="O649" s="70" t="s">
        <v>2678</v>
      </c>
      <c r="P649" s="70" t="s">
        <v>1793</v>
      </c>
      <c r="Q649" s="69">
        <v>24599528</v>
      </c>
      <c r="R649" s="70"/>
      <c r="S649" s="70" t="s">
        <v>1794</v>
      </c>
      <c r="T649" s="70"/>
      <c r="U649" s="70" t="s">
        <v>4833</v>
      </c>
      <c r="V649" s="70"/>
    </row>
    <row r="650" spans="1:22" ht="15.75" customHeight="1">
      <c r="A650" s="66">
        <v>40717</v>
      </c>
      <c r="B650" s="67">
        <f t="shared" ca="1" si="4"/>
        <v>14.955078574961943</v>
      </c>
      <c r="C650" s="68" t="str">
        <f t="shared" ca="1" si="5"/>
        <v>14 years, 11 months</v>
      </c>
      <c r="D650" s="69">
        <v>9449308241</v>
      </c>
      <c r="E650" s="69">
        <v>20110623</v>
      </c>
      <c r="F650" s="70"/>
      <c r="G650" s="70" t="s">
        <v>4834</v>
      </c>
      <c r="H650" s="70"/>
      <c r="I650" s="70" t="s">
        <v>4835</v>
      </c>
      <c r="J650" s="70" t="s">
        <v>1422</v>
      </c>
      <c r="K650" s="70" t="s">
        <v>1285</v>
      </c>
      <c r="L650" s="70"/>
      <c r="M650" s="70" t="s">
        <v>4836</v>
      </c>
      <c r="N650" s="70"/>
      <c r="O650" s="70" t="s">
        <v>2177</v>
      </c>
      <c r="P650" s="70" t="s">
        <v>1793</v>
      </c>
      <c r="Q650" s="69">
        <v>7397981</v>
      </c>
      <c r="R650" s="70"/>
      <c r="S650" s="70" t="s">
        <v>1794</v>
      </c>
      <c r="T650" s="70"/>
      <c r="U650" s="70" t="s">
        <v>4837</v>
      </c>
      <c r="V650" s="70"/>
    </row>
    <row r="651" spans="1:22" ht="15.75" customHeight="1">
      <c r="A651" s="66">
        <v>40719</v>
      </c>
      <c r="B651" s="67">
        <f t="shared" ca="1" si="4"/>
        <v>14.949599122907149</v>
      </c>
      <c r="C651" s="68" t="str">
        <f t="shared" ca="1" si="5"/>
        <v>14 years, 11 months</v>
      </c>
      <c r="D651" s="69">
        <v>9449304955</v>
      </c>
      <c r="E651" s="69">
        <v>20110625</v>
      </c>
      <c r="F651" s="70"/>
      <c r="G651" s="70" t="s">
        <v>4838</v>
      </c>
      <c r="H651" s="70"/>
      <c r="I651" s="70" t="s">
        <v>4839</v>
      </c>
      <c r="J651" s="70" t="s">
        <v>1391</v>
      </c>
      <c r="K651" s="70" t="s">
        <v>1932</v>
      </c>
      <c r="L651" s="70"/>
      <c r="M651" s="70" t="s">
        <v>4840</v>
      </c>
      <c r="N651" s="70"/>
      <c r="O651" s="70" t="s">
        <v>1800</v>
      </c>
      <c r="P651" s="70" t="s">
        <v>1793</v>
      </c>
      <c r="Q651" s="69">
        <v>7332943</v>
      </c>
      <c r="R651" s="70"/>
      <c r="S651" s="70" t="s">
        <v>1794</v>
      </c>
      <c r="T651" s="70"/>
      <c r="U651" s="70" t="s">
        <v>4841</v>
      </c>
      <c r="V651" s="70"/>
    </row>
    <row r="652" spans="1:22" ht="15.75" customHeight="1">
      <c r="A652" s="66">
        <v>40719</v>
      </c>
      <c r="B652" s="67">
        <f t="shared" ca="1" si="4"/>
        <v>14.949599122907149</v>
      </c>
      <c r="C652" s="68" t="str">
        <f t="shared" ca="1" si="5"/>
        <v>14 years, 11 months</v>
      </c>
      <c r="D652" s="69">
        <v>9449309493</v>
      </c>
      <c r="E652" s="69">
        <v>20110625</v>
      </c>
      <c r="F652" s="70"/>
      <c r="G652" s="70" t="s">
        <v>4842</v>
      </c>
      <c r="H652" s="70" t="s">
        <v>3075</v>
      </c>
      <c r="I652" s="70" t="s">
        <v>4843</v>
      </c>
      <c r="J652" s="70" t="s">
        <v>1422</v>
      </c>
      <c r="K652" s="70" t="s">
        <v>2016</v>
      </c>
      <c r="L652" s="70" t="s">
        <v>4844</v>
      </c>
      <c r="M652" s="70" t="s">
        <v>4845</v>
      </c>
      <c r="N652" s="70"/>
      <c r="O652" s="70" t="s">
        <v>2344</v>
      </c>
      <c r="P652" s="70"/>
      <c r="Q652" s="69">
        <v>18359507</v>
      </c>
      <c r="R652" s="70"/>
      <c r="S652" s="70" t="s">
        <v>1794</v>
      </c>
      <c r="T652" s="70"/>
      <c r="U652" s="70" t="s">
        <v>4846</v>
      </c>
      <c r="V652" s="70"/>
    </row>
    <row r="653" spans="1:22" ht="15.75" customHeight="1">
      <c r="A653" s="66">
        <v>40722</v>
      </c>
      <c r="B653" s="67">
        <f t="shared" ca="1" si="4"/>
        <v>14.941379944824957</v>
      </c>
      <c r="C653" s="68" t="str">
        <f t="shared" ca="1" si="5"/>
        <v>14 years, 11 months</v>
      </c>
      <c r="D653" s="69">
        <v>9449303541</v>
      </c>
      <c r="E653" s="69">
        <v>20110628</v>
      </c>
      <c r="F653" s="70"/>
      <c r="G653" s="70" t="s">
        <v>4847</v>
      </c>
      <c r="H653" s="70" t="s">
        <v>4848</v>
      </c>
      <c r="I653" s="70" t="s">
        <v>4849</v>
      </c>
      <c r="J653" s="70" t="s">
        <v>1391</v>
      </c>
      <c r="K653" s="70" t="s">
        <v>1263</v>
      </c>
      <c r="L653" s="70"/>
      <c r="M653" s="70" t="s">
        <v>4850</v>
      </c>
      <c r="N653" s="70" t="s">
        <v>1818</v>
      </c>
      <c r="O653" s="70" t="s">
        <v>1819</v>
      </c>
      <c r="P653" s="70" t="s">
        <v>1793</v>
      </c>
      <c r="Q653" s="69">
        <v>7292789</v>
      </c>
      <c r="R653" s="70"/>
      <c r="S653" s="70" t="s">
        <v>1794</v>
      </c>
      <c r="T653" s="70"/>
      <c r="U653" s="70" t="s">
        <v>4851</v>
      </c>
      <c r="V653" s="70"/>
    </row>
    <row r="654" spans="1:22" ht="15.75" customHeight="1">
      <c r="A654" s="66">
        <v>40722</v>
      </c>
      <c r="B654" s="67">
        <f t="shared" ca="1" si="4"/>
        <v>14.941379944824957</v>
      </c>
      <c r="C654" s="68" t="str">
        <f t="shared" ca="1" si="5"/>
        <v>14 years, 11 months</v>
      </c>
      <c r="D654" s="69">
        <v>9449307997</v>
      </c>
      <c r="E654" s="69">
        <v>20110628</v>
      </c>
      <c r="F654" s="70"/>
      <c r="G654" s="70" t="s">
        <v>4852</v>
      </c>
      <c r="H654" s="70" t="s">
        <v>4853</v>
      </c>
      <c r="I654" s="70" t="s">
        <v>4854</v>
      </c>
      <c r="J654" s="70" t="s">
        <v>1422</v>
      </c>
      <c r="K654" s="70" t="s">
        <v>2016</v>
      </c>
      <c r="L654" s="70"/>
      <c r="M654" s="70" t="s">
        <v>4855</v>
      </c>
      <c r="N654" s="70" t="s">
        <v>2036</v>
      </c>
      <c r="O654" s="70" t="s">
        <v>2037</v>
      </c>
      <c r="P654" s="70"/>
      <c r="Q654" s="69">
        <v>25161315</v>
      </c>
      <c r="R654" s="70"/>
      <c r="S654" s="70" t="s">
        <v>1794</v>
      </c>
      <c r="T654" s="70"/>
      <c r="U654" s="70" t="s">
        <v>4856</v>
      </c>
      <c r="V654" s="70"/>
    </row>
    <row r="655" spans="1:22" ht="15.75" customHeight="1">
      <c r="A655" s="66">
        <v>40725</v>
      </c>
      <c r="B655" s="67">
        <f t="shared" ca="1" si="4"/>
        <v>14.933160766742766</v>
      </c>
      <c r="C655" s="68" t="str">
        <f t="shared" ca="1" si="5"/>
        <v>14 years, 11 months</v>
      </c>
      <c r="D655" s="69">
        <v>9449309396</v>
      </c>
      <c r="E655" s="69">
        <v>20110701</v>
      </c>
      <c r="F655" s="70"/>
      <c r="G655" s="70" t="s">
        <v>4857</v>
      </c>
      <c r="H655" s="70"/>
      <c r="I655" s="70" t="s">
        <v>4858</v>
      </c>
      <c r="J655" s="70" t="s">
        <v>1422</v>
      </c>
      <c r="K655" s="70" t="s">
        <v>1285</v>
      </c>
      <c r="L655" s="70" t="s">
        <v>4859</v>
      </c>
      <c r="M655" s="70"/>
      <c r="N655" s="70" t="s">
        <v>4860</v>
      </c>
      <c r="O655" s="70" t="s">
        <v>1862</v>
      </c>
      <c r="P655" s="70" t="s">
        <v>1793</v>
      </c>
      <c r="Q655" s="69">
        <v>22557621</v>
      </c>
      <c r="R655" s="70"/>
      <c r="S655" s="70" t="s">
        <v>1794</v>
      </c>
      <c r="T655" s="70"/>
      <c r="U655" s="70" t="s">
        <v>4861</v>
      </c>
      <c r="V655" s="70"/>
    </row>
    <row r="656" spans="1:22" ht="15.75" customHeight="1">
      <c r="A656" s="66">
        <v>40733</v>
      </c>
      <c r="B656" s="67">
        <f t="shared" ca="1" si="4"/>
        <v>14.911242958523587</v>
      </c>
      <c r="C656" s="68" t="str">
        <f t="shared" ca="1" si="5"/>
        <v>14 years, 10 months</v>
      </c>
      <c r="D656" s="69">
        <v>9449309973</v>
      </c>
      <c r="E656" s="69">
        <v>20110709</v>
      </c>
      <c r="F656" s="70"/>
      <c r="G656" s="70" t="s">
        <v>2460</v>
      </c>
      <c r="H656" s="70" t="s">
        <v>4862</v>
      </c>
      <c r="I656" s="70" t="s">
        <v>4863</v>
      </c>
      <c r="J656" s="70" t="s">
        <v>1314</v>
      </c>
      <c r="K656" s="70" t="s">
        <v>1932</v>
      </c>
      <c r="L656" s="70"/>
      <c r="M656" s="70" t="s">
        <v>4864</v>
      </c>
      <c r="N656" s="70"/>
      <c r="O656" s="70" t="s">
        <v>1886</v>
      </c>
      <c r="P656" s="70" t="s">
        <v>1793</v>
      </c>
      <c r="Q656" s="69">
        <v>24249008</v>
      </c>
      <c r="R656" s="70"/>
      <c r="S656" s="70" t="s">
        <v>1794</v>
      </c>
      <c r="T656" s="70"/>
      <c r="U656" s="70" t="s">
        <v>4865</v>
      </c>
      <c r="V656" s="70"/>
    </row>
    <row r="657" spans="1:22" ht="15.75" customHeight="1">
      <c r="A657" s="66">
        <v>40735</v>
      </c>
      <c r="B657" s="67">
        <f t="shared" ca="1" si="4"/>
        <v>14.905763506468793</v>
      </c>
      <c r="C657" s="68" t="str">
        <f t="shared" ca="1" si="5"/>
        <v>14 years, 10 months</v>
      </c>
      <c r="D657" s="69">
        <v>9449309884</v>
      </c>
      <c r="E657" s="69">
        <v>20110711</v>
      </c>
      <c r="F657" s="70"/>
      <c r="G657" s="70" t="s">
        <v>4866</v>
      </c>
      <c r="H657" s="70" t="s">
        <v>4867</v>
      </c>
      <c r="I657" s="70" t="s">
        <v>4868</v>
      </c>
      <c r="J657" s="70" t="s">
        <v>1391</v>
      </c>
      <c r="K657" s="70" t="s">
        <v>1263</v>
      </c>
      <c r="L657" s="70" t="s">
        <v>4869</v>
      </c>
      <c r="M657" s="70" t="s">
        <v>1868</v>
      </c>
      <c r="N657" s="70"/>
      <c r="O657" s="70" t="s">
        <v>1886</v>
      </c>
      <c r="P657" s="70"/>
      <c r="Q657" s="69">
        <v>18811245</v>
      </c>
      <c r="R657" s="70"/>
      <c r="S657" s="70" t="s">
        <v>1794</v>
      </c>
      <c r="T657" s="70"/>
      <c r="U657" s="70" t="s">
        <v>4870</v>
      </c>
      <c r="V657" s="70"/>
    </row>
    <row r="658" spans="1:22" ht="15.75" customHeight="1">
      <c r="A658" s="66">
        <v>40737</v>
      </c>
      <c r="B658" s="67">
        <f t="shared" ca="1" si="4"/>
        <v>14.900284054413998</v>
      </c>
      <c r="C658" s="68" t="str">
        <f t="shared" ca="1" si="5"/>
        <v>14 years, 10 months</v>
      </c>
      <c r="D658" s="69">
        <v>9449308462</v>
      </c>
      <c r="E658" s="69">
        <v>20110713</v>
      </c>
      <c r="F658" s="70"/>
      <c r="G658" s="70" t="s">
        <v>4871</v>
      </c>
      <c r="H658" s="70" t="s">
        <v>4872</v>
      </c>
      <c r="I658" s="70" t="s">
        <v>4873</v>
      </c>
      <c r="J658" s="70" t="s">
        <v>1422</v>
      </c>
      <c r="K658" s="70" t="s">
        <v>1285</v>
      </c>
      <c r="L658" s="70"/>
      <c r="M658" s="70" t="s">
        <v>4874</v>
      </c>
      <c r="N658" s="70"/>
      <c r="O658" s="70" t="s">
        <v>2177</v>
      </c>
      <c r="P658" s="70" t="s">
        <v>1793</v>
      </c>
      <c r="Q658" s="69">
        <v>26696522</v>
      </c>
      <c r="R658" s="70"/>
      <c r="S658" s="70" t="s">
        <v>1794</v>
      </c>
      <c r="T658" s="70"/>
      <c r="U658" s="70" t="s">
        <v>4875</v>
      </c>
      <c r="V658" s="70"/>
    </row>
    <row r="659" spans="1:22" ht="15.75" customHeight="1">
      <c r="A659" s="66">
        <v>40739</v>
      </c>
      <c r="B659" s="67">
        <f t="shared" ca="1" si="4"/>
        <v>14.894804602359203</v>
      </c>
      <c r="C659" s="68" t="str">
        <f t="shared" ca="1" si="5"/>
        <v>14 years, 10 months</v>
      </c>
      <c r="D659" s="69">
        <v>9449304807</v>
      </c>
      <c r="E659" s="69">
        <v>20110715</v>
      </c>
      <c r="F659" s="70"/>
      <c r="G659" s="70" t="s">
        <v>4876</v>
      </c>
      <c r="H659" s="70"/>
      <c r="I659" s="70" t="s">
        <v>4877</v>
      </c>
      <c r="J659" s="70" t="s">
        <v>1391</v>
      </c>
      <c r="K659" s="70" t="s">
        <v>1263</v>
      </c>
      <c r="L659" s="70"/>
      <c r="M659" s="70" t="s">
        <v>4878</v>
      </c>
      <c r="N659" s="70"/>
      <c r="O659" s="70" t="s">
        <v>1800</v>
      </c>
      <c r="P659" s="70" t="s">
        <v>1793</v>
      </c>
      <c r="Q659" s="69">
        <v>17349465</v>
      </c>
      <c r="R659" s="70"/>
      <c r="S659" s="70" t="s">
        <v>1794</v>
      </c>
      <c r="T659" s="70"/>
      <c r="U659" s="70" t="s">
        <v>4879</v>
      </c>
      <c r="V659" s="70"/>
    </row>
    <row r="660" spans="1:22" ht="15.75" customHeight="1">
      <c r="A660" s="66">
        <v>40739</v>
      </c>
      <c r="B660" s="67">
        <f t="shared" ca="1" si="4"/>
        <v>14.894804602359203</v>
      </c>
      <c r="C660" s="68" t="str">
        <f t="shared" ca="1" si="5"/>
        <v>14 years, 10 months</v>
      </c>
      <c r="D660" s="69">
        <v>9449307814</v>
      </c>
      <c r="E660" s="69">
        <v>20110715</v>
      </c>
      <c r="F660" s="70"/>
      <c r="G660" s="70" t="s">
        <v>4880</v>
      </c>
      <c r="H660" s="70"/>
      <c r="I660" s="70" t="s">
        <v>4881</v>
      </c>
      <c r="J660" s="70" t="s">
        <v>1422</v>
      </c>
      <c r="K660" s="70" t="s">
        <v>1285</v>
      </c>
      <c r="L660" s="70"/>
      <c r="M660" s="70" t="s">
        <v>4882</v>
      </c>
      <c r="N660" s="70" t="s">
        <v>1973</v>
      </c>
      <c r="O660" s="70" t="s">
        <v>1807</v>
      </c>
      <c r="P660" s="70" t="s">
        <v>1793</v>
      </c>
      <c r="Q660" s="69">
        <v>7366014</v>
      </c>
      <c r="R660" s="70"/>
      <c r="S660" s="70" t="s">
        <v>1794</v>
      </c>
      <c r="T660" s="70"/>
      <c r="U660" s="70" t="s">
        <v>4883</v>
      </c>
      <c r="V660" s="70"/>
    </row>
    <row r="661" spans="1:22" ht="15.75" customHeight="1">
      <c r="A661" s="66">
        <v>40740</v>
      </c>
      <c r="B661" s="67">
        <f t="shared" ca="1" si="4"/>
        <v>14.892064876331807</v>
      </c>
      <c r="C661" s="68" t="str">
        <f t="shared" ca="1" si="5"/>
        <v>14 years, 10 months</v>
      </c>
      <c r="D661" s="69">
        <v>9449305536</v>
      </c>
      <c r="E661" s="69">
        <v>20110716</v>
      </c>
      <c r="F661" s="70"/>
      <c r="G661" s="70" t="s">
        <v>4884</v>
      </c>
      <c r="H661" s="70" t="s">
        <v>2603</v>
      </c>
      <c r="I661" s="70" t="s">
        <v>4885</v>
      </c>
      <c r="J661" s="70" t="s">
        <v>1391</v>
      </c>
      <c r="K661" s="70" t="s">
        <v>1263</v>
      </c>
      <c r="L661" s="70"/>
      <c r="M661" s="70" t="s">
        <v>4886</v>
      </c>
      <c r="N661" s="70"/>
      <c r="O661" s="70" t="s">
        <v>1800</v>
      </c>
      <c r="P661" s="70" t="s">
        <v>1793</v>
      </c>
      <c r="Q661" s="69">
        <v>7339285</v>
      </c>
      <c r="R661" s="70"/>
      <c r="S661" s="70" t="s">
        <v>1794</v>
      </c>
      <c r="T661" s="70"/>
      <c r="U661" s="70" t="s">
        <v>4887</v>
      </c>
      <c r="V661" s="70"/>
    </row>
    <row r="662" spans="1:22" ht="15.75" customHeight="1">
      <c r="A662" s="66">
        <v>40742</v>
      </c>
      <c r="B662" s="67">
        <f t="shared" ca="1" si="4"/>
        <v>14.886585424277012</v>
      </c>
      <c r="C662" s="68" t="str">
        <f t="shared" ca="1" si="5"/>
        <v>14 years, 10 months</v>
      </c>
      <c r="D662" s="69">
        <v>9449307148</v>
      </c>
      <c r="E662" s="69">
        <v>20110718</v>
      </c>
      <c r="F662" s="70"/>
      <c r="G662" s="70" t="s">
        <v>4888</v>
      </c>
      <c r="H662" s="70" t="s">
        <v>2511</v>
      </c>
      <c r="I662" s="70" t="s">
        <v>4889</v>
      </c>
      <c r="J662" s="70" t="s">
        <v>1422</v>
      </c>
      <c r="K662" s="70" t="s">
        <v>1932</v>
      </c>
      <c r="L662" s="70"/>
      <c r="M662" s="70" t="s">
        <v>4890</v>
      </c>
      <c r="N662" s="70"/>
      <c r="O662" s="70" t="s">
        <v>1807</v>
      </c>
      <c r="P662" s="70" t="s">
        <v>1793</v>
      </c>
      <c r="Q662" s="69">
        <v>7360795</v>
      </c>
      <c r="R662" s="70"/>
      <c r="S662" s="70" t="s">
        <v>1794</v>
      </c>
      <c r="T662" s="70"/>
      <c r="U662" s="70" t="s">
        <v>4891</v>
      </c>
      <c r="V662" s="70"/>
    </row>
    <row r="663" spans="1:22" ht="15.75" customHeight="1">
      <c r="A663" s="66">
        <v>40743</v>
      </c>
      <c r="B663" s="67">
        <f t="shared" ca="1" si="4"/>
        <v>14.883845698249615</v>
      </c>
      <c r="C663" s="68" t="str">
        <f t="shared" ca="1" si="5"/>
        <v>14 years, 10 months</v>
      </c>
      <c r="D663" s="69">
        <v>9449306451</v>
      </c>
      <c r="E663" s="69">
        <v>20110719</v>
      </c>
      <c r="F663" s="70"/>
      <c r="G663" s="70" t="s">
        <v>4892</v>
      </c>
      <c r="H663" s="70"/>
      <c r="I663" s="70" t="s">
        <v>4893</v>
      </c>
      <c r="J663" s="70" t="s">
        <v>1314</v>
      </c>
      <c r="K663" s="70" t="s">
        <v>1263</v>
      </c>
      <c r="L663" s="70"/>
      <c r="M663" s="70" t="s">
        <v>4894</v>
      </c>
      <c r="N663" s="70"/>
      <c r="O663" s="70" t="s">
        <v>1906</v>
      </c>
      <c r="P663" s="70" t="s">
        <v>1793</v>
      </c>
      <c r="Q663" s="69">
        <v>7355257</v>
      </c>
      <c r="R663" s="70"/>
      <c r="S663" s="70" t="s">
        <v>1794</v>
      </c>
      <c r="T663" s="70"/>
      <c r="U663" s="70" t="s">
        <v>4895</v>
      </c>
      <c r="V663" s="70"/>
    </row>
    <row r="664" spans="1:22" ht="15.75" customHeight="1">
      <c r="A664" s="66">
        <v>40743</v>
      </c>
      <c r="B664" s="67">
        <f t="shared" ca="1" si="4"/>
        <v>14.883845698249615</v>
      </c>
      <c r="C664" s="68" t="str">
        <f t="shared" ca="1" si="5"/>
        <v>14 years, 10 months</v>
      </c>
      <c r="D664" s="69">
        <v>9449306257</v>
      </c>
      <c r="E664" s="69">
        <v>20110719</v>
      </c>
      <c r="F664" s="70"/>
      <c r="G664" s="70" t="s">
        <v>4896</v>
      </c>
      <c r="H664" s="70" t="s">
        <v>4897</v>
      </c>
      <c r="I664" s="70" t="s">
        <v>4898</v>
      </c>
      <c r="J664" s="70" t="s">
        <v>1391</v>
      </c>
      <c r="K664" s="70" t="s">
        <v>1263</v>
      </c>
      <c r="L664" s="70"/>
      <c r="M664" s="70" t="s">
        <v>4899</v>
      </c>
      <c r="N664" s="70"/>
      <c r="O664" s="70" t="s">
        <v>1906</v>
      </c>
      <c r="P664" s="70" t="s">
        <v>1793</v>
      </c>
      <c r="Q664" s="69">
        <v>7354790</v>
      </c>
      <c r="R664" s="70"/>
      <c r="S664" s="70" t="s">
        <v>1794</v>
      </c>
      <c r="T664" s="70"/>
      <c r="U664" s="70" t="s">
        <v>4900</v>
      </c>
      <c r="V664" s="70"/>
    </row>
    <row r="665" spans="1:22" ht="15.75" customHeight="1">
      <c r="A665" s="66">
        <v>40743</v>
      </c>
      <c r="B665" s="67">
        <f t="shared" ca="1" si="4"/>
        <v>14.883845698249615</v>
      </c>
      <c r="C665" s="68" t="str">
        <f t="shared" ca="1" si="5"/>
        <v>14 years, 10 months</v>
      </c>
      <c r="D665" s="69">
        <v>9449307598</v>
      </c>
      <c r="E665" s="69">
        <v>20110719</v>
      </c>
      <c r="F665" s="70"/>
      <c r="G665" s="70" t="s">
        <v>4901</v>
      </c>
      <c r="H665" s="70"/>
      <c r="I665" s="70" t="s">
        <v>4902</v>
      </c>
      <c r="J665" s="70" t="s">
        <v>1422</v>
      </c>
      <c r="K665" s="70" t="s">
        <v>2016</v>
      </c>
      <c r="L665" s="70" t="s">
        <v>4903</v>
      </c>
      <c r="M665" s="70" t="s">
        <v>4904</v>
      </c>
      <c r="N665" s="70" t="s">
        <v>1973</v>
      </c>
      <c r="O665" s="70" t="s">
        <v>1807</v>
      </c>
      <c r="P665" s="70" t="s">
        <v>1793</v>
      </c>
      <c r="Q665" s="69">
        <v>17363149</v>
      </c>
      <c r="R665" s="70"/>
      <c r="S665" s="70" t="s">
        <v>1794</v>
      </c>
      <c r="T665" s="70"/>
      <c r="U665" s="70" t="s">
        <v>4905</v>
      </c>
      <c r="V665" s="70"/>
    </row>
    <row r="666" spans="1:22" ht="15.75" customHeight="1">
      <c r="A666" s="66">
        <v>40744</v>
      </c>
      <c r="B666" s="67">
        <f t="shared" ca="1" si="4"/>
        <v>14.881105972222217</v>
      </c>
      <c r="C666" s="68" t="str">
        <f t="shared" ca="1" si="5"/>
        <v>14 years, 10 months</v>
      </c>
      <c r="D666" s="69">
        <v>9449305889</v>
      </c>
      <c r="E666" s="69">
        <v>20110720</v>
      </c>
      <c r="F666" s="70"/>
      <c r="G666" s="70" t="s">
        <v>3507</v>
      </c>
      <c r="H666" s="70" t="s">
        <v>4906</v>
      </c>
      <c r="I666" s="70" t="s">
        <v>4907</v>
      </c>
      <c r="J666" s="70" t="s">
        <v>1422</v>
      </c>
      <c r="K666" s="70" t="s">
        <v>1285</v>
      </c>
      <c r="L666" s="70"/>
      <c r="M666" s="70" t="s">
        <v>4908</v>
      </c>
      <c r="N666" s="70"/>
      <c r="O666" s="70" t="s">
        <v>1800</v>
      </c>
      <c r="P666" s="70" t="s">
        <v>1793</v>
      </c>
      <c r="Q666" s="69">
        <v>7343125</v>
      </c>
      <c r="R666" s="70"/>
      <c r="S666" s="70" t="s">
        <v>1794</v>
      </c>
      <c r="T666" s="70"/>
      <c r="U666" s="70" t="s">
        <v>4909</v>
      </c>
      <c r="V666" s="70"/>
    </row>
    <row r="667" spans="1:22" ht="15.75" customHeight="1">
      <c r="A667" s="66">
        <v>40745</v>
      </c>
      <c r="B667" s="67">
        <f t="shared" ca="1" si="4"/>
        <v>14.878366246194821</v>
      </c>
      <c r="C667" s="68" t="str">
        <f t="shared" ca="1" si="5"/>
        <v>14 years, 10 months</v>
      </c>
      <c r="D667" s="69">
        <v>9449306125</v>
      </c>
      <c r="E667" s="69">
        <v>20110721</v>
      </c>
      <c r="F667" s="70"/>
      <c r="G667" s="70" t="s">
        <v>2642</v>
      </c>
      <c r="H667" s="70" t="s">
        <v>4910</v>
      </c>
      <c r="I667" s="70" t="s">
        <v>4911</v>
      </c>
      <c r="J667" s="70" t="s">
        <v>1314</v>
      </c>
      <c r="K667" s="70" t="s">
        <v>1263</v>
      </c>
      <c r="L667" s="70"/>
      <c r="M667" s="70" t="s">
        <v>4912</v>
      </c>
      <c r="N667" s="70"/>
      <c r="O667" s="70" t="s">
        <v>1906</v>
      </c>
      <c r="P667" s="70" t="s">
        <v>1793</v>
      </c>
      <c r="Q667" s="69">
        <v>17357334</v>
      </c>
      <c r="R667" s="70"/>
      <c r="S667" s="70" t="s">
        <v>1794</v>
      </c>
      <c r="T667" s="70"/>
      <c r="U667" s="70" t="s">
        <v>4913</v>
      </c>
      <c r="V667" s="70"/>
    </row>
    <row r="668" spans="1:22" ht="15.75" customHeight="1">
      <c r="A668" s="66">
        <v>40745</v>
      </c>
      <c r="B668" s="67">
        <f t="shared" ca="1" si="4"/>
        <v>14.878366246194821</v>
      </c>
      <c r="C668" s="68" t="str">
        <f t="shared" ca="1" si="5"/>
        <v>14 years, 10 months</v>
      </c>
      <c r="D668" s="69">
        <v>9449303371</v>
      </c>
      <c r="E668" s="69">
        <v>20110721</v>
      </c>
      <c r="F668" s="69">
        <v>201206121010</v>
      </c>
      <c r="G668" s="70" t="s">
        <v>4061</v>
      </c>
      <c r="H668" s="70" t="s">
        <v>4914</v>
      </c>
      <c r="I668" s="70" t="s">
        <v>4915</v>
      </c>
      <c r="J668" s="70" t="s">
        <v>1422</v>
      </c>
      <c r="K668" s="70" t="s">
        <v>2016</v>
      </c>
      <c r="L668" s="70"/>
      <c r="M668" s="70" t="s">
        <v>4916</v>
      </c>
      <c r="N668" s="70"/>
      <c r="O668" s="70" t="s">
        <v>3921</v>
      </c>
      <c r="P668" s="70" t="s">
        <v>1793</v>
      </c>
      <c r="Q668" s="69">
        <v>9681649</v>
      </c>
      <c r="R668" s="70"/>
      <c r="S668" s="70" t="s">
        <v>1794</v>
      </c>
      <c r="T668" s="70"/>
      <c r="U668" s="70" t="s">
        <v>3922</v>
      </c>
      <c r="V668" s="70"/>
    </row>
    <row r="669" spans="1:22" ht="15.75" customHeight="1">
      <c r="A669" s="66">
        <v>40745</v>
      </c>
      <c r="B669" s="67">
        <f t="shared" ca="1" si="4"/>
        <v>14.878366246194821</v>
      </c>
      <c r="C669" s="68" t="str">
        <f t="shared" ca="1" si="5"/>
        <v>14 years, 10 months</v>
      </c>
      <c r="D669" s="69">
        <v>9449306761</v>
      </c>
      <c r="E669" s="69">
        <v>20110721</v>
      </c>
      <c r="F669" s="70"/>
      <c r="G669" s="70" t="s">
        <v>4917</v>
      </c>
      <c r="H669" s="70" t="s">
        <v>4918</v>
      </c>
      <c r="I669" s="70" t="s">
        <v>4919</v>
      </c>
      <c r="J669" s="70" t="s">
        <v>1422</v>
      </c>
      <c r="K669" s="70" t="s">
        <v>1285</v>
      </c>
      <c r="L669" s="70"/>
      <c r="M669" s="70" t="s">
        <v>4920</v>
      </c>
      <c r="N669" s="70"/>
      <c r="O669" s="70" t="s">
        <v>1834</v>
      </c>
      <c r="P669" s="70" t="s">
        <v>1793</v>
      </c>
      <c r="Q669" s="69">
        <v>7358602</v>
      </c>
      <c r="R669" s="70"/>
      <c r="S669" s="70" t="s">
        <v>1794</v>
      </c>
      <c r="T669" s="70"/>
      <c r="U669" s="70" t="s">
        <v>4921</v>
      </c>
      <c r="V669" s="70"/>
    </row>
    <row r="670" spans="1:22" ht="15.75" customHeight="1">
      <c r="A670" s="66">
        <v>40746</v>
      </c>
      <c r="B670" s="67">
        <f t="shared" ca="1" si="4"/>
        <v>14.875626520167422</v>
      </c>
      <c r="C670" s="68" t="str">
        <f t="shared" ca="1" si="5"/>
        <v>14 years, 10 months</v>
      </c>
      <c r="D670" s="69">
        <v>9449304491</v>
      </c>
      <c r="E670" s="69">
        <v>20110722</v>
      </c>
      <c r="F670" s="70"/>
      <c r="G670" s="70" t="s">
        <v>4922</v>
      </c>
      <c r="H670" s="70" t="s">
        <v>4923</v>
      </c>
      <c r="I670" s="70" t="s">
        <v>4924</v>
      </c>
      <c r="J670" s="70" t="s">
        <v>1314</v>
      </c>
      <c r="K670" s="70" t="s">
        <v>1932</v>
      </c>
      <c r="L670" s="70" t="s">
        <v>4925</v>
      </c>
      <c r="M670" s="70" t="s">
        <v>4926</v>
      </c>
      <c r="N670" s="70" t="s">
        <v>1874</v>
      </c>
      <c r="O670" s="70" t="s">
        <v>1800</v>
      </c>
      <c r="P670" s="70" t="s">
        <v>1793</v>
      </c>
      <c r="Q670" s="69">
        <v>17348542</v>
      </c>
      <c r="R670" s="70"/>
      <c r="S670" s="70" t="s">
        <v>1794</v>
      </c>
      <c r="T670" s="70"/>
      <c r="U670" s="70" t="s">
        <v>4927</v>
      </c>
      <c r="V670" s="70"/>
    </row>
    <row r="671" spans="1:22" ht="15.75" customHeight="1">
      <c r="A671" s="66">
        <v>40746</v>
      </c>
      <c r="B671" s="67">
        <f t="shared" ca="1" si="4"/>
        <v>14.875626520167422</v>
      </c>
      <c r="C671" s="68" t="str">
        <f t="shared" ca="1" si="5"/>
        <v>14 years, 10 months</v>
      </c>
      <c r="D671" s="69">
        <v>9449304793</v>
      </c>
      <c r="E671" s="69">
        <v>20110722</v>
      </c>
      <c r="F671" s="70"/>
      <c r="G671" s="70" t="s">
        <v>4928</v>
      </c>
      <c r="H671" s="70" t="s">
        <v>4929</v>
      </c>
      <c r="I671" s="70" t="s">
        <v>4930</v>
      </c>
      <c r="J671" s="70" t="s">
        <v>1391</v>
      </c>
      <c r="K671" s="70" t="s">
        <v>1932</v>
      </c>
      <c r="L671" s="70"/>
      <c r="M671" s="70" t="s">
        <v>4931</v>
      </c>
      <c r="N671" s="70"/>
      <c r="O671" s="70" t="s">
        <v>1800</v>
      </c>
      <c r="P671" s="70" t="s">
        <v>1793</v>
      </c>
      <c r="Q671" s="69">
        <v>17349443</v>
      </c>
      <c r="R671" s="70"/>
      <c r="S671" s="70" t="s">
        <v>1794</v>
      </c>
      <c r="T671" s="70"/>
      <c r="U671" s="70" t="s">
        <v>4932</v>
      </c>
      <c r="V671" s="70"/>
    </row>
    <row r="672" spans="1:22" ht="15.75" customHeight="1">
      <c r="A672" s="66">
        <v>40746</v>
      </c>
      <c r="B672" s="67">
        <f t="shared" ca="1" si="4"/>
        <v>14.875626520167422</v>
      </c>
      <c r="C672" s="68" t="str">
        <f t="shared" ca="1" si="5"/>
        <v>14 years, 10 months</v>
      </c>
      <c r="D672" s="69">
        <v>9449307725</v>
      </c>
      <c r="E672" s="69">
        <v>20110722</v>
      </c>
      <c r="F672" s="70"/>
      <c r="G672" s="70" t="s">
        <v>4933</v>
      </c>
      <c r="H672" s="70" t="s">
        <v>4934</v>
      </c>
      <c r="I672" s="70" t="s">
        <v>4935</v>
      </c>
      <c r="J672" s="70" t="s">
        <v>1422</v>
      </c>
      <c r="K672" s="70" t="s">
        <v>1285</v>
      </c>
      <c r="L672" s="70"/>
      <c r="M672" s="70" t="s">
        <v>4936</v>
      </c>
      <c r="N672" s="70" t="s">
        <v>1973</v>
      </c>
      <c r="O672" s="70" t="s">
        <v>1807</v>
      </c>
      <c r="P672" s="70" t="s">
        <v>1793</v>
      </c>
      <c r="Q672" s="69">
        <v>32165919</v>
      </c>
      <c r="R672" s="70"/>
      <c r="S672" s="70" t="s">
        <v>1794</v>
      </c>
      <c r="T672" s="70"/>
      <c r="U672" s="70" t="s">
        <v>4937</v>
      </c>
      <c r="V672" s="70"/>
    </row>
    <row r="673" spans="1:22" ht="15.75" customHeight="1">
      <c r="A673" s="66">
        <v>40746</v>
      </c>
      <c r="B673" s="67">
        <f t="shared" ca="1" si="4"/>
        <v>14.875626520167422</v>
      </c>
      <c r="C673" s="68" t="str">
        <f t="shared" ca="1" si="5"/>
        <v>14 years, 10 months</v>
      </c>
      <c r="D673" s="69">
        <v>9449308373</v>
      </c>
      <c r="E673" s="69">
        <v>20110722</v>
      </c>
      <c r="F673" s="70"/>
      <c r="G673" s="70" t="s">
        <v>2821</v>
      </c>
      <c r="H673" s="70" t="s">
        <v>3467</v>
      </c>
      <c r="I673" s="70" t="s">
        <v>4938</v>
      </c>
      <c r="J673" s="70" t="s">
        <v>1422</v>
      </c>
      <c r="K673" s="70" t="s">
        <v>1285</v>
      </c>
      <c r="L673" s="70" t="s">
        <v>4939</v>
      </c>
      <c r="M673" s="70" t="s">
        <v>4940</v>
      </c>
      <c r="N673" s="70"/>
      <c r="O673" s="70" t="s">
        <v>2524</v>
      </c>
      <c r="P673" s="70" t="s">
        <v>1793</v>
      </c>
      <c r="Q673" s="69">
        <v>17377377</v>
      </c>
      <c r="R673" s="70"/>
      <c r="S673" s="70" t="s">
        <v>1794</v>
      </c>
      <c r="T673" s="70"/>
      <c r="U673" s="70" t="s">
        <v>4941</v>
      </c>
      <c r="V673" s="70"/>
    </row>
    <row r="674" spans="1:22" ht="15.75" customHeight="1">
      <c r="A674" s="66">
        <v>40747</v>
      </c>
      <c r="B674" s="67">
        <f t="shared" ca="1" si="4"/>
        <v>14.872886794140026</v>
      </c>
      <c r="C674" s="68" t="str">
        <f t="shared" ca="1" si="5"/>
        <v>14 years, 10 months</v>
      </c>
      <c r="D674" s="69">
        <v>9449303851</v>
      </c>
      <c r="E674" s="69">
        <v>20110723</v>
      </c>
      <c r="F674" s="70"/>
      <c r="G674" s="70" t="s">
        <v>4942</v>
      </c>
      <c r="H674" s="70" t="s">
        <v>2918</v>
      </c>
      <c r="I674" s="70" t="s">
        <v>4943</v>
      </c>
      <c r="J674" s="70" t="s">
        <v>1391</v>
      </c>
      <c r="K674" s="70" t="s">
        <v>1263</v>
      </c>
      <c r="L674" s="70" t="s">
        <v>4944</v>
      </c>
      <c r="M674" s="70" t="s">
        <v>2814</v>
      </c>
      <c r="N674" s="70"/>
      <c r="O674" s="70" t="s">
        <v>1819</v>
      </c>
      <c r="P674" s="70" t="s">
        <v>1793</v>
      </c>
      <c r="Q674" s="69">
        <v>21305161</v>
      </c>
      <c r="R674" s="70"/>
      <c r="S674" s="70" t="s">
        <v>1794</v>
      </c>
      <c r="T674" s="70"/>
      <c r="U674" s="70" t="s">
        <v>4945</v>
      </c>
      <c r="V674" s="70"/>
    </row>
    <row r="675" spans="1:22" ht="15.75" customHeight="1">
      <c r="A675" s="66">
        <v>40747</v>
      </c>
      <c r="B675" s="67">
        <f t="shared" ca="1" si="4"/>
        <v>14.872886794140026</v>
      </c>
      <c r="C675" s="68" t="str">
        <f t="shared" ca="1" si="5"/>
        <v>14 years, 10 months</v>
      </c>
      <c r="D675" s="69">
        <v>9449305013</v>
      </c>
      <c r="E675" s="69">
        <v>20110723</v>
      </c>
      <c r="F675" s="70"/>
      <c r="G675" s="70" t="s">
        <v>4946</v>
      </c>
      <c r="H675" s="70" t="s">
        <v>2335</v>
      </c>
      <c r="I675" s="70" t="s">
        <v>4947</v>
      </c>
      <c r="J675" s="70" t="s">
        <v>1422</v>
      </c>
      <c r="K675" s="70" t="s">
        <v>1285</v>
      </c>
      <c r="L675" s="70" t="s">
        <v>4948</v>
      </c>
      <c r="M675" s="70" t="s">
        <v>4949</v>
      </c>
      <c r="N675" s="70"/>
      <c r="O675" s="70" t="s">
        <v>1800</v>
      </c>
      <c r="P675" s="70" t="s">
        <v>1793</v>
      </c>
      <c r="Q675" s="69">
        <v>25172454</v>
      </c>
      <c r="R675" s="70"/>
      <c r="S675" s="70" t="s">
        <v>1794</v>
      </c>
      <c r="T675" s="70"/>
      <c r="U675" s="70" t="s">
        <v>4950</v>
      </c>
      <c r="V675" s="70"/>
    </row>
    <row r="676" spans="1:22" ht="15.75" customHeight="1">
      <c r="A676" s="66">
        <v>40748</v>
      </c>
      <c r="B676" s="67">
        <f t="shared" ca="1" si="4"/>
        <v>14.870147068112628</v>
      </c>
      <c r="C676" s="68" t="str">
        <f t="shared" ca="1" si="5"/>
        <v>14 years, 10 months</v>
      </c>
      <c r="D676" s="69">
        <v>9449308233</v>
      </c>
      <c r="E676" s="69">
        <v>20110724</v>
      </c>
      <c r="F676" s="70"/>
      <c r="G676" s="70" t="s">
        <v>4951</v>
      </c>
      <c r="H676" s="70" t="s">
        <v>4952</v>
      </c>
      <c r="I676" s="70" t="s">
        <v>4953</v>
      </c>
      <c r="J676" s="70" t="s">
        <v>1314</v>
      </c>
      <c r="K676" s="70" t="s">
        <v>1932</v>
      </c>
      <c r="L676" s="70"/>
      <c r="M676" s="70" t="s">
        <v>4954</v>
      </c>
      <c r="N676" s="70"/>
      <c r="O676" s="70" t="s">
        <v>2132</v>
      </c>
      <c r="P676" s="70" t="s">
        <v>1793</v>
      </c>
      <c r="Q676" s="69">
        <v>7397918</v>
      </c>
      <c r="R676" s="70"/>
      <c r="S676" s="70" t="s">
        <v>1794</v>
      </c>
      <c r="T676" s="70"/>
      <c r="U676" s="70" t="s">
        <v>4955</v>
      </c>
      <c r="V676" s="70"/>
    </row>
    <row r="677" spans="1:22" ht="15.75" customHeight="1">
      <c r="A677" s="66">
        <v>40748</v>
      </c>
      <c r="B677" s="67">
        <f t="shared" ca="1" si="4"/>
        <v>14.870147068112628</v>
      </c>
      <c r="C677" s="68" t="str">
        <f t="shared" ca="1" si="5"/>
        <v>14 years, 10 months</v>
      </c>
      <c r="D677" s="69">
        <v>9449303304</v>
      </c>
      <c r="E677" s="69">
        <v>20110724</v>
      </c>
      <c r="F677" s="69">
        <v>20110722</v>
      </c>
      <c r="G677" s="70" t="s">
        <v>4956</v>
      </c>
      <c r="H677" s="70"/>
      <c r="I677" s="70" t="s">
        <v>4957</v>
      </c>
      <c r="J677" s="70" t="s">
        <v>1422</v>
      </c>
      <c r="K677" s="70" t="s">
        <v>1285</v>
      </c>
      <c r="L677" s="70"/>
      <c r="M677" s="70" t="s">
        <v>4958</v>
      </c>
      <c r="N677" s="70"/>
      <c r="O677" s="70" t="s">
        <v>1807</v>
      </c>
      <c r="P677" s="70" t="s">
        <v>1793</v>
      </c>
      <c r="Q677" s="69">
        <v>7361711</v>
      </c>
      <c r="R677" s="70"/>
      <c r="S677" s="70" t="s">
        <v>1794</v>
      </c>
      <c r="T677" s="70"/>
      <c r="U677" s="70" t="s">
        <v>4959</v>
      </c>
      <c r="V677" s="70"/>
    </row>
    <row r="678" spans="1:22" ht="15.75" customHeight="1">
      <c r="A678" s="66">
        <v>40748</v>
      </c>
      <c r="B678" s="67">
        <f t="shared" ca="1" si="4"/>
        <v>14.870147068112628</v>
      </c>
      <c r="C678" s="68" t="str">
        <f t="shared" ca="1" si="5"/>
        <v>14 years, 10 months</v>
      </c>
      <c r="D678" s="69">
        <v>9449309957</v>
      </c>
      <c r="E678" s="69">
        <v>20110724</v>
      </c>
      <c r="F678" s="70"/>
      <c r="G678" s="70" t="s">
        <v>4960</v>
      </c>
      <c r="H678" s="70" t="s">
        <v>2335</v>
      </c>
      <c r="I678" s="70" t="s">
        <v>4961</v>
      </c>
      <c r="J678" s="70" t="s">
        <v>1422</v>
      </c>
      <c r="K678" s="70" t="s">
        <v>1285</v>
      </c>
      <c r="L678" s="70"/>
      <c r="M678" s="70" t="s">
        <v>4962</v>
      </c>
      <c r="N678" s="70"/>
      <c r="O678" s="70" t="s">
        <v>1886</v>
      </c>
      <c r="P678" s="70" t="s">
        <v>1793</v>
      </c>
      <c r="Q678" s="69">
        <v>9723650</v>
      </c>
      <c r="R678" s="70"/>
      <c r="S678" s="70" t="s">
        <v>1794</v>
      </c>
      <c r="T678" s="70"/>
      <c r="U678" s="70" t="s">
        <v>4963</v>
      </c>
      <c r="V678" s="70"/>
    </row>
    <row r="679" spans="1:22" ht="15.75" customHeight="1">
      <c r="A679" s="66">
        <v>40748</v>
      </c>
      <c r="B679" s="67">
        <f t="shared" ca="1" si="4"/>
        <v>14.870147068112628</v>
      </c>
      <c r="C679" s="68" t="str">
        <f t="shared" ca="1" si="5"/>
        <v>14 years, 10 months</v>
      </c>
      <c r="D679" s="69">
        <v>9449308306</v>
      </c>
      <c r="E679" s="69">
        <v>20110724</v>
      </c>
      <c r="F679" s="70"/>
      <c r="G679" s="70" t="s">
        <v>4964</v>
      </c>
      <c r="H679" s="70"/>
      <c r="I679" s="70" t="s">
        <v>4965</v>
      </c>
      <c r="J679" s="70" t="s">
        <v>1391</v>
      </c>
      <c r="K679" s="70" t="s">
        <v>2016</v>
      </c>
      <c r="L679" s="70"/>
      <c r="M679" s="70" t="s">
        <v>4966</v>
      </c>
      <c r="N679" s="70"/>
      <c r="O679" s="70" t="s">
        <v>2524</v>
      </c>
      <c r="P679" s="70" t="s">
        <v>1793</v>
      </c>
      <c r="Q679" s="69">
        <v>17378806</v>
      </c>
      <c r="R679" s="70"/>
      <c r="S679" s="70" t="s">
        <v>1794</v>
      </c>
      <c r="T679" s="70"/>
      <c r="U679" s="70" t="s">
        <v>3363</v>
      </c>
      <c r="V679" s="70"/>
    </row>
    <row r="680" spans="1:22" ht="15.75" customHeight="1">
      <c r="A680" s="66">
        <v>40748</v>
      </c>
      <c r="B680" s="67">
        <f t="shared" ca="1" si="4"/>
        <v>14.870147068112628</v>
      </c>
      <c r="C680" s="68" t="str">
        <f t="shared" ca="1" si="5"/>
        <v>14 years, 10 months</v>
      </c>
      <c r="D680" s="69">
        <v>9449308195</v>
      </c>
      <c r="E680" s="69">
        <v>20110724</v>
      </c>
      <c r="F680" s="70"/>
      <c r="G680" s="70" t="s">
        <v>3606</v>
      </c>
      <c r="H680" s="70" t="s">
        <v>4967</v>
      </c>
      <c r="I680" s="70" t="s">
        <v>4968</v>
      </c>
      <c r="J680" s="70" t="s">
        <v>1422</v>
      </c>
      <c r="K680" s="70" t="s">
        <v>2016</v>
      </c>
      <c r="L680" s="70"/>
      <c r="M680" s="70" t="s">
        <v>4969</v>
      </c>
      <c r="N680" s="70"/>
      <c r="O680" s="70" t="s">
        <v>2132</v>
      </c>
      <c r="P680" s="70" t="s">
        <v>1793</v>
      </c>
      <c r="Q680" s="69">
        <v>7397654</v>
      </c>
      <c r="R680" s="70"/>
      <c r="S680" s="70" t="s">
        <v>1794</v>
      </c>
      <c r="T680" s="70"/>
      <c r="U680" s="70" t="s">
        <v>4970</v>
      </c>
      <c r="V680" s="70"/>
    </row>
    <row r="681" spans="1:22" ht="15.75" customHeight="1">
      <c r="A681" s="66">
        <v>40748</v>
      </c>
      <c r="B681" s="67">
        <f t="shared" ca="1" si="4"/>
        <v>14.870147068112628</v>
      </c>
      <c r="C681" s="68" t="str">
        <f t="shared" ca="1" si="5"/>
        <v>14 years, 10 months</v>
      </c>
      <c r="D681" s="69">
        <v>9449305919</v>
      </c>
      <c r="E681" s="69">
        <v>20110724</v>
      </c>
      <c r="F681" s="70"/>
      <c r="G681" s="70" t="s">
        <v>4971</v>
      </c>
      <c r="H681" s="70"/>
      <c r="I681" s="70" t="s">
        <v>4972</v>
      </c>
      <c r="J681" s="70" t="s">
        <v>1391</v>
      </c>
      <c r="K681" s="70" t="s">
        <v>1263</v>
      </c>
      <c r="L681" s="70"/>
      <c r="M681" s="70" t="s">
        <v>4973</v>
      </c>
      <c r="N681" s="70"/>
      <c r="O681" s="70" t="s">
        <v>1800</v>
      </c>
      <c r="P681" s="70" t="s">
        <v>1793</v>
      </c>
      <c r="Q681" s="69">
        <v>7343650</v>
      </c>
      <c r="R681" s="70"/>
      <c r="S681" s="70" t="s">
        <v>1794</v>
      </c>
      <c r="T681" s="70"/>
      <c r="U681" s="70" t="s">
        <v>4974</v>
      </c>
      <c r="V681" s="70"/>
    </row>
    <row r="682" spans="1:22" ht="15.75" customHeight="1">
      <c r="A682" s="66">
        <v>40749</v>
      </c>
      <c r="B682" s="67">
        <f t="shared" ca="1" si="4"/>
        <v>14.867407342085231</v>
      </c>
      <c r="C682" s="68" t="str">
        <f t="shared" ca="1" si="5"/>
        <v>14 years, 10 months</v>
      </c>
      <c r="D682" s="69">
        <v>9449306192</v>
      </c>
      <c r="E682" s="69">
        <v>20110725</v>
      </c>
      <c r="F682" s="70"/>
      <c r="G682" s="70" t="s">
        <v>4357</v>
      </c>
      <c r="H682" s="70" t="s">
        <v>2622</v>
      </c>
      <c r="I682" s="70" t="s">
        <v>4975</v>
      </c>
      <c r="J682" s="70" t="s">
        <v>1422</v>
      </c>
      <c r="K682" s="70" t="s">
        <v>2016</v>
      </c>
      <c r="L682" s="70"/>
      <c r="M682" s="70" t="s">
        <v>4976</v>
      </c>
      <c r="N682" s="70"/>
      <c r="O682" s="70" t="s">
        <v>1906</v>
      </c>
      <c r="P682" s="70" t="s">
        <v>1793</v>
      </c>
      <c r="Q682" s="69">
        <v>7353912</v>
      </c>
      <c r="R682" s="70"/>
      <c r="S682" s="70" t="s">
        <v>1794</v>
      </c>
      <c r="T682" s="70"/>
      <c r="U682" s="70" t="s">
        <v>4977</v>
      </c>
      <c r="V682" s="70"/>
    </row>
    <row r="683" spans="1:22" ht="15.75" customHeight="1">
      <c r="A683" s="66">
        <v>40751</v>
      </c>
      <c r="B683" s="67">
        <f t="shared" ca="1" si="4"/>
        <v>14.861927890030437</v>
      </c>
      <c r="C683" s="68" t="str">
        <f t="shared" ca="1" si="5"/>
        <v>14 years, 10 months</v>
      </c>
      <c r="D683" s="69">
        <v>9449307911</v>
      </c>
      <c r="E683" s="69">
        <v>20110727</v>
      </c>
      <c r="F683" s="70"/>
      <c r="G683" s="70" t="s">
        <v>4978</v>
      </c>
      <c r="H683" s="70" t="s">
        <v>2379</v>
      </c>
      <c r="I683" s="70" t="s">
        <v>4979</v>
      </c>
      <c r="J683" s="70" t="s">
        <v>1422</v>
      </c>
      <c r="K683" s="70" t="s">
        <v>1285</v>
      </c>
      <c r="L683" s="70" t="s">
        <v>4980</v>
      </c>
      <c r="M683" s="70" t="s">
        <v>4981</v>
      </c>
      <c r="N683" s="70"/>
      <c r="O683" s="70" t="s">
        <v>1812</v>
      </c>
      <c r="P683" s="70" t="s">
        <v>1793</v>
      </c>
      <c r="Q683" s="69">
        <v>21405685</v>
      </c>
      <c r="R683" s="70"/>
      <c r="S683" s="70" t="s">
        <v>1794</v>
      </c>
      <c r="T683" s="70"/>
      <c r="U683" s="70" t="s">
        <v>4982</v>
      </c>
      <c r="V683" s="70"/>
    </row>
    <row r="684" spans="1:22" ht="15.75" customHeight="1">
      <c r="A684" s="66">
        <v>40751</v>
      </c>
      <c r="B684" s="67">
        <f t="shared" ca="1" si="4"/>
        <v>14.861927890030437</v>
      </c>
      <c r="C684" s="68" t="str">
        <f t="shared" ca="1" si="5"/>
        <v>14 years, 10 months</v>
      </c>
      <c r="D684" s="69">
        <v>9449308284</v>
      </c>
      <c r="E684" s="69">
        <v>20110727</v>
      </c>
      <c r="F684" s="70"/>
      <c r="G684" s="70" t="s">
        <v>4983</v>
      </c>
      <c r="H684" s="70" t="s">
        <v>2770</v>
      </c>
      <c r="I684" s="70" t="s">
        <v>4984</v>
      </c>
      <c r="J684" s="70" t="s">
        <v>1422</v>
      </c>
      <c r="K684" s="70" t="s">
        <v>1285</v>
      </c>
      <c r="L684" s="70"/>
      <c r="M684" s="70" t="s">
        <v>4985</v>
      </c>
      <c r="N684" s="70"/>
      <c r="O684" s="70" t="s">
        <v>2524</v>
      </c>
      <c r="P684" s="70" t="s">
        <v>1793</v>
      </c>
      <c r="Q684" s="69">
        <v>7401719</v>
      </c>
      <c r="R684" s="70"/>
      <c r="S684" s="70" t="s">
        <v>1794</v>
      </c>
      <c r="T684" s="70"/>
      <c r="U684" s="70" t="s">
        <v>4986</v>
      </c>
      <c r="V684" s="70"/>
    </row>
    <row r="685" spans="1:22" ht="15.75" customHeight="1">
      <c r="A685" s="66">
        <v>40751</v>
      </c>
      <c r="B685" s="67">
        <f t="shared" ca="1" si="4"/>
        <v>14.861927890030437</v>
      </c>
      <c r="C685" s="68" t="str">
        <f t="shared" ca="1" si="5"/>
        <v>14 years, 10 months</v>
      </c>
      <c r="D685" s="69">
        <v>9449309841</v>
      </c>
      <c r="E685" s="69">
        <v>20110727</v>
      </c>
      <c r="F685" s="70"/>
      <c r="G685" s="70" t="s">
        <v>2775</v>
      </c>
      <c r="H685" s="70"/>
      <c r="I685" s="70" t="s">
        <v>4987</v>
      </c>
      <c r="J685" s="70" t="s">
        <v>1422</v>
      </c>
      <c r="K685" s="70" t="s">
        <v>1285</v>
      </c>
      <c r="L685" s="70"/>
      <c r="M685" s="70" t="s">
        <v>4988</v>
      </c>
      <c r="N685" s="70"/>
      <c r="O685" s="70" t="s">
        <v>1886</v>
      </c>
      <c r="P685" s="70" t="s">
        <v>1793</v>
      </c>
      <c r="Q685" s="69">
        <v>18811202</v>
      </c>
      <c r="R685" s="70"/>
      <c r="S685" s="70" t="s">
        <v>1794</v>
      </c>
      <c r="T685" s="70"/>
      <c r="U685" s="70" t="s">
        <v>4989</v>
      </c>
      <c r="V685" s="70"/>
    </row>
    <row r="686" spans="1:22" ht="15.75" customHeight="1">
      <c r="A686" s="66">
        <v>40751</v>
      </c>
      <c r="B686" s="67">
        <f t="shared" ca="1" si="4"/>
        <v>14.861927890030437</v>
      </c>
      <c r="C686" s="68" t="str">
        <f t="shared" ca="1" si="5"/>
        <v>14 years, 10 months</v>
      </c>
      <c r="D686" s="69">
        <v>9449304157</v>
      </c>
      <c r="E686" s="69">
        <v>20110727</v>
      </c>
      <c r="F686" s="70"/>
      <c r="G686" s="70" t="s">
        <v>4990</v>
      </c>
      <c r="H686" s="70"/>
      <c r="I686" s="70" t="s">
        <v>4991</v>
      </c>
      <c r="J686" s="70" t="s">
        <v>1391</v>
      </c>
      <c r="K686" s="70" t="s">
        <v>1263</v>
      </c>
      <c r="L686" s="70"/>
      <c r="M686" s="70" t="s">
        <v>4992</v>
      </c>
      <c r="N686" s="70" t="s">
        <v>1791</v>
      </c>
      <c r="O686" s="70" t="s">
        <v>1792</v>
      </c>
      <c r="P686" s="70" t="s">
        <v>1793</v>
      </c>
      <c r="Q686" s="69">
        <v>7299038</v>
      </c>
      <c r="R686" s="70"/>
      <c r="S686" s="70" t="s">
        <v>1794</v>
      </c>
      <c r="T686" s="70"/>
      <c r="U686" s="70" t="s">
        <v>4993</v>
      </c>
      <c r="V686" s="70"/>
    </row>
    <row r="687" spans="1:22" ht="15.75" customHeight="1">
      <c r="A687" s="66">
        <v>41017</v>
      </c>
      <c r="B687" s="67">
        <f t="shared" ca="1" si="4"/>
        <v>14.133160766742765</v>
      </c>
      <c r="C687" s="68" t="str">
        <f t="shared" ca="1" si="5"/>
        <v>14 years, 1 months</v>
      </c>
      <c r="D687" s="69">
        <v>9462658137</v>
      </c>
      <c r="E687" s="69">
        <v>20120418</v>
      </c>
      <c r="F687" s="70"/>
      <c r="G687" s="70" t="s">
        <v>4994</v>
      </c>
      <c r="H687" s="70" t="s">
        <v>4995</v>
      </c>
      <c r="I687" s="70" t="s">
        <v>4996</v>
      </c>
      <c r="J687" s="70" t="s">
        <v>1422</v>
      </c>
      <c r="K687" s="70" t="s">
        <v>1285</v>
      </c>
      <c r="L687" s="70"/>
      <c r="M687" s="70" t="s">
        <v>4997</v>
      </c>
      <c r="N687" s="70"/>
      <c r="O687" s="70" t="s">
        <v>4238</v>
      </c>
      <c r="P687" s="70" t="s">
        <v>1632</v>
      </c>
      <c r="Q687" s="69">
        <v>613346</v>
      </c>
      <c r="R687" s="70"/>
      <c r="S687" s="70"/>
      <c r="T687" s="70"/>
      <c r="U687" s="70" t="s">
        <v>4998</v>
      </c>
      <c r="V687" s="70" t="s">
        <v>4999</v>
      </c>
    </row>
    <row r="688" spans="1:22" ht="15.75" customHeight="1">
      <c r="A688" s="66">
        <v>41611</v>
      </c>
      <c r="B688" s="67">
        <f t="shared" ca="1" si="4"/>
        <v>12.505763506468792</v>
      </c>
      <c r="C688" s="68" t="str">
        <f t="shared" ca="1" si="5"/>
        <v>12 years, 6 months</v>
      </c>
      <c r="D688" s="69">
        <v>9464341815</v>
      </c>
      <c r="E688" s="69">
        <v>20131203</v>
      </c>
      <c r="F688" s="70"/>
      <c r="G688" s="70" t="s">
        <v>5000</v>
      </c>
      <c r="H688" s="70" t="s">
        <v>5001</v>
      </c>
      <c r="I688" s="70" t="s">
        <v>5002</v>
      </c>
      <c r="J688" s="70" t="s">
        <v>1391</v>
      </c>
      <c r="K688" s="70" t="s">
        <v>1263</v>
      </c>
      <c r="L688" s="70"/>
      <c r="M688" s="70" t="s">
        <v>5003</v>
      </c>
      <c r="N688" s="70"/>
      <c r="O688" s="70" t="s">
        <v>5004</v>
      </c>
      <c r="P688" s="70" t="s">
        <v>1793</v>
      </c>
      <c r="Q688" s="69">
        <v>17367444</v>
      </c>
      <c r="R688" s="70"/>
      <c r="S688" s="70" t="s">
        <v>5005</v>
      </c>
      <c r="T688" s="70"/>
      <c r="U688" s="70" t="s">
        <v>5006</v>
      </c>
      <c r="V688" s="70"/>
    </row>
    <row r="689" spans="1:22" ht="15.75" customHeight="1">
      <c r="A689" s="66">
        <v>41771</v>
      </c>
      <c r="B689" s="67">
        <f t="shared" ca="1" si="4"/>
        <v>12.067407342085231</v>
      </c>
      <c r="C689" s="68" t="str">
        <f t="shared" ca="1" si="5"/>
        <v>12 years, 0 months</v>
      </c>
      <c r="D689" s="69">
        <v>9462658145</v>
      </c>
      <c r="E689" s="69">
        <v>2014051200</v>
      </c>
      <c r="F689" s="70"/>
      <c r="G689" s="70" t="s">
        <v>5007</v>
      </c>
      <c r="H689" s="70" t="s">
        <v>5008</v>
      </c>
      <c r="I689" s="70" t="s">
        <v>5009</v>
      </c>
      <c r="J689" s="70" t="s">
        <v>1422</v>
      </c>
      <c r="K689" s="70" t="s">
        <v>1285</v>
      </c>
      <c r="L689" s="70"/>
      <c r="M689" s="70" t="s">
        <v>5010</v>
      </c>
      <c r="N689" s="70"/>
      <c r="O689" s="70" t="s">
        <v>1746</v>
      </c>
      <c r="P689" s="70" t="s">
        <v>1632</v>
      </c>
      <c r="Q689" s="69">
        <v>15758005</v>
      </c>
      <c r="R689" s="70"/>
      <c r="S689" s="70"/>
      <c r="T689" s="70"/>
      <c r="U689" s="70" t="s">
        <v>5011</v>
      </c>
      <c r="V689" s="70" t="s">
        <v>5012</v>
      </c>
    </row>
    <row r="690" spans="1:22" ht="15.75" customHeight="1">
      <c r="A690" s="66">
        <v>41786</v>
      </c>
      <c r="B690" s="67">
        <f t="shared" ca="1" si="4"/>
        <v>12.026311451674273</v>
      </c>
      <c r="C690" s="68" t="str">
        <f t="shared" ca="1" si="5"/>
        <v>12 years, 0 months</v>
      </c>
      <c r="D690" s="69">
        <v>9464341823</v>
      </c>
      <c r="E690" s="69">
        <v>20140527</v>
      </c>
      <c r="F690" s="70"/>
      <c r="G690" s="70" t="s">
        <v>5013</v>
      </c>
      <c r="H690" s="70" t="s">
        <v>5014</v>
      </c>
      <c r="I690" s="70" t="s">
        <v>5015</v>
      </c>
      <c r="J690" s="70" t="s">
        <v>1391</v>
      </c>
      <c r="K690" s="70" t="s">
        <v>2016</v>
      </c>
      <c r="L690" s="70"/>
      <c r="M690" s="70" t="s">
        <v>5016</v>
      </c>
      <c r="N690" s="70"/>
      <c r="O690" s="70" t="s">
        <v>1812</v>
      </c>
      <c r="P690" s="70" t="s">
        <v>1793</v>
      </c>
      <c r="Q690" s="69">
        <v>7382407</v>
      </c>
      <c r="R690" s="70"/>
      <c r="S690" s="70" t="s">
        <v>5005</v>
      </c>
      <c r="T690" s="70"/>
      <c r="U690" s="70" t="s">
        <v>5017</v>
      </c>
      <c r="V690" s="70"/>
    </row>
    <row r="691" spans="1:22" ht="15.75" customHeight="1">
      <c r="A691" s="66">
        <v>41846</v>
      </c>
      <c r="B691" s="67">
        <f t="shared" ca="1" si="4"/>
        <v>11.861927890030437</v>
      </c>
      <c r="C691" s="68" t="str">
        <f t="shared" ca="1" si="5"/>
        <v>11 years, 10 months</v>
      </c>
      <c r="D691" s="69">
        <v>9464341807</v>
      </c>
      <c r="E691" s="69">
        <v>20140726</v>
      </c>
      <c r="F691" s="70"/>
      <c r="G691" s="70" t="s">
        <v>4136</v>
      </c>
      <c r="H691" s="70" t="s">
        <v>5018</v>
      </c>
      <c r="I691" s="70" t="s">
        <v>5019</v>
      </c>
      <c r="J691" s="70" t="s">
        <v>1314</v>
      </c>
      <c r="K691" s="70" t="s">
        <v>1263</v>
      </c>
      <c r="L691" s="70" t="s">
        <v>5020</v>
      </c>
      <c r="M691" s="70" t="s">
        <v>5021</v>
      </c>
      <c r="N691" s="70"/>
      <c r="O691" s="70" t="s">
        <v>1812</v>
      </c>
      <c r="P691" s="70" t="s">
        <v>1793</v>
      </c>
      <c r="Q691" s="69">
        <v>17368821</v>
      </c>
      <c r="R691" s="70"/>
      <c r="S691" s="70" t="s">
        <v>3707</v>
      </c>
      <c r="T691" s="70"/>
      <c r="U691" s="70" t="s">
        <v>5022</v>
      </c>
      <c r="V691" s="70"/>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14"/>
  <sheetViews>
    <sheetView workbookViewId="0"/>
  </sheetViews>
  <sheetFormatPr defaultColWidth="12.5703125" defaultRowHeight="15" customHeight="1"/>
  <cols>
    <col min="1" max="1" width="17.5703125" customWidth="1"/>
    <col min="2" max="2" width="25.140625" customWidth="1"/>
    <col min="3" max="3" width="93.85546875" customWidth="1"/>
    <col min="4" max="4" width="68.85546875" customWidth="1"/>
    <col min="5" max="5" width="24.42578125" customWidth="1"/>
  </cols>
  <sheetData>
    <row r="1" spans="1:26" ht="15" customHeight="1">
      <c r="A1" s="77" t="s">
        <v>5023</v>
      </c>
      <c r="B1" s="78" t="s">
        <v>5024</v>
      </c>
      <c r="C1" s="78" t="s">
        <v>5025</v>
      </c>
      <c r="D1" s="78" t="s">
        <v>5026</v>
      </c>
      <c r="E1" s="79" t="s">
        <v>5027</v>
      </c>
      <c r="F1" s="80"/>
      <c r="G1" s="80"/>
      <c r="H1" s="80"/>
      <c r="I1" s="80"/>
      <c r="J1" s="80"/>
      <c r="K1" s="80"/>
      <c r="L1" s="80"/>
      <c r="M1" s="80"/>
      <c r="N1" s="80"/>
      <c r="O1" s="80"/>
      <c r="P1" s="80"/>
      <c r="Q1" s="80"/>
      <c r="R1" s="80"/>
      <c r="S1" s="80"/>
      <c r="T1" s="80"/>
      <c r="U1" s="80"/>
      <c r="V1" s="80"/>
      <c r="W1" s="80"/>
      <c r="X1" s="80"/>
      <c r="Y1" s="80"/>
      <c r="Z1" s="80"/>
    </row>
    <row r="2" spans="1:26" ht="15" customHeight="1">
      <c r="A2" s="81" t="s">
        <v>5028</v>
      </c>
      <c r="B2" s="82" t="s">
        <v>5029</v>
      </c>
      <c r="C2" s="83" t="s">
        <v>5030</v>
      </c>
      <c r="D2" s="84" t="s">
        <v>5031</v>
      </c>
      <c r="E2" s="85"/>
      <c r="F2" s="80"/>
      <c r="G2" s="80"/>
      <c r="H2" s="80"/>
      <c r="I2" s="80"/>
      <c r="J2" s="80"/>
      <c r="K2" s="80"/>
      <c r="L2" s="80"/>
      <c r="M2" s="80"/>
      <c r="N2" s="80"/>
      <c r="O2" s="80"/>
      <c r="P2" s="80"/>
      <c r="Q2" s="80"/>
      <c r="R2" s="80"/>
      <c r="S2" s="80"/>
      <c r="T2" s="80"/>
      <c r="U2" s="80"/>
      <c r="V2" s="80"/>
      <c r="W2" s="80"/>
      <c r="X2" s="80"/>
      <c r="Y2" s="80"/>
      <c r="Z2" s="80"/>
    </row>
    <row r="3" spans="1:26" ht="15" customHeight="1">
      <c r="A3" s="86" t="s">
        <v>5032</v>
      </c>
      <c r="B3" s="87" t="s">
        <v>5033</v>
      </c>
      <c r="C3" s="88" t="s">
        <v>5034</v>
      </c>
      <c r="D3" s="88" t="s">
        <v>5035</v>
      </c>
      <c r="E3" s="89" t="s">
        <v>5036</v>
      </c>
      <c r="F3" s="80"/>
      <c r="G3" s="80"/>
      <c r="H3" s="80"/>
      <c r="I3" s="80"/>
      <c r="J3" s="80"/>
      <c r="K3" s="80"/>
      <c r="L3" s="80"/>
      <c r="M3" s="80"/>
      <c r="N3" s="80"/>
      <c r="O3" s="80"/>
      <c r="P3" s="80"/>
      <c r="Q3" s="80"/>
      <c r="R3" s="80"/>
      <c r="S3" s="80"/>
      <c r="T3" s="80"/>
      <c r="U3" s="80"/>
      <c r="V3" s="80"/>
      <c r="W3" s="80"/>
      <c r="X3" s="80"/>
      <c r="Y3" s="80"/>
      <c r="Z3" s="80"/>
    </row>
    <row r="4" spans="1:26" ht="15" customHeight="1">
      <c r="A4" s="81" t="s">
        <v>5037</v>
      </c>
      <c r="B4" s="82" t="s">
        <v>5038</v>
      </c>
      <c r="C4" s="83" t="s">
        <v>5039</v>
      </c>
      <c r="D4" s="84" t="s">
        <v>5040</v>
      </c>
      <c r="E4" s="85"/>
      <c r="F4" s="80"/>
      <c r="G4" s="80"/>
      <c r="H4" s="80"/>
      <c r="I4" s="80"/>
      <c r="J4" s="80"/>
      <c r="K4" s="80"/>
      <c r="L4" s="80"/>
      <c r="M4" s="80"/>
      <c r="N4" s="80"/>
      <c r="O4" s="80"/>
      <c r="P4" s="80"/>
      <c r="Q4" s="80"/>
      <c r="R4" s="80"/>
      <c r="S4" s="80"/>
      <c r="T4" s="80"/>
      <c r="U4" s="80"/>
      <c r="V4" s="80"/>
      <c r="W4" s="80"/>
      <c r="X4" s="80"/>
      <c r="Y4" s="80"/>
      <c r="Z4" s="80"/>
    </row>
    <row r="5" spans="1:26" ht="15" customHeight="1">
      <c r="A5" s="81" t="s">
        <v>5041</v>
      </c>
      <c r="B5" s="82" t="s">
        <v>5042</v>
      </c>
      <c r="C5" s="90" t="s">
        <v>5043</v>
      </c>
      <c r="D5" s="84" t="s">
        <v>5044</v>
      </c>
      <c r="E5" s="85"/>
      <c r="F5" s="80"/>
      <c r="G5" s="80"/>
      <c r="H5" s="80"/>
      <c r="I5" s="80"/>
      <c r="J5" s="80"/>
      <c r="K5" s="80"/>
      <c r="L5" s="80"/>
      <c r="M5" s="80"/>
      <c r="N5" s="80"/>
      <c r="O5" s="80"/>
      <c r="P5" s="80"/>
      <c r="Q5" s="80"/>
      <c r="R5" s="80"/>
      <c r="S5" s="80"/>
      <c r="T5" s="80"/>
      <c r="U5" s="80"/>
      <c r="V5" s="80"/>
      <c r="W5" s="80"/>
      <c r="X5" s="80"/>
      <c r="Y5" s="80"/>
      <c r="Z5" s="80"/>
    </row>
    <row r="6" spans="1:26" ht="15" customHeight="1">
      <c r="A6" s="81" t="s">
        <v>5045</v>
      </c>
      <c r="B6" s="82" t="s">
        <v>5046</v>
      </c>
      <c r="C6" s="90" t="s">
        <v>5047</v>
      </c>
      <c r="D6" s="84" t="s">
        <v>5048</v>
      </c>
      <c r="E6" s="85"/>
      <c r="F6" s="80"/>
      <c r="G6" s="80"/>
      <c r="H6" s="80"/>
      <c r="I6" s="80"/>
      <c r="J6" s="80"/>
      <c r="K6" s="80"/>
      <c r="L6" s="80"/>
      <c r="M6" s="80"/>
      <c r="N6" s="80"/>
      <c r="O6" s="80"/>
      <c r="P6" s="80"/>
      <c r="Q6" s="80"/>
      <c r="R6" s="80"/>
      <c r="S6" s="80"/>
      <c r="T6" s="80"/>
      <c r="U6" s="80"/>
      <c r="V6" s="80"/>
      <c r="W6" s="80"/>
      <c r="X6" s="80"/>
      <c r="Y6" s="80"/>
      <c r="Z6" s="80"/>
    </row>
    <row r="7" spans="1:26" ht="15" customHeight="1">
      <c r="A7" s="86" t="s">
        <v>5049</v>
      </c>
      <c r="B7" s="87" t="s">
        <v>5050</v>
      </c>
      <c r="C7" s="91" t="s">
        <v>5051</v>
      </c>
      <c r="D7" s="91" t="s">
        <v>5052</v>
      </c>
      <c r="E7" s="89" t="s">
        <v>5053</v>
      </c>
      <c r="F7" s="80"/>
      <c r="G7" s="80"/>
      <c r="H7" s="80"/>
      <c r="I7" s="80"/>
      <c r="J7" s="80"/>
      <c r="K7" s="80"/>
      <c r="L7" s="80"/>
      <c r="M7" s="80"/>
      <c r="N7" s="80"/>
      <c r="O7" s="80"/>
      <c r="P7" s="80"/>
      <c r="Q7" s="80"/>
      <c r="R7" s="80"/>
      <c r="S7" s="80"/>
      <c r="T7" s="80"/>
      <c r="U7" s="80"/>
      <c r="V7" s="80"/>
      <c r="W7" s="80"/>
      <c r="X7" s="80"/>
      <c r="Y7" s="80"/>
      <c r="Z7" s="80"/>
    </row>
    <row r="8" spans="1:26" ht="15" customHeight="1">
      <c r="A8" s="81" t="s">
        <v>5054</v>
      </c>
      <c r="B8" s="82" t="s">
        <v>5055</v>
      </c>
      <c r="C8" s="83" t="s">
        <v>5056</v>
      </c>
      <c r="D8" s="83" t="s">
        <v>5057</v>
      </c>
      <c r="E8" s="85" t="s">
        <v>5058</v>
      </c>
      <c r="F8" s="80"/>
      <c r="G8" s="80"/>
      <c r="H8" s="80"/>
      <c r="I8" s="80"/>
      <c r="J8" s="80"/>
      <c r="K8" s="80"/>
      <c r="L8" s="80"/>
      <c r="M8" s="80"/>
      <c r="N8" s="80"/>
      <c r="O8" s="80"/>
      <c r="P8" s="80"/>
      <c r="Q8" s="80"/>
      <c r="R8" s="80"/>
      <c r="S8" s="80"/>
      <c r="T8" s="80"/>
      <c r="U8" s="80"/>
      <c r="V8" s="80"/>
      <c r="W8" s="80"/>
      <c r="X8" s="80"/>
      <c r="Y8" s="80"/>
      <c r="Z8" s="80"/>
    </row>
    <row r="9" spans="1:26" ht="15" customHeight="1">
      <c r="A9" s="86" t="s">
        <v>5059</v>
      </c>
      <c r="B9" s="87" t="s">
        <v>5060</v>
      </c>
      <c r="C9" s="91" t="s">
        <v>5061</v>
      </c>
      <c r="D9" s="91" t="s">
        <v>5062</v>
      </c>
      <c r="E9" s="89" t="s">
        <v>5063</v>
      </c>
      <c r="F9" s="80"/>
      <c r="G9" s="80"/>
      <c r="H9" s="80"/>
      <c r="I9" s="80"/>
      <c r="J9" s="80"/>
      <c r="K9" s="80"/>
      <c r="L9" s="80"/>
      <c r="M9" s="80"/>
      <c r="N9" s="80"/>
      <c r="O9" s="80"/>
      <c r="P9" s="80"/>
      <c r="Q9" s="80"/>
      <c r="R9" s="80"/>
      <c r="S9" s="80"/>
      <c r="T9" s="80"/>
      <c r="U9" s="80"/>
      <c r="V9" s="80"/>
      <c r="W9" s="80"/>
      <c r="X9" s="80"/>
      <c r="Y9" s="80"/>
      <c r="Z9" s="80"/>
    </row>
    <row r="10" spans="1:26" ht="15" customHeight="1">
      <c r="A10" s="86" t="s">
        <v>5064</v>
      </c>
      <c r="B10" s="87" t="s">
        <v>5065</v>
      </c>
      <c r="C10" s="91" t="s">
        <v>5066</v>
      </c>
      <c r="D10" s="91" t="s">
        <v>5062</v>
      </c>
      <c r="E10" s="89" t="s">
        <v>5067</v>
      </c>
      <c r="F10" s="80"/>
      <c r="G10" s="80"/>
      <c r="H10" s="80"/>
      <c r="I10" s="80"/>
      <c r="J10" s="80"/>
      <c r="K10" s="80"/>
      <c r="L10" s="80"/>
      <c r="M10" s="80"/>
      <c r="N10" s="80"/>
      <c r="O10" s="80"/>
      <c r="P10" s="80"/>
      <c r="Q10" s="80"/>
      <c r="R10" s="80"/>
      <c r="S10" s="80"/>
      <c r="T10" s="80"/>
      <c r="U10" s="80"/>
      <c r="V10" s="80"/>
      <c r="W10" s="80"/>
      <c r="X10" s="80"/>
      <c r="Y10" s="80"/>
      <c r="Z10" s="80"/>
    </row>
    <row r="11" spans="1:26" ht="15" customHeight="1">
      <c r="A11" s="92" t="s">
        <v>5068</v>
      </c>
      <c r="B11" s="87" t="s">
        <v>5069</v>
      </c>
      <c r="C11" s="91" t="s">
        <v>5070</v>
      </c>
      <c r="D11" s="91" t="s">
        <v>5062</v>
      </c>
      <c r="E11" s="89" t="s">
        <v>5067</v>
      </c>
      <c r="F11" s="80"/>
      <c r="G11" s="80"/>
      <c r="H11" s="80"/>
      <c r="I11" s="80"/>
      <c r="J11" s="80"/>
      <c r="K11" s="80"/>
      <c r="L11" s="80"/>
      <c r="M11" s="80"/>
      <c r="N11" s="80"/>
      <c r="O11" s="80"/>
      <c r="P11" s="80"/>
      <c r="Q11" s="80"/>
      <c r="R11" s="80"/>
      <c r="S11" s="80"/>
      <c r="T11" s="80"/>
      <c r="U11" s="80"/>
      <c r="V11" s="80"/>
      <c r="W11" s="80"/>
      <c r="X11" s="80"/>
      <c r="Y11" s="80"/>
      <c r="Z11" s="80"/>
    </row>
    <row r="12" spans="1:26" ht="15" customHeight="1">
      <c r="A12" s="86" t="s">
        <v>5071</v>
      </c>
      <c r="B12" s="87" t="s">
        <v>5072</v>
      </c>
      <c r="C12" s="91" t="s">
        <v>5073</v>
      </c>
      <c r="D12" s="91" t="s">
        <v>5062</v>
      </c>
      <c r="E12" s="89" t="s">
        <v>5036</v>
      </c>
      <c r="F12" s="80"/>
      <c r="G12" s="80"/>
      <c r="H12" s="80"/>
      <c r="I12" s="80"/>
      <c r="J12" s="80"/>
      <c r="K12" s="80"/>
      <c r="L12" s="80"/>
      <c r="M12" s="80"/>
      <c r="N12" s="80"/>
      <c r="O12" s="80"/>
      <c r="P12" s="80"/>
      <c r="Q12" s="80"/>
      <c r="R12" s="80"/>
      <c r="S12" s="80"/>
      <c r="T12" s="80"/>
      <c r="U12" s="80"/>
      <c r="V12" s="80"/>
      <c r="W12" s="80"/>
      <c r="X12" s="80"/>
      <c r="Y12" s="80"/>
      <c r="Z12" s="80"/>
    </row>
    <row r="13" spans="1:26" ht="15" customHeight="1">
      <c r="A13" s="92" t="s">
        <v>5074</v>
      </c>
      <c r="B13" s="87" t="s">
        <v>5075</v>
      </c>
      <c r="C13" s="91" t="s">
        <v>5076</v>
      </c>
      <c r="D13" s="91" t="s">
        <v>5077</v>
      </c>
      <c r="E13" s="89" t="s">
        <v>5063</v>
      </c>
      <c r="F13" s="80"/>
      <c r="G13" s="80"/>
      <c r="H13" s="80"/>
      <c r="I13" s="80"/>
      <c r="J13" s="80"/>
      <c r="K13" s="80"/>
      <c r="L13" s="80"/>
      <c r="M13" s="80"/>
      <c r="N13" s="80"/>
      <c r="O13" s="80"/>
      <c r="P13" s="80"/>
      <c r="Q13" s="80"/>
      <c r="R13" s="80"/>
      <c r="S13" s="80"/>
      <c r="T13" s="80"/>
      <c r="U13" s="80"/>
      <c r="V13" s="80"/>
      <c r="W13" s="80"/>
      <c r="X13" s="80"/>
      <c r="Y13" s="80"/>
      <c r="Z13" s="80"/>
    </row>
    <row r="14" spans="1:26" ht="15" customHeight="1">
      <c r="A14" s="92" t="s">
        <v>5078</v>
      </c>
      <c r="B14" s="87" t="s">
        <v>5079</v>
      </c>
      <c r="C14" s="91" t="s">
        <v>5080</v>
      </c>
      <c r="D14" s="91" t="s">
        <v>5081</v>
      </c>
      <c r="E14" s="89" t="s">
        <v>5063</v>
      </c>
      <c r="F14" s="80"/>
      <c r="G14" s="80"/>
      <c r="H14" s="80"/>
      <c r="I14" s="80"/>
      <c r="J14" s="80"/>
      <c r="K14" s="80"/>
      <c r="L14" s="80"/>
      <c r="M14" s="80"/>
      <c r="N14" s="80"/>
      <c r="O14" s="80"/>
      <c r="P14" s="80"/>
      <c r="Q14" s="80"/>
      <c r="R14" s="80"/>
      <c r="S14" s="80"/>
      <c r="T14" s="80"/>
      <c r="U14" s="80"/>
      <c r="V14" s="80"/>
      <c r="W14" s="80"/>
      <c r="X14" s="80"/>
      <c r="Y14" s="80"/>
      <c r="Z14" s="80"/>
    </row>
  </sheetData>
  <hyperlinks>
    <hyperlink ref="C5" location="null!A1" display="Given I have sent a valid Send Document message with a [Keyword] in the request as documented in the following attachment for each type of error response:- LINK Test Harness Triggers_x000a__x000a_But the receiver is unable to process it_x000a__x000a_When I receive an error response_x000a__x000a_Then the error is handled gracefully_x000a__x000a_And a notification of the error is made to an appropriate person" xr:uid="{00000000-0004-0000-1300-000000000000}"/>
    <hyperlink ref="C6" location="null!A1" display="Given I have sent a valid Send Document message with a [Keyword] in the request as documented in the following attachment for each type of error response:- LINK Test Harness Triggers_x000a__x000a_But the receiver is unable to process it_x000a__x000a_When I do not receive a technical or business acknowledgement response_x000a__x000a_Then the sender has an appropriate way to manage the non-response_x000a__x000a_And if not resolved an notification of no response is made to an appropriate person" xr:uid="{00000000-0004-0000-1300-000001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2:G41"/>
  <sheetViews>
    <sheetView topLeftCell="A16" workbookViewId="0"/>
  </sheetViews>
  <sheetFormatPr defaultColWidth="12.5703125" defaultRowHeight="15" customHeight="1"/>
  <cols>
    <col min="1" max="1" width="14.5703125" customWidth="1"/>
    <col min="2" max="3" width="9.42578125" customWidth="1"/>
    <col min="4" max="4" width="77.7109375" customWidth="1"/>
    <col min="5" max="5" width="69.42578125" customWidth="1"/>
    <col min="6" max="7" width="31.42578125" customWidth="1"/>
  </cols>
  <sheetData>
    <row r="2" spans="1:7" ht="15" customHeight="1">
      <c r="A2" s="93" t="s">
        <v>5082</v>
      </c>
      <c r="B2" s="94"/>
      <c r="C2" s="94"/>
      <c r="D2" s="95"/>
      <c r="E2" s="11"/>
    </row>
    <row r="3" spans="1:7" ht="15" customHeight="1">
      <c r="A3" s="96" t="s">
        <v>5083</v>
      </c>
      <c r="B3" s="11"/>
      <c r="C3" s="11"/>
      <c r="D3" s="97"/>
      <c r="E3" s="11"/>
    </row>
    <row r="4" spans="1:7" ht="15" customHeight="1">
      <c r="A4" s="96"/>
      <c r="B4" s="11"/>
      <c r="C4" s="11"/>
      <c r="D4" s="97"/>
      <c r="E4" s="11"/>
    </row>
    <row r="5" spans="1:7" ht="15" customHeight="1">
      <c r="A5" s="268" t="s">
        <v>5084</v>
      </c>
      <c r="B5" s="269"/>
      <c r="C5" s="269"/>
      <c r="D5" s="270"/>
      <c r="E5" s="11"/>
    </row>
    <row r="6" spans="1:7" ht="15" customHeight="1">
      <c r="A6" s="268" t="s">
        <v>5085</v>
      </c>
      <c r="B6" s="269"/>
      <c r="C6" s="269"/>
      <c r="D6" s="270"/>
      <c r="E6" s="11"/>
    </row>
    <row r="7" spans="1:7" ht="15" customHeight="1">
      <c r="A7" s="98"/>
      <c r="B7" s="99"/>
      <c r="C7" s="99"/>
      <c r="D7" s="100"/>
      <c r="E7" s="11"/>
    </row>
    <row r="8" spans="1:7" ht="15" customHeight="1">
      <c r="A8" s="11"/>
      <c r="B8" s="11"/>
      <c r="C8" s="11"/>
      <c r="D8" s="11"/>
      <c r="E8" s="11"/>
    </row>
    <row r="9" spans="1:7" ht="15" customHeight="1">
      <c r="A9" s="101" t="s">
        <v>5086</v>
      </c>
      <c r="B9" s="101" t="s">
        <v>5087</v>
      </c>
      <c r="C9" s="101" t="s">
        <v>5088</v>
      </c>
      <c r="D9" s="101" t="s">
        <v>5089</v>
      </c>
      <c r="E9" s="101" t="s">
        <v>5090</v>
      </c>
      <c r="F9" s="101" t="s">
        <v>5041</v>
      </c>
      <c r="G9" s="101" t="s">
        <v>5045</v>
      </c>
    </row>
    <row r="10" spans="1:7" ht="15" customHeight="1">
      <c r="A10" s="102" t="s">
        <v>5091</v>
      </c>
      <c r="B10" s="103" t="s">
        <v>5092</v>
      </c>
      <c r="C10" s="103" t="s">
        <v>5093</v>
      </c>
      <c r="D10" s="103" t="s">
        <v>5094</v>
      </c>
      <c r="E10" s="103" t="s">
        <v>5095</v>
      </c>
      <c r="F10" s="104"/>
    </row>
    <row r="11" spans="1:7" ht="15" customHeight="1">
      <c r="A11" s="105">
        <v>10001</v>
      </c>
      <c r="B11" s="106" t="s">
        <v>5092</v>
      </c>
      <c r="C11" s="106" t="s">
        <v>5093</v>
      </c>
      <c r="D11" s="106" t="s">
        <v>5096</v>
      </c>
      <c r="E11" s="103" t="s">
        <v>5095</v>
      </c>
      <c r="F11" s="104"/>
    </row>
    <row r="12" spans="1:7" ht="15" customHeight="1">
      <c r="A12" s="105">
        <v>10002</v>
      </c>
      <c r="B12" s="106" t="s">
        <v>5092</v>
      </c>
      <c r="C12" s="106" t="s">
        <v>5093</v>
      </c>
      <c r="D12" s="106" t="s">
        <v>5097</v>
      </c>
      <c r="E12" s="103" t="s">
        <v>5095</v>
      </c>
      <c r="F12" s="104"/>
    </row>
    <row r="13" spans="1:7" ht="15" customHeight="1">
      <c r="A13" s="105">
        <v>10003</v>
      </c>
      <c r="B13" s="106" t="s">
        <v>5092</v>
      </c>
      <c r="C13" s="106" t="s">
        <v>5093</v>
      </c>
      <c r="D13" s="106" t="s">
        <v>5098</v>
      </c>
      <c r="E13" s="103" t="s">
        <v>5095</v>
      </c>
      <c r="F13" s="104"/>
    </row>
    <row r="14" spans="1:7" ht="15" customHeight="1">
      <c r="A14" s="105">
        <v>10004</v>
      </c>
      <c r="B14" s="106" t="s">
        <v>5092</v>
      </c>
      <c r="C14" s="106" t="s">
        <v>5093</v>
      </c>
      <c r="D14" s="106" t="s">
        <v>5099</v>
      </c>
      <c r="E14" s="103" t="s">
        <v>5095</v>
      </c>
      <c r="F14" s="104"/>
    </row>
    <row r="15" spans="1:7" ht="15" customHeight="1">
      <c r="A15" s="105">
        <v>10005</v>
      </c>
      <c r="B15" s="106" t="s">
        <v>5092</v>
      </c>
      <c r="C15" s="106" t="s">
        <v>5093</v>
      </c>
      <c r="D15" s="106" t="s">
        <v>5100</v>
      </c>
      <c r="E15" s="103" t="s">
        <v>5095</v>
      </c>
      <c r="F15" s="104"/>
    </row>
    <row r="16" spans="1:7" ht="15" customHeight="1">
      <c r="A16" s="107">
        <v>10006</v>
      </c>
      <c r="B16" s="108" t="s">
        <v>5092</v>
      </c>
      <c r="C16" s="108" t="s">
        <v>5093</v>
      </c>
      <c r="D16" s="108" t="s">
        <v>5101</v>
      </c>
      <c r="E16" s="108" t="s">
        <v>5095</v>
      </c>
      <c r="F16" s="109" t="s">
        <v>5102</v>
      </c>
    </row>
    <row r="17" spans="1:6" ht="15" customHeight="1">
      <c r="A17" s="105">
        <v>10007</v>
      </c>
      <c r="B17" s="106" t="s">
        <v>5092</v>
      </c>
      <c r="C17" s="106" t="s">
        <v>5093</v>
      </c>
      <c r="D17" s="106" t="s">
        <v>5103</v>
      </c>
      <c r="E17" s="103" t="s">
        <v>5095</v>
      </c>
      <c r="F17" s="104"/>
    </row>
    <row r="18" spans="1:6" ht="15" customHeight="1">
      <c r="A18" s="105">
        <v>10008</v>
      </c>
      <c r="B18" s="106" t="s">
        <v>5092</v>
      </c>
      <c r="C18" s="106" t="s">
        <v>5093</v>
      </c>
      <c r="D18" s="106" t="s">
        <v>5104</v>
      </c>
      <c r="E18" s="103" t="s">
        <v>5095</v>
      </c>
      <c r="F18" s="104"/>
    </row>
    <row r="19" spans="1:6" ht="15" customHeight="1">
      <c r="A19" s="105">
        <v>10009</v>
      </c>
      <c r="B19" s="106" t="s">
        <v>5092</v>
      </c>
      <c r="C19" s="106" t="s">
        <v>5093</v>
      </c>
      <c r="D19" s="106" t="s">
        <v>5105</v>
      </c>
      <c r="E19" s="103" t="s">
        <v>5095</v>
      </c>
      <c r="F19" s="104"/>
    </row>
    <row r="20" spans="1:6" ht="15" customHeight="1">
      <c r="A20" s="105">
        <v>10010</v>
      </c>
      <c r="B20" s="106" t="s">
        <v>5092</v>
      </c>
      <c r="C20" s="106" t="s">
        <v>5093</v>
      </c>
      <c r="D20" s="106" t="s">
        <v>5106</v>
      </c>
      <c r="E20" s="103" t="s">
        <v>5095</v>
      </c>
      <c r="F20" s="104"/>
    </row>
    <row r="21" spans="1:6" ht="15" customHeight="1">
      <c r="A21" s="105">
        <v>20001</v>
      </c>
      <c r="B21" s="106" t="s">
        <v>5092</v>
      </c>
      <c r="C21" s="106" t="s">
        <v>5093</v>
      </c>
      <c r="D21" s="106" t="s">
        <v>5107</v>
      </c>
      <c r="E21" s="103" t="s">
        <v>5095</v>
      </c>
      <c r="F21" s="104"/>
    </row>
    <row r="22" spans="1:6" ht="15" customHeight="1">
      <c r="A22" s="105">
        <v>20002</v>
      </c>
      <c r="B22" s="106" t="s">
        <v>5092</v>
      </c>
      <c r="C22" s="106" t="s">
        <v>5093</v>
      </c>
      <c r="D22" s="106" t="s">
        <v>5108</v>
      </c>
      <c r="E22" s="103" t="s">
        <v>5095</v>
      </c>
      <c r="F22" s="104"/>
    </row>
    <row r="23" spans="1:6" ht="15" customHeight="1">
      <c r="A23" s="105">
        <v>20003</v>
      </c>
      <c r="B23" s="106" t="s">
        <v>5092</v>
      </c>
      <c r="C23" s="106" t="s">
        <v>5093</v>
      </c>
      <c r="D23" s="106" t="s">
        <v>5109</v>
      </c>
      <c r="E23" s="103" t="s">
        <v>5095</v>
      </c>
      <c r="F23" s="104"/>
    </row>
    <row r="24" spans="1:6" ht="15" customHeight="1">
      <c r="A24" s="105">
        <v>20004</v>
      </c>
      <c r="B24" s="106" t="s">
        <v>5092</v>
      </c>
      <c r="C24" s="106" t="s">
        <v>5093</v>
      </c>
      <c r="D24" s="106" t="s">
        <v>5110</v>
      </c>
      <c r="E24" s="103" t="s">
        <v>5095</v>
      </c>
      <c r="F24" s="104"/>
    </row>
    <row r="25" spans="1:6" ht="15" customHeight="1">
      <c r="A25" s="105">
        <v>20005</v>
      </c>
      <c r="B25" s="106" t="s">
        <v>5092</v>
      </c>
      <c r="C25" s="106" t="s">
        <v>5093</v>
      </c>
      <c r="D25" s="106" t="s">
        <v>5111</v>
      </c>
      <c r="E25" s="103" t="s">
        <v>5095</v>
      </c>
      <c r="F25" s="104"/>
    </row>
    <row r="26" spans="1:6" ht="15" customHeight="1">
      <c r="A26" s="105">
        <v>20006</v>
      </c>
      <c r="B26" s="106" t="s">
        <v>5092</v>
      </c>
      <c r="C26" s="106" t="s">
        <v>5093</v>
      </c>
      <c r="D26" s="106" t="s">
        <v>5112</v>
      </c>
      <c r="E26" s="103" t="s">
        <v>5095</v>
      </c>
      <c r="F26" s="104"/>
    </row>
    <row r="27" spans="1:6" ht="15" customHeight="1">
      <c r="A27" s="105">
        <v>20007</v>
      </c>
      <c r="B27" s="106" t="s">
        <v>5092</v>
      </c>
      <c r="C27" s="106" t="s">
        <v>5093</v>
      </c>
      <c r="D27" s="106" t="s">
        <v>5113</v>
      </c>
      <c r="E27" s="103" t="s">
        <v>5095</v>
      </c>
      <c r="F27" s="104"/>
    </row>
    <row r="28" spans="1:6" ht="15" customHeight="1">
      <c r="A28" s="105">
        <v>20008</v>
      </c>
      <c r="B28" s="106" t="s">
        <v>5092</v>
      </c>
      <c r="C28" s="106" t="s">
        <v>5093</v>
      </c>
      <c r="D28" s="106" t="s">
        <v>5114</v>
      </c>
      <c r="E28" s="103" t="s">
        <v>5095</v>
      </c>
      <c r="F28" s="104"/>
    </row>
    <row r="29" spans="1:6" ht="15" customHeight="1">
      <c r="A29" s="105">
        <v>20009</v>
      </c>
      <c r="B29" s="106" t="s">
        <v>5092</v>
      </c>
      <c r="C29" s="106" t="s">
        <v>5093</v>
      </c>
      <c r="D29" s="106" t="s">
        <v>5115</v>
      </c>
      <c r="E29" s="103" t="s">
        <v>5095</v>
      </c>
      <c r="F29" s="104"/>
    </row>
    <row r="30" spans="1:6" ht="15" customHeight="1">
      <c r="A30" s="105">
        <v>20010</v>
      </c>
      <c r="B30" s="106" t="s">
        <v>5092</v>
      </c>
      <c r="C30" s="106" t="s">
        <v>5093</v>
      </c>
      <c r="D30" s="106" t="s">
        <v>5116</v>
      </c>
      <c r="E30" s="103" t="s">
        <v>5095</v>
      </c>
      <c r="F30" s="104"/>
    </row>
    <row r="31" spans="1:6" ht="15" customHeight="1">
      <c r="A31" s="105">
        <v>20011</v>
      </c>
      <c r="B31" s="106" t="s">
        <v>5092</v>
      </c>
      <c r="C31" s="106" t="s">
        <v>5093</v>
      </c>
      <c r="D31" s="106" t="s">
        <v>5117</v>
      </c>
      <c r="E31" s="103" t="s">
        <v>5095</v>
      </c>
      <c r="F31" s="104"/>
    </row>
    <row r="32" spans="1:6" ht="15" customHeight="1">
      <c r="A32" s="105">
        <v>20012</v>
      </c>
      <c r="B32" s="106" t="s">
        <v>5092</v>
      </c>
      <c r="C32" s="106" t="s">
        <v>5093</v>
      </c>
      <c r="D32" s="106" t="s">
        <v>5118</v>
      </c>
      <c r="E32" s="103" t="s">
        <v>5095</v>
      </c>
      <c r="F32" s="104"/>
    </row>
    <row r="33" spans="1:7" ht="15" customHeight="1">
      <c r="A33" s="102">
        <v>20013</v>
      </c>
      <c r="B33" s="103" t="s">
        <v>5092</v>
      </c>
      <c r="C33" s="103" t="s">
        <v>5093</v>
      </c>
      <c r="D33" s="103" t="s">
        <v>5119</v>
      </c>
      <c r="E33" s="103" t="s">
        <v>5095</v>
      </c>
      <c r="F33" s="104"/>
    </row>
    <row r="34" spans="1:7" ht="15" customHeight="1">
      <c r="A34" s="102">
        <v>20014</v>
      </c>
      <c r="B34" s="103" t="s">
        <v>5092</v>
      </c>
      <c r="C34" s="103" t="s">
        <v>5093</v>
      </c>
      <c r="D34" s="106" t="s">
        <v>5120</v>
      </c>
      <c r="E34" s="103" t="s">
        <v>5095</v>
      </c>
      <c r="F34" s="104"/>
    </row>
    <row r="35" spans="1:7" ht="15" customHeight="1">
      <c r="A35" s="102">
        <v>30001</v>
      </c>
      <c r="B35" s="103" t="s">
        <v>5093</v>
      </c>
      <c r="C35" s="103" t="s">
        <v>5093</v>
      </c>
      <c r="D35" s="110" t="s">
        <v>5121</v>
      </c>
      <c r="E35" s="103" t="s">
        <v>5122</v>
      </c>
      <c r="F35" s="104"/>
    </row>
    <row r="36" spans="1:7" ht="15" customHeight="1">
      <c r="A36" s="102">
        <v>30002</v>
      </c>
      <c r="B36" s="103" t="s">
        <v>5093</v>
      </c>
      <c r="C36" s="103" t="s">
        <v>5093</v>
      </c>
      <c r="D36" s="110" t="s">
        <v>5121</v>
      </c>
      <c r="E36" s="106" t="s">
        <v>5123</v>
      </c>
      <c r="F36" s="104"/>
    </row>
    <row r="37" spans="1:7" ht="15" customHeight="1">
      <c r="A37" s="102">
        <v>30003</v>
      </c>
      <c r="B37" s="103" t="s">
        <v>5093</v>
      </c>
      <c r="C37" s="103" t="s">
        <v>5093</v>
      </c>
      <c r="D37" s="110" t="s">
        <v>5121</v>
      </c>
      <c r="E37" s="106" t="s">
        <v>5124</v>
      </c>
      <c r="F37" s="104"/>
    </row>
    <row r="38" spans="1:7" ht="15" customHeight="1">
      <c r="A38" s="102" t="s">
        <v>5125</v>
      </c>
      <c r="B38" s="103" t="s">
        <v>5093</v>
      </c>
      <c r="C38" s="103" t="s">
        <v>5093</v>
      </c>
      <c r="D38" s="103" t="s">
        <v>5119</v>
      </c>
      <c r="E38" s="103" t="s">
        <v>5122</v>
      </c>
      <c r="F38" s="104"/>
    </row>
    <row r="39" spans="1:7" ht="12.75">
      <c r="A39" s="102" t="s">
        <v>5126</v>
      </c>
      <c r="B39" s="103" t="s">
        <v>5093</v>
      </c>
      <c r="C39" s="103" t="s">
        <v>5093</v>
      </c>
      <c r="D39" s="103" t="s">
        <v>5119</v>
      </c>
      <c r="E39" s="106" t="s">
        <v>5123</v>
      </c>
      <c r="F39" s="104"/>
    </row>
    <row r="40" spans="1:7" ht="12.75">
      <c r="A40" s="102" t="s">
        <v>5127</v>
      </c>
      <c r="B40" s="103" t="s">
        <v>5093</v>
      </c>
      <c r="C40" s="103" t="s">
        <v>5093</v>
      </c>
      <c r="D40" s="103" t="s">
        <v>5119</v>
      </c>
      <c r="E40" s="106" t="s">
        <v>5124</v>
      </c>
      <c r="F40" s="104"/>
    </row>
    <row r="41" spans="1:7" ht="12.75">
      <c r="A41" s="111" t="s">
        <v>5128</v>
      </c>
      <c r="B41" s="110" t="s">
        <v>5092</v>
      </c>
      <c r="C41" s="110" t="s">
        <v>5092</v>
      </c>
      <c r="D41" s="110" t="s">
        <v>5121</v>
      </c>
      <c r="E41" s="110" t="s">
        <v>5095</v>
      </c>
      <c r="F41" s="104"/>
      <c r="G41" s="104"/>
    </row>
  </sheetData>
  <mergeCells count="2">
    <mergeCell ref="A5:D5"/>
    <mergeCell ref="A6:D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N66"/>
  <sheetViews>
    <sheetView workbookViewId="0">
      <pane ySplit="21" topLeftCell="A22" activePane="bottomLeft" state="frozen"/>
      <selection pane="bottomLeft" activeCell="B23" sqref="B23"/>
    </sheetView>
  </sheetViews>
  <sheetFormatPr defaultColWidth="12.5703125" defaultRowHeight="15" customHeight="1"/>
  <cols>
    <col min="1" max="1" width="59.42578125" customWidth="1"/>
    <col min="2" max="2" width="11.42578125" customWidth="1"/>
    <col min="3" max="3" width="9.42578125" customWidth="1"/>
    <col min="4" max="4" width="12.28515625" customWidth="1"/>
    <col min="5" max="5" width="11.42578125" customWidth="1"/>
    <col min="6" max="6" width="20.140625" customWidth="1"/>
    <col min="7" max="7" width="8.5703125" customWidth="1"/>
    <col min="8" max="8" width="14.85546875" customWidth="1"/>
    <col min="9" max="9" width="19.85546875" customWidth="1"/>
    <col min="10" max="10" width="23.140625" customWidth="1"/>
    <col min="11" max="11" width="10" customWidth="1"/>
    <col min="12" max="12" width="10.42578125" customWidth="1"/>
    <col min="13" max="13" width="10.7109375" customWidth="1"/>
    <col min="14" max="14" width="8.42578125" customWidth="1"/>
    <col min="15" max="25" width="7.7109375" customWidth="1"/>
  </cols>
  <sheetData>
    <row r="3" spans="1:14" ht="12.75" customHeight="1">
      <c r="A3" s="271" t="s">
        <v>5129</v>
      </c>
      <c r="B3" s="272"/>
      <c r="C3" s="272"/>
      <c r="D3" s="272"/>
      <c r="E3" s="272"/>
      <c r="F3" s="272"/>
      <c r="G3" s="272"/>
      <c r="H3" s="272"/>
      <c r="I3" s="272"/>
      <c r="J3" s="272"/>
      <c r="K3" s="272"/>
      <c r="L3" s="272"/>
      <c r="M3" s="272"/>
      <c r="N3" s="273"/>
    </row>
    <row r="4" spans="1:14" ht="15" customHeight="1">
      <c r="A4" s="274"/>
      <c r="B4" s="269"/>
      <c r="C4" s="269"/>
      <c r="D4" s="269"/>
      <c r="E4" s="269"/>
      <c r="F4" s="269"/>
      <c r="G4" s="269"/>
      <c r="H4" s="269"/>
      <c r="I4" s="269"/>
      <c r="J4" s="269"/>
      <c r="K4" s="269"/>
      <c r="L4" s="269"/>
      <c r="M4" s="269"/>
      <c r="N4" s="275"/>
    </row>
    <row r="5" spans="1:14" ht="15" customHeight="1">
      <c r="A5" s="274"/>
      <c r="B5" s="269"/>
      <c r="C5" s="269"/>
      <c r="D5" s="269"/>
      <c r="E5" s="269"/>
      <c r="F5" s="269"/>
      <c r="G5" s="269"/>
      <c r="H5" s="269"/>
      <c r="I5" s="269"/>
      <c r="J5" s="269"/>
      <c r="K5" s="269"/>
      <c r="L5" s="269"/>
      <c r="M5" s="269"/>
      <c r="N5" s="275"/>
    </row>
    <row r="6" spans="1:14" ht="15" customHeight="1">
      <c r="A6" s="274"/>
      <c r="B6" s="269"/>
      <c r="C6" s="269"/>
      <c r="D6" s="269"/>
      <c r="E6" s="269"/>
      <c r="F6" s="269"/>
      <c r="G6" s="269"/>
      <c r="H6" s="269"/>
      <c r="I6" s="269"/>
      <c r="J6" s="269"/>
      <c r="K6" s="269"/>
      <c r="L6" s="269"/>
      <c r="M6" s="269"/>
      <c r="N6" s="275"/>
    </row>
    <row r="7" spans="1:14" ht="15" customHeight="1">
      <c r="A7" s="274"/>
      <c r="B7" s="269"/>
      <c r="C7" s="269"/>
      <c r="D7" s="269"/>
      <c r="E7" s="269"/>
      <c r="F7" s="269"/>
      <c r="G7" s="269"/>
      <c r="H7" s="269"/>
      <c r="I7" s="269"/>
      <c r="J7" s="269"/>
      <c r="K7" s="269"/>
      <c r="L7" s="269"/>
      <c r="M7" s="269"/>
      <c r="N7" s="275"/>
    </row>
    <row r="8" spans="1:14" ht="15" customHeight="1">
      <c r="A8" s="274"/>
      <c r="B8" s="269"/>
      <c r="C8" s="269"/>
      <c r="D8" s="269"/>
      <c r="E8" s="269"/>
      <c r="F8" s="269"/>
      <c r="G8" s="269"/>
      <c r="H8" s="269"/>
      <c r="I8" s="269"/>
      <c r="J8" s="269"/>
      <c r="K8" s="269"/>
      <c r="L8" s="269"/>
      <c r="M8" s="269"/>
      <c r="N8" s="275"/>
    </row>
    <row r="9" spans="1:14" ht="15" customHeight="1">
      <c r="A9" s="274"/>
      <c r="B9" s="269"/>
      <c r="C9" s="269"/>
      <c r="D9" s="269"/>
      <c r="E9" s="269"/>
      <c r="F9" s="269"/>
      <c r="G9" s="269"/>
      <c r="H9" s="269"/>
      <c r="I9" s="269"/>
      <c r="J9" s="269"/>
      <c r="K9" s="269"/>
      <c r="L9" s="269"/>
      <c r="M9" s="269"/>
      <c r="N9" s="275"/>
    </row>
    <row r="10" spans="1:14" ht="15" customHeight="1">
      <c r="A10" s="274"/>
      <c r="B10" s="269"/>
      <c r="C10" s="269"/>
      <c r="D10" s="269"/>
      <c r="E10" s="269"/>
      <c r="F10" s="269"/>
      <c r="G10" s="269"/>
      <c r="H10" s="269"/>
      <c r="I10" s="269"/>
      <c r="J10" s="269"/>
      <c r="K10" s="269"/>
      <c r="L10" s="269"/>
      <c r="M10" s="269"/>
      <c r="N10" s="275"/>
    </row>
    <row r="11" spans="1:14" ht="15" customHeight="1">
      <c r="A11" s="274"/>
      <c r="B11" s="269"/>
      <c r="C11" s="269"/>
      <c r="D11" s="269"/>
      <c r="E11" s="269"/>
      <c r="F11" s="269"/>
      <c r="G11" s="269"/>
      <c r="H11" s="269"/>
      <c r="I11" s="269"/>
      <c r="J11" s="269"/>
      <c r="K11" s="269"/>
      <c r="L11" s="269"/>
      <c r="M11" s="269"/>
      <c r="N11" s="275"/>
    </row>
    <row r="12" spans="1:14" ht="15" customHeight="1">
      <c r="A12" s="274"/>
      <c r="B12" s="269"/>
      <c r="C12" s="269"/>
      <c r="D12" s="269"/>
      <c r="E12" s="269"/>
      <c r="F12" s="269"/>
      <c r="G12" s="269"/>
      <c r="H12" s="269"/>
      <c r="I12" s="269"/>
      <c r="J12" s="269"/>
      <c r="K12" s="269"/>
      <c r="L12" s="269"/>
      <c r="M12" s="269"/>
      <c r="N12" s="275"/>
    </row>
    <row r="13" spans="1:14" ht="15" customHeight="1">
      <c r="A13" s="274"/>
      <c r="B13" s="269"/>
      <c r="C13" s="269"/>
      <c r="D13" s="269"/>
      <c r="E13" s="269"/>
      <c r="F13" s="269"/>
      <c r="G13" s="269"/>
      <c r="H13" s="269"/>
      <c r="I13" s="269"/>
      <c r="J13" s="269"/>
      <c r="K13" s="269"/>
      <c r="L13" s="269"/>
      <c r="M13" s="269"/>
      <c r="N13" s="275"/>
    </row>
    <row r="14" spans="1:14" ht="15" customHeight="1">
      <c r="A14" s="274"/>
      <c r="B14" s="269"/>
      <c r="C14" s="269"/>
      <c r="D14" s="269"/>
      <c r="E14" s="269"/>
      <c r="F14" s="269"/>
      <c r="G14" s="269"/>
      <c r="H14" s="269"/>
      <c r="I14" s="269"/>
      <c r="J14" s="269"/>
      <c r="K14" s="269"/>
      <c r="L14" s="269"/>
      <c r="M14" s="269"/>
      <c r="N14" s="275"/>
    </row>
    <row r="15" spans="1:14" ht="15" customHeight="1">
      <c r="A15" s="274"/>
      <c r="B15" s="269"/>
      <c r="C15" s="269"/>
      <c r="D15" s="269"/>
      <c r="E15" s="269"/>
      <c r="F15" s="269"/>
      <c r="G15" s="269"/>
      <c r="H15" s="269"/>
      <c r="I15" s="269"/>
      <c r="J15" s="269"/>
      <c r="K15" s="269"/>
      <c r="L15" s="269"/>
      <c r="M15" s="269"/>
      <c r="N15" s="275"/>
    </row>
    <row r="16" spans="1:14" ht="15" customHeight="1">
      <c r="A16" s="274"/>
      <c r="B16" s="269"/>
      <c r="C16" s="269"/>
      <c r="D16" s="269"/>
      <c r="E16" s="269"/>
      <c r="F16" s="269"/>
      <c r="G16" s="269"/>
      <c r="H16" s="269"/>
      <c r="I16" s="269"/>
      <c r="J16" s="269"/>
      <c r="K16" s="269"/>
      <c r="L16" s="269"/>
      <c r="M16" s="269"/>
      <c r="N16" s="275"/>
    </row>
    <row r="17" spans="1:14" ht="15" customHeight="1">
      <c r="A17" s="274"/>
      <c r="B17" s="269"/>
      <c r="C17" s="269"/>
      <c r="D17" s="269"/>
      <c r="E17" s="269"/>
      <c r="F17" s="269"/>
      <c r="G17" s="269"/>
      <c r="H17" s="269"/>
      <c r="I17" s="269"/>
      <c r="J17" s="269"/>
      <c r="K17" s="269"/>
      <c r="L17" s="269"/>
      <c r="M17" s="269"/>
      <c r="N17" s="275"/>
    </row>
    <row r="18" spans="1:14" ht="15" customHeight="1">
      <c r="A18" s="274"/>
      <c r="B18" s="269"/>
      <c r="C18" s="269"/>
      <c r="D18" s="269"/>
      <c r="E18" s="269"/>
      <c r="F18" s="269"/>
      <c r="G18" s="269"/>
      <c r="H18" s="269"/>
      <c r="I18" s="269"/>
      <c r="J18" s="269"/>
      <c r="K18" s="269"/>
      <c r="L18" s="269"/>
      <c r="M18" s="269"/>
      <c r="N18" s="275"/>
    </row>
    <row r="19" spans="1:14" ht="15" customHeight="1">
      <c r="A19" s="276"/>
      <c r="B19" s="277"/>
      <c r="C19" s="277"/>
      <c r="D19" s="277"/>
      <c r="E19" s="277"/>
      <c r="F19" s="277"/>
      <c r="G19" s="277"/>
      <c r="H19" s="277"/>
      <c r="I19" s="277"/>
      <c r="J19" s="277"/>
      <c r="K19" s="277"/>
      <c r="L19" s="277"/>
      <c r="M19" s="277"/>
      <c r="N19" s="278"/>
    </row>
    <row r="20" spans="1:14" ht="12.75" customHeight="1">
      <c r="A20" s="112"/>
      <c r="B20" s="112"/>
      <c r="C20" s="113"/>
      <c r="D20" s="113"/>
      <c r="E20" s="113"/>
      <c r="F20" s="113"/>
      <c r="G20" s="113"/>
      <c r="H20" s="113"/>
      <c r="I20" s="113"/>
      <c r="J20" s="113"/>
      <c r="K20" s="113"/>
      <c r="L20" s="113"/>
      <c r="M20" s="113"/>
      <c r="N20" s="113"/>
    </row>
    <row r="21" spans="1:14" ht="12.75" customHeight="1">
      <c r="A21" s="114" t="s">
        <v>5130</v>
      </c>
      <c r="B21" s="115" t="s">
        <v>1242</v>
      </c>
      <c r="C21" s="114" t="s">
        <v>1243</v>
      </c>
      <c r="D21" s="114" t="s">
        <v>1245</v>
      </c>
      <c r="E21" s="114" t="s">
        <v>1246</v>
      </c>
      <c r="F21" s="114" t="s">
        <v>1247</v>
      </c>
      <c r="G21" s="114" t="s">
        <v>1248</v>
      </c>
      <c r="H21" s="114" t="s">
        <v>1249</v>
      </c>
      <c r="I21" s="114" t="s">
        <v>1250</v>
      </c>
      <c r="J21" s="114" t="s">
        <v>1251</v>
      </c>
      <c r="K21" s="114" t="s">
        <v>1252</v>
      </c>
      <c r="L21" s="114" t="s">
        <v>1253</v>
      </c>
      <c r="M21" s="114" t="s">
        <v>1255</v>
      </c>
      <c r="N21" s="114" t="s">
        <v>1257</v>
      </c>
    </row>
    <row r="22" spans="1:14" ht="12.75" customHeight="1">
      <c r="A22" s="116" t="s">
        <v>5131</v>
      </c>
      <c r="B22" s="117" t="s">
        <v>5132</v>
      </c>
      <c r="C22" s="116" t="s">
        <v>1679</v>
      </c>
      <c r="D22" s="116" t="s">
        <v>5133</v>
      </c>
      <c r="E22" s="116" t="s">
        <v>5134</v>
      </c>
      <c r="F22" s="116"/>
      <c r="G22" s="116" t="s">
        <v>1422</v>
      </c>
      <c r="H22" s="116" t="s">
        <v>1285</v>
      </c>
      <c r="I22" s="116"/>
      <c r="J22" s="116" t="s">
        <v>5135</v>
      </c>
      <c r="K22" s="116"/>
      <c r="L22" s="116" t="s">
        <v>5136</v>
      </c>
      <c r="M22" s="116" t="s">
        <v>5137</v>
      </c>
      <c r="N22" s="116" t="s">
        <v>5138</v>
      </c>
    </row>
    <row r="23" spans="1:14" ht="12.75" customHeight="1">
      <c r="A23" s="116" t="s">
        <v>5131</v>
      </c>
      <c r="B23" s="117" t="s">
        <v>5139</v>
      </c>
      <c r="C23" s="116" t="s">
        <v>5140</v>
      </c>
      <c r="D23" s="116" t="s">
        <v>5141</v>
      </c>
      <c r="E23" s="116" t="s">
        <v>5142</v>
      </c>
      <c r="F23" s="116" t="s">
        <v>1727</v>
      </c>
      <c r="G23" s="116" t="s">
        <v>1422</v>
      </c>
      <c r="H23" s="116" t="s">
        <v>1285</v>
      </c>
      <c r="I23" s="116" t="s">
        <v>5143</v>
      </c>
      <c r="J23" s="116" t="s">
        <v>5144</v>
      </c>
      <c r="K23" s="116"/>
      <c r="L23" s="116" t="s">
        <v>5136</v>
      </c>
      <c r="M23" s="116" t="s">
        <v>5145</v>
      </c>
      <c r="N23" s="116" t="s">
        <v>5138</v>
      </c>
    </row>
    <row r="24" spans="1:14" ht="12.75" customHeight="1">
      <c r="A24" s="116" t="s">
        <v>5131</v>
      </c>
      <c r="B24" s="117" t="s">
        <v>5146</v>
      </c>
      <c r="C24" s="116" t="s">
        <v>5147</v>
      </c>
      <c r="D24" s="116" t="s">
        <v>5148</v>
      </c>
      <c r="E24" s="116" t="s">
        <v>5149</v>
      </c>
      <c r="F24" s="116" t="s">
        <v>5150</v>
      </c>
      <c r="G24" s="116" t="s">
        <v>1422</v>
      </c>
      <c r="H24" s="116" t="s">
        <v>1285</v>
      </c>
      <c r="I24" s="116" t="s">
        <v>5151</v>
      </c>
      <c r="J24" s="116" t="s">
        <v>5152</v>
      </c>
      <c r="K24" s="116"/>
      <c r="L24" s="116" t="s">
        <v>5136</v>
      </c>
      <c r="M24" s="116" t="s">
        <v>5153</v>
      </c>
      <c r="N24" s="116" t="s">
        <v>5138</v>
      </c>
    </row>
    <row r="25" spans="1:14" ht="12.75" customHeight="1">
      <c r="A25" s="116" t="s">
        <v>5131</v>
      </c>
      <c r="B25" s="117" t="s">
        <v>5154</v>
      </c>
      <c r="C25" s="116" t="s">
        <v>5155</v>
      </c>
      <c r="D25" s="116" t="s">
        <v>5156</v>
      </c>
      <c r="E25" s="116" t="s">
        <v>5157</v>
      </c>
      <c r="F25" s="116" t="s">
        <v>1398</v>
      </c>
      <c r="G25" s="116" t="s">
        <v>1422</v>
      </c>
      <c r="H25" s="116" t="s">
        <v>1285</v>
      </c>
      <c r="I25" s="116" t="s">
        <v>5158</v>
      </c>
      <c r="J25" s="116" t="s">
        <v>5159</v>
      </c>
      <c r="K25" s="116"/>
      <c r="L25" s="116" t="s">
        <v>5136</v>
      </c>
      <c r="M25" s="116" t="s">
        <v>5160</v>
      </c>
      <c r="N25" s="116" t="s">
        <v>5138</v>
      </c>
    </row>
    <row r="26" spans="1:14" ht="12.75" customHeight="1">
      <c r="A26" s="116" t="s">
        <v>5131</v>
      </c>
      <c r="B26" s="117" t="s">
        <v>5161</v>
      </c>
      <c r="C26" s="116" t="s">
        <v>5162</v>
      </c>
      <c r="D26" s="116" t="s">
        <v>3507</v>
      </c>
      <c r="E26" s="116" t="s">
        <v>5163</v>
      </c>
      <c r="F26" s="116" t="s">
        <v>5164</v>
      </c>
      <c r="G26" s="116" t="s">
        <v>1391</v>
      </c>
      <c r="H26" s="116" t="s">
        <v>1263</v>
      </c>
      <c r="I26" s="116" t="s">
        <v>5165</v>
      </c>
      <c r="J26" s="116" t="s">
        <v>5166</v>
      </c>
      <c r="K26" s="116"/>
      <c r="L26" s="116" t="s">
        <v>5136</v>
      </c>
      <c r="M26" s="116" t="s">
        <v>5167</v>
      </c>
      <c r="N26" s="116" t="s">
        <v>5138</v>
      </c>
    </row>
    <row r="27" spans="1:14" ht="12.75" customHeight="1">
      <c r="A27" s="116" t="s">
        <v>5131</v>
      </c>
      <c r="B27" s="117" t="s">
        <v>5168</v>
      </c>
      <c r="C27" s="116" t="s">
        <v>5169</v>
      </c>
      <c r="D27" s="116" t="s">
        <v>5170</v>
      </c>
      <c r="E27" s="116" t="s">
        <v>5171</v>
      </c>
      <c r="F27" s="116" t="s">
        <v>5172</v>
      </c>
      <c r="G27" s="116" t="s">
        <v>1391</v>
      </c>
      <c r="H27" s="116" t="s">
        <v>1263</v>
      </c>
      <c r="I27" s="116" t="s">
        <v>5173</v>
      </c>
      <c r="J27" s="116" t="s">
        <v>5174</v>
      </c>
      <c r="K27" s="116"/>
      <c r="L27" s="116" t="s">
        <v>5136</v>
      </c>
      <c r="M27" s="116" t="s">
        <v>5175</v>
      </c>
      <c r="N27" s="116" t="s">
        <v>5138</v>
      </c>
    </row>
    <row r="28" spans="1:14" ht="12.75" customHeight="1">
      <c r="A28" s="116" t="s">
        <v>5176</v>
      </c>
      <c r="B28" s="117" t="s">
        <v>5177</v>
      </c>
      <c r="C28" s="116" t="s">
        <v>5178</v>
      </c>
      <c r="D28" s="116" t="s">
        <v>5179</v>
      </c>
      <c r="E28" s="116" t="s">
        <v>5180</v>
      </c>
      <c r="F28" s="116"/>
      <c r="G28" s="116" t="s">
        <v>1422</v>
      </c>
      <c r="H28" s="116" t="s">
        <v>1285</v>
      </c>
      <c r="I28" s="116" t="s">
        <v>5181</v>
      </c>
      <c r="J28" s="116" t="s">
        <v>5182</v>
      </c>
      <c r="K28" s="116"/>
      <c r="L28" s="116" t="s">
        <v>5136</v>
      </c>
      <c r="M28" s="116" t="s">
        <v>5183</v>
      </c>
      <c r="N28" s="116" t="s">
        <v>5138</v>
      </c>
    </row>
    <row r="29" spans="1:14" ht="12.75" customHeight="1">
      <c r="A29" s="116" t="s">
        <v>5176</v>
      </c>
      <c r="B29" s="117" t="s">
        <v>5184</v>
      </c>
      <c r="C29" s="116" t="s">
        <v>5185</v>
      </c>
      <c r="D29" s="116" t="s">
        <v>2308</v>
      </c>
      <c r="E29" s="116" t="s">
        <v>5186</v>
      </c>
      <c r="F29" s="116" t="s">
        <v>5187</v>
      </c>
      <c r="G29" s="116" t="s">
        <v>1391</v>
      </c>
      <c r="H29" s="116" t="s">
        <v>1263</v>
      </c>
      <c r="I29" s="116" t="s">
        <v>5188</v>
      </c>
      <c r="J29" s="116" t="s">
        <v>5189</v>
      </c>
      <c r="K29" s="116"/>
      <c r="L29" s="116" t="s">
        <v>5136</v>
      </c>
      <c r="M29" s="116" t="s">
        <v>5190</v>
      </c>
      <c r="N29" s="116" t="s">
        <v>5138</v>
      </c>
    </row>
    <row r="30" spans="1:14" ht="12.75" customHeight="1">
      <c r="A30" s="116" t="s">
        <v>5176</v>
      </c>
      <c r="B30" s="117" t="s">
        <v>5191</v>
      </c>
      <c r="C30" s="116" t="s">
        <v>5192</v>
      </c>
      <c r="D30" s="116" t="s">
        <v>5193</v>
      </c>
      <c r="E30" s="116" t="s">
        <v>1420</v>
      </c>
      <c r="F30" s="116" t="s">
        <v>5194</v>
      </c>
      <c r="G30" s="116" t="s">
        <v>1422</v>
      </c>
      <c r="H30" s="116" t="s">
        <v>1285</v>
      </c>
      <c r="I30" s="116"/>
      <c r="J30" s="116" t="s">
        <v>5195</v>
      </c>
      <c r="K30" s="116"/>
      <c r="L30" s="116" t="s">
        <v>5136</v>
      </c>
      <c r="M30" s="116" t="s">
        <v>5196</v>
      </c>
      <c r="N30" s="116" t="s">
        <v>5138</v>
      </c>
    </row>
    <row r="31" spans="1:14" ht="12.75" customHeight="1">
      <c r="A31" s="116" t="s">
        <v>5176</v>
      </c>
      <c r="B31" s="117" t="s">
        <v>5197</v>
      </c>
      <c r="C31" s="116" t="s">
        <v>5198</v>
      </c>
      <c r="D31" s="116" t="s">
        <v>5199</v>
      </c>
      <c r="E31" s="116" t="s">
        <v>5200</v>
      </c>
      <c r="F31" s="116"/>
      <c r="G31" s="116" t="s">
        <v>1422</v>
      </c>
      <c r="H31" s="116" t="s">
        <v>1285</v>
      </c>
      <c r="I31" s="116"/>
      <c r="J31" s="116" t="s">
        <v>5201</v>
      </c>
      <c r="K31" s="116"/>
      <c r="L31" s="116" t="s">
        <v>5136</v>
      </c>
      <c r="M31" s="116" t="s">
        <v>5202</v>
      </c>
      <c r="N31" s="116" t="s">
        <v>5138</v>
      </c>
    </row>
    <row r="32" spans="1:14" ht="12.75" customHeight="1">
      <c r="A32" s="116" t="s">
        <v>5176</v>
      </c>
      <c r="B32" s="117" t="s">
        <v>5203</v>
      </c>
      <c r="C32" s="116" t="s">
        <v>5204</v>
      </c>
      <c r="D32" s="116" t="s">
        <v>5205</v>
      </c>
      <c r="E32" s="116" t="s">
        <v>1453</v>
      </c>
      <c r="F32" s="116" t="s">
        <v>1280</v>
      </c>
      <c r="G32" s="116" t="s">
        <v>1391</v>
      </c>
      <c r="H32" s="116" t="s">
        <v>1263</v>
      </c>
      <c r="I32" s="116" t="s">
        <v>1735</v>
      </c>
      <c r="J32" s="116" t="s">
        <v>5206</v>
      </c>
      <c r="K32" s="116"/>
      <c r="L32" s="116" t="s">
        <v>5136</v>
      </c>
      <c r="M32" s="116" t="s">
        <v>5207</v>
      </c>
      <c r="N32" s="116" t="s">
        <v>5138</v>
      </c>
    </row>
    <row r="33" spans="1:14" ht="12.75" customHeight="1">
      <c r="A33" s="116" t="s">
        <v>5176</v>
      </c>
      <c r="B33" s="117" t="s">
        <v>5208</v>
      </c>
      <c r="C33" s="116" t="s">
        <v>5209</v>
      </c>
      <c r="D33" s="116" t="s">
        <v>5210</v>
      </c>
      <c r="E33" s="116" t="s">
        <v>5164</v>
      </c>
      <c r="F33" s="116" t="s">
        <v>5211</v>
      </c>
      <c r="G33" s="116" t="s">
        <v>1262</v>
      </c>
      <c r="H33" s="116" t="s">
        <v>1263</v>
      </c>
      <c r="I33" s="116" t="s">
        <v>5212</v>
      </c>
      <c r="J33" s="116" t="s">
        <v>5213</v>
      </c>
      <c r="K33" s="116"/>
      <c r="L33" s="116" t="s">
        <v>5136</v>
      </c>
      <c r="M33" s="116" t="s">
        <v>5214</v>
      </c>
      <c r="N33" s="116" t="s">
        <v>5138</v>
      </c>
    </row>
    <row r="34" spans="1:14" ht="12.75" customHeight="1">
      <c r="A34" s="116" t="s">
        <v>5215</v>
      </c>
      <c r="B34" s="117" t="s">
        <v>5216</v>
      </c>
      <c r="C34" s="116" t="s">
        <v>5217</v>
      </c>
      <c r="D34" s="116" t="s">
        <v>5218</v>
      </c>
      <c r="E34" s="116" t="s">
        <v>5219</v>
      </c>
      <c r="F34" s="116"/>
      <c r="G34" s="116" t="s">
        <v>1391</v>
      </c>
      <c r="H34" s="116" t="s">
        <v>1263</v>
      </c>
      <c r="I34" s="116" t="s">
        <v>5220</v>
      </c>
      <c r="J34" s="116" t="s">
        <v>5221</v>
      </c>
      <c r="K34" s="116"/>
      <c r="L34" s="116" t="s">
        <v>5136</v>
      </c>
      <c r="M34" s="116" t="s">
        <v>5222</v>
      </c>
      <c r="N34" s="116" t="s">
        <v>5138</v>
      </c>
    </row>
    <row r="35" spans="1:14" ht="12.75" customHeight="1">
      <c r="A35" s="116" t="s">
        <v>5215</v>
      </c>
      <c r="B35" s="117" t="s">
        <v>5223</v>
      </c>
      <c r="C35" s="116" t="s">
        <v>5224</v>
      </c>
      <c r="D35" s="116" t="s">
        <v>5225</v>
      </c>
      <c r="E35" s="116" t="s">
        <v>5171</v>
      </c>
      <c r="F35" s="116" t="s">
        <v>5226</v>
      </c>
      <c r="G35" s="116" t="s">
        <v>1314</v>
      </c>
      <c r="H35" s="116" t="s">
        <v>1263</v>
      </c>
      <c r="I35" s="116"/>
      <c r="J35" s="116" t="s">
        <v>5227</v>
      </c>
      <c r="K35" s="116"/>
      <c r="L35" s="116" t="s">
        <v>5136</v>
      </c>
      <c r="M35" s="116" t="s">
        <v>5228</v>
      </c>
      <c r="N35" s="116" t="s">
        <v>5138</v>
      </c>
    </row>
    <row r="36" spans="1:14" ht="12.75" customHeight="1">
      <c r="A36" s="116" t="s">
        <v>5215</v>
      </c>
      <c r="B36" s="117" t="s">
        <v>5229</v>
      </c>
      <c r="C36" s="116" t="s">
        <v>5230</v>
      </c>
      <c r="D36" s="116" t="s">
        <v>5231</v>
      </c>
      <c r="E36" s="116" t="s">
        <v>5232</v>
      </c>
      <c r="F36" s="116"/>
      <c r="G36" s="116" t="s">
        <v>1422</v>
      </c>
      <c r="H36" s="116" t="s">
        <v>1285</v>
      </c>
      <c r="I36" s="116"/>
      <c r="J36" s="116" t="s">
        <v>5233</v>
      </c>
      <c r="K36" s="116"/>
      <c r="L36" s="116" t="s">
        <v>5136</v>
      </c>
      <c r="M36" s="116" t="s">
        <v>5234</v>
      </c>
      <c r="N36" s="116" t="s">
        <v>5138</v>
      </c>
    </row>
    <row r="37" spans="1:14" ht="12.75" customHeight="1">
      <c r="A37" s="116" t="s">
        <v>5215</v>
      </c>
      <c r="B37" s="117" t="s">
        <v>5235</v>
      </c>
      <c r="C37" s="116" t="s">
        <v>5236</v>
      </c>
      <c r="D37" s="116" t="s">
        <v>5237</v>
      </c>
      <c r="E37" s="116" t="s">
        <v>5238</v>
      </c>
      <c r="F37" s="116" t="s">
        <v>1398</v>
      </c>
      <c r="G37" s="116" t="s">
        <v>1422</v>
      </c>
      <c r="H37" s="116" t="s">
        <v>1285</v>
      </c>
      <c r="I37" s="116"/>
      <c r="J37" s="116" t="s">
        <v>5239</v>
      </c>
      <c r="K37" s="116"/>
      <c r="L37" s="116" t="s">
        <v>5136</v>
      </c>
      <c r="M37" s="116" t="s">
        <v>5240</v>
      </c>
      <c r="N37" s="116" t="s">
        <v>5138</v>
      </c>
    </row>
    <row r="38" spans="1:14" ht="12.75" customHeight="1">
      <c r="A38" s="116" t="s">
        <v>5215</v>
      </c>
      <c r="B38" s="117" t="s">
        <v>5241</v>
      </c>
      <c r="C38" s="116" t="s">
        <v>5242</v>
      </c>
      <c r="D38" s="116" t="s">
        <v>5243</v>
      </c>
      <c r="E38" s="116" t="s">
        <v>5244</v>
      </c>
      <c r="F38" s="116"/>
      <c r="G38" s="116" t="s">
        <v>1262</v>
      </c>
      <c r="H38" s="116" t="s">
        <v>1263</v>
      </c>
      <c r="I38" s="116"/>
      <c r="J38" s="116" t="s">
        <v>5245</v>
      </c>
      <c r="K38" s="116"/>
      <c r="L38" s="116" t="s">
        <v>5136</v>
      </c>
      <c r="M38" s="116" t="s">
        <v>5246</v>
      </c>
      <c r="N38" s="116" t="s">
        <v>5138</v>
      </c>
    </row>
    <row r="39" spans="1:14" ht="12.75" customHeight="1">
      <c r="A39" s="116" t="s">
        <v>5215</v>
      </c>
      <c r="B39" s="117" t="s">
        <v>5247</v>
      </c>
      <c r="C39" s="116" t="s">
        <v>5248</v>
      </c>
      <c r="D39" s="116" t="s">
        <v>5249</v>
      </c>
      <c r="E39" s="116" t="s">
        <v>1298</v>
      </c>
      <c r="F39" s="116" t="s">
        <v>5250</v>
      </c>
      <c r="G39" s="116" t="s">
        <v>1391</v>
      </c>
      <c r="H39" s="116" t="s">
        <v>1263</v>
      </c>
      <c r="I39" s="116"/>
      <c r="J39" s="116" t="s">
        <v>5251</v>
      </c>
      <c r="K39" s="116"/>
      <c r="L39" s="116" t="s">
        <v>5136</v>
      </c>
      <c r="M39" s="116" t="s">
        <v>5252</v>
      </c>
      <c r="N39" s="116" t="s">
        <v>5138</v>
      </c>
    </row>
    <row r="40" spans="1:14" ht="12.75" customHeight="1">
      <c r="A40" s="116" t="s">
        <v>5253</v>
      </c>
      <c r="B40" s="117" t="s">
        <v>5254</v>
      </c>
      <c r="C40" s="116" t="s">
        <v>5255</v>
      </c>
      <c r="D40" s="116" t="s">
        <v>5256</v>
      </c>
      <c r="E40" s="116" t="s">
        <v>5257</v>
      </c>
      <c r="F40" s="116" t="s">
        <v>5258</v>
      </c>
      <c r="G40" s="116" t="s">
        <v>1391</v>
      </c>
      <c r="H40" s="116" t="s">
        <v>1263</v>
      </c>
      <c r="I40" s="116" t="s">
        <v>5259</v>
      </c>
      <c r="J40" s="116" t="s">
        <v>5260</v>
      </c>
      <c r="K40" s="116"/>
      <c r="L40" s="116" t="s">
        <v>5136</v>
      </c>
      <c r="M40" s="116" t="s">
        <v>5261</v>
      </c>
      <c r="N40" s="116" t="s">
        <v>5138</v>
      </c>
    </row>
    <row r="41" spans="1:14" ht="12.75" customHeight="1">
      <c r="A41" s="116" t="s">
        <v>5253</v>
      </c>
      <c r="B41" s="117" t="s">
        <v>5262</v>
      </c>
      <c r="C41" s="116" t="s">
        <v>5263</v>
      </c>
      <c r="D41" s="116" t="s">
        <v>5264</v>
      </c>
      <c r="E41" s="116" t="s">
        <v>5265</v>
      </c>
      <c r="F41" s="116"/>
      <c r="G41" s="116" t="s">
        <v>1422</v>
      </c>
      <c r="H41" s="116" t="s">
        <v>1285</v>
      </c>
      <c r="I41" s="116" t="s">
        <v>5266</v>
      </c>
      <c r="J41" s="116" t="s">
        <v>5267</v>
      </c>
      <c r="K41" s="116"/>
      <c r="L41" s="116" t="s">
        <v>5136</v>
      </c>
      <c r="M41" s="116" t="s">
        <v>5268</v>
      </c>
      <c r="N41" s="116" t="s">
        <v>5138</v>
      </c>
    </row>
    <row r="42" spans="1:14" ht="12.75" customHeight="1">
      <c r="A42" s="116" t="s">
        <v>5253</v>
      </c>
      <c r="B42" s="117" t="s">
        <v>5269</v>
      </c>
      <c r="C42" s="116" t="s">
        <v>5270</v>
      </c>
      <c r="D42" s="116" t="s">
        <v>5271</v>
      </c>
      <c r="E42" s="116" t="s">
        <v>1288</v>
      </c>
      <c r="F42" s="116" t="s">
        <v>5272</v>
      </c>
      <c r="G42" s="116" t="s">
        <v>1422</v>
      </c>
      <c r="H42" s="116" t="s">
        <v>1285</v>
      </c>
      <c r="I42" s="116"/>
      <c r="J42" s="116" t="s">
        <v>5273</v>
      </c>
      <c r="K42" s="116"/>
      <c r="L42" s="116" t="s">
        <v>5136</v>
      </c>
      <c r="M42" s="116" t="s">
        <v>5274</v>
      </c>
      <c r="N42" s="116" t="s">
        <v>5138</v>
      </c>
    </row>
    <row r="43" spans="1:14" ht="12.75" customHeight="1">
      <c r="A43" s="116" t="s">
        <v>5253</v>
      </c>
      <c r="B43" s="117" t="s">
        <v>5275</v>
      </c>
      <c r="C43" s="116" t="s">
        <v>5276</v>
      </c>
      <c r="D43" s="116" t="s">
        <v>5277</v>
      </c>
      <c r="E43" s="116" t="s">
        <v>5278</v>
      </c>
      <c r="F43" s="116" t="s">
        <v>5279</v>
      </c>
      <c r="G43" s="116" t="s">
        <v>1422</v>
      </c>
      <c r="H43" s="116" t="s">
        <v>1285</v>
      </c>
      <c r="I43" s="116" t="s">
        <v>5280</v>
      </c>
      <c r="J43" s="116" t="s">
        <v>5281</v>
      </c>
      <c r="K43" s="116"/>
      <c r="L43" s="116" t="s">
        <v>5136</v>
      </c>
      <c r="M43" s="116" t="s">
        <v>5282</v>
      </c>
      <c r="N43" s="116" t="s">
        <v>5138</v>
      </c>
    </row>
    <row r="44" spans="1:14" ht="12.75" customHeight="1">
      <c r="A44" s="116" t="s">
        <v>5253</v>
      </c>
      <c r="B44" s="117" t="s">
        <v>5283</v>
      </c>
      <c r="C44" s="116" t="s">
        <v>5284</v>
      </c>
      <c r="D44" s="116" t="s">
        <v>5285</v>
      </c>
      <c r="E44" s="116" t="s">
        <v>5286</v>
      </c>
      <c r="F44" s="116" t="s">
        <v>5287</v>
      </c>
      <c r="G44" s="116" t="s">
        <v>1262</v>
      </c>
      <c r="H44" s="116" t="s">
        <v>1263</v>
      </c>
      <c r="I44" s="116" t="s">
        <v>5151</v>
      </c>
      <c r="J44" s="116" t="s">
        <v>5288</v>
      </c>
      <c r="K44" s="116"/>
      <c r="L44" s="116" t="s">
        <v>5136</v>
      </c>
      <c r="M44" s="116" t="s">
        <v>5289</v>
      </c>
      <c r="N44" s="116" t="s">
        <v>5138</v>
      </c>
    </row>
    <row r="45" spans="1:14" ht="12.75" customHeight="1">
      <c r="A45" s="116" t="s">
        <v>5253</v>
      </c>
      <c r="B45" s="117" t="s">
        <v>5290</v>
      </c>
      <c r="C45" s="116" t="s">
        <v>5291</v>
      </c>
      <c r="D45" s="116" t="s">
        <v>5292</v>
      </c>
      <c r="E45" s="116" t="s">
        <v>1432</v>
      </c>
      <c r="F45" s="116"/>
      <c r="G45" s="116" t="s">
        <v>1262</v>
      </c>
      <c r="H45" s="116" t="s">
        <v>1263</v>
      </c>
      <c r="I45" s="116" t="s">
        <v>5293</v>
      </c>
      <c r="J45" s="116" t="s">
        <v>5294</v>
      </c>
      <c r="K45" s="116"/>
      <c r="L45" s="116" t="s">
        <v>5136</v>
      </c>
      <c r="M45" s="116" t="s">
        <v>5295</v>
      </c>
      <c r="N45" s="116" t="s">
        <v>5138</v>
      </c>
    </row>
    <row r="46" spans="1:14" ht="12.75" customHeight="1">
      <c r="A46" s="116" t="s">
        <v>5296</v>
      </c>
      <c r="B46" s="117" t="s">
        <v>5297</v>
      </c>
      <c r="C46" s="116" t="s">
        <v>5298</v>
      </c>
      <c r="D46" s="116" t="s">
        <v>5299</v>
      </c>
      <c r="E46" s="116" t="s">
        <v>5300</v>
      </c>
      <c r="F46" s="116" t="s">
        <v>5301</v>
      </c>
      <c r="G46" s="116" t="s">
        <v>1422</v>
      </c>
      <c r="H46" s="116" t="s">
        <v>1285</v>
      </c>
      <c r="I46" s="116"/>
      <c r="J46" s="116" t="s">
        <v>5302</v>
      </c>
      <c r="K46" s="116"/>
      <c r="L46" s="116" t="s">
        <v>5136</v>
      </c>
      <c r="M46" s="116" t="s">
        <v>5303</v>
      </c>
      <c r="N46" s="116" t="s">
        <v>5138</v>
      </c>
    </row>
    <row r="47" spans="1:14" ht="12.75" customHeight="1">
      <c r="A47" s="116" t="s">
        <v>5304</v>
      </c>
      <c r="B47" s="117" t="s">
        <v>5305</v>
      </c>
      <c r="C47" s="116" t="s">
        <v>5306</v>
      </c>
      <c r="D47" s="116" t="s">
        <v>5307</v>
      </c>
      <c r="E47" s="116" t="s">
        <v>5308</v>
      </c>
      <c r="F47" s="116" t="s">
        <v>5309</v>
      </c>
      <c r="G47" s="116" t="s">
        <v>1422</v>
      </c>
      <c r="H47" s="116" t="s">
        <v>1285</v>
      </c>
      <c r="I47" s="116"/>
      <c r="J47" s="116" t="s">
        <v>5310</v>
      </c>
      <c r="K47" s="116"/>
      <c r="L47" s="116" t="s">
        <v>5136</v>
      </c>
      <c r="M47" s="116" t="s">
        <v>5311</v>
      </c>
      <c r="N47" s="116" t="s">
        <v>5138</v>
      </c>
    </row>
    <row r="48" spans="1:14" ht="12.75" customHeight="1">
      <c r="A48" s="116" t="s">
        <v>5312</v>
      </c>
      <c r="B48" s="117" t="s">
        <v>5313</v>
      </c>
      <c r="C48" s="116" t="s">
        <v>5314</v>
      </c>
      <c r="D48" s="116" t="s">
        <v>5315</v>
      </c>
      <c r="E48" s="116" t="s">
        <v>5316</v>
      </c>
      <c r="F48" s="116" t="s">
        <v>5317</v>
      </c>
      <c r="G48" s="116" t="s">
        <v>1422</v>
      </c>
      <c r="H48" s="116" t="s">
        <v>1285</v>
      </c>
      <c r="I48" s="116" t="s">
        <v>5318</v>
      </c>
      <c r="J48" s="116" t="s">
        <v>5319</v>
      </c>
      <c r="K48" s="116"/>
      <c r="L48" s="116" t="s">
        <v>5136</v>
      </c>
      <c r="M48" s="116" t="s">
        <v>5320</v>
      </c>
      <c r="N48" s="116" t="s">
        <v>5138</v>
      </c>
    </row>
    <row r="49" spans="1:14" ht="12.75" customHeight="1">
      <c r="A49" s="116" t="s">
        <v>5321</v>
      </c>
      <c r="B49" s="117" t="s">
        <v>5322</v>
      </c>
      <c r="C49" s="116" t="s">
        <v>5323</v>
      </c>
      <c r="D49" s="116" t="s">
        <v>5324</v>
      </c>
      <c r="E49" s="116" t="s">
        <v>5325</v>
      </c>
      <c r="F49" s="116" t="s">
        <v>1292</v>
      </c>
      <c r="G49" s="116" t="s">
        <v>1422</v>
      </c>
      <c r="H49" s="116" t="s">
        <v>1285</v>
      </c>
      <c r="I49" s="116"/>
      <c r="J49" s="116" t="s">
        <v>5326</v>
      </c>
      <c r="K49" s="116"/>
      <c r="L49" s="116" t="s">
        <v>5136</v>
      </c>
      <c r="M49" s="116" t="s">
        <v>5327</v>
      </c>
      <c r="N49" s="116" t="s">
        <v>5138</v>
      </c>
    </row>
    <row r="50" spans="1:14" ht="12.75" customHeight="1">
      <c r="A50" s="116" t="s">
        <v>5328</v>
      </c>
      <c r="B50" s="117" t="s">
        <v>5329</v>
      </c>
      <c r="C50" s="116" t="s">
        <v>5330</v>
      </c>
      <c r="D50" s="116" t="s">
        <v>5331</v>
      </c>
      <c r="E50" s="116" t="s">
        <v>5332</v>
      </c>
      <c r="F50" s="116" t="s">
        <v>5333</v>
      </c>
      <c r="G50" s="116" t="s">
        <v>1262</v>
      </c>
      <c r="H50" s="116" t="s">
        <v>1263</v>
      </c>
      <c r="I50" s="116" t="s">
        <v>5334</v>
      </c>
      <c r="J50" s="116" t="s">
        <v>5335</v>
      </c>
      <c r="K50" s="116"/>
      <c r="L50" s="116" t="s">
        <v>5136</v>
      </c>
      <c r="M50" s="116" t="s">
        <v>5336</v>
      </c>
      <c r="N50" s="116" t="s">
        <v>5138</v>
      </c>
    </row>
    <row r="51" spans="1:14" ht="12.75" customHeight="1">
      <c r="A51" s="116" t="s">
        <v>5337</v>
      </c>
      <c r="B51" s="117" t="s">
        <v>5338</v>
      </c>
      <c r="C51" s="116" t="s">
        <v>5339</v>
      </c>
      <c r="D51" s="116" t="s">
        <v>4834</v>
      </c>
      <c r="E51" s="116" t="s">
        <v>5340</v>
      </c>
      <c r="F51" s="116"/>
      <c r="G51" s="116" t="s">
        <v>1391</v>
      </c>
      <c r="H51" s="116" t="s">
        <v>1263</v>
      </c>
      <c r="I51" s="116" t="s">
        <v>1735</v>
      </c>
      <c r="J51" s="116" t="s">
        <v>5341</v>
      </c>
      <c r="K51" s="116"/>
      <c r="L51" s="116" t="s">
        <v>5136</v>
      </c>
      <c r="M51" s="116" t="s">
        <v>5342</v>
      </c>
      <c r="N51" s="116" t="s">
        <v>5138</v>
      </c>
    </row>
    <row r="52" spans="1:14" ht="12.75" customHeight="1">
      <c r="A52" s="116" t="s">
        <v>5343</v>
      </c>
      <c r="B52" s="117" t="s">
        <v>5344</v>
      </c>
      <c r="C52" s="116" t="s">
        <v>5345</v>
      </c>
      <c r="D52" s="116" t="s">
        <v>1383</v>
      </c>
      <c r="E52" s="116" t="s">
        <v>5346</v>
      </c>
      <c r="F52" s="116" t="s">
        <v>5347</v>
      </c>
      <c r="G52" s="116" t="s">
        <v>1262</v>
      </c>
      <c r="H52" s="116" t="s">
        <v>1263</v>
      </c>
      <c r="I52" s="116"/>
      <c r="J52" s="116" t="s">
        <v>5348</v>
      </c>
      <c r="K52" s="116"/>
      <c r="L52" s="116" t="s">
        <v>5136</v>
      </c>
      <c r="M52" s="116" t="s">
        <v>5349</v>
      </c>
      <c r="N52" s="116" t="s">
        <v>5138</v>
      </c>
    </row>
    <row r="53" spans="1:14" ht="12.75" customHeight="1">
      <c r="A53" s="116" t="s">
        <v>5350</v>
      </c>
      <c r="B53" s="117" t="s">
        <v>5351</v>
      </c>
      <c r="C53" s="116" t="s">
        <v>5352</v>
      </c>
      <c r="D53" s="116" t="s">
        <v>5353</v>
      </c>
      <c r="E53" s="116" t="s">
        <v>5354</v>
      </c>
      <c r="F53" s="116"/>
      <c r="G53" s="116" t="s">
        <v>1314</v>
      </c>
      <c r="H53" s="116" t="s">
        <v>1263</v>
      </c>
      <c r="I53" s="116"/>
      <c r="J53" s="116" t="s">
        <v>5355</v>
      </c>
      <c r="K53" s="116"/>
      <c r="L53" s="116" t="s">
        <v>5136</v>
      </c>
      <c r="M53" s="116" t="s">
        <v>5356</v>
      </c>
      <c r="N53" s="116" t="s">
        <v>5138</v>
      </c>
    </row>
    <row r="54" spans="1:14" ht="12.75" customHeight="1">
      <c r="A54" s="116" t="s">
        <v>5357</v>
      </c>
      <c r="B54" s="117" t="s">
        <v>5358</v>
      </c>
      <c r="C54" s="116" t="s">
        <v>5359</v>
      </c>
      <c r="D54" s="116" t="s">
        <v>5360</v>
      </c>
      <c r="E54" s="116" t="s">
        <v>5361</v>
      </c>
      <c r="F54" s="116" t="s">
        <v>5362</v>
      </c>
      <c r="G54" s="116" t="s">
        <v>1422</v>
      </c>
      <c r="H54" s="116" t="s">
        <v>1285</v>
      </c>
      <c r="I54" s="116"/>
      <c r="J54" s="116" t="s">
        <v>5363</v>
      </c>
      <c r="K54" s="116"/>
      <c r="L54" s="116" t="s">
        <v>5136</v>
      </c>
      <c r="M54" s="116" t="s">
        <v>5364</v>
      </c>
      <c r="N54" s="116" t="s">
        <v>5138</v>
      </c>
    </row>
    <row r="55" spans="1:14" ht="12.75" customHeight="1">
      <c r="A55" s="116" t="s">
        <v>5365</v>
      </c>
      <c r="B55" s="117" t="s">
        <v>5366</v>
      </c>
      <c r="C55" s="116" t="s">
        <v>5367</v>
      </c>
      <c r="D55" s="116" t="s">
        <v>5368</v>
      </c>
      <c r="E55" s="116" t="s">
        <v>5369</v>
      </c>
      <c r="F55" s="116" t="s">
        <v>1381</v>
      </c>
      <c r="G55" s="116" t="s">
        <v>1422</v>
      </c>
      <c r="H55" s="116" t="s">
        <v>1285</v>
      </c>
      <c r="I55" s="116"/>
      <c r="J55" s="116" t="s">
        <v>5370</v>
      </c>
      <c r="K55" s="116"/>
      <c r="L55" s="116" t="s">
        <v>5136</v>
      </c>
      <c r="M55" s="116" t="s">
        <v>5371</v>
      </c>
      <c r="N55" s="116" t="s">
        <v>5138</v>
      </c>
    </row>
    <row r="56" spans="1:14" ht="12.75" customHeight="1">
      <c r="A56" s="116" t="s">
        <v>5372</v>
      </c>
      <c r="B56" s="117" t="s">
        <v>5373</v>
      </c>
      <c r="C56" s="116" t="s">
        <v>5374</v>
      </c>
      <c r="D56" s="116" t="s">
        <v>3877</v>
      </c>
      <c r="E56" s="116" t="s">
        <v>5375</v>
      </c>
      <c r="F56" s="116" t="s">
        <v>5376</v>
      </c>
      <c r="G56" s="116" t="s">
        <v>1422</v>
      </c>
      <c r="H56" s="116" t="s">
        <v>1285</v>
      </c>
      <c r="I56" s="116"/>
      <c r="J56" s="116" t="s">
        <v>5377</v>
      </c>
      <c r="K56" s="116"/>
      <c r="L56" s="116" t="s">
        <v>5136</v>
      </c>
      <c r="M56" s="116" t="s">
        <v>5378</v>
      </c>
      <c r="N56" s="116" t="s">
        <v>5138</v>
      </c>
    </row>
    <row r="57" spans="1:14" ht="12.75" customHeight="1">
      <c r="A57" s="116" t="s">
        <v>5379</v>
      </c>
      <c r="B57" s="117" t="s">
        <v>5380</v>
      </c>
      <c r="C57" s="116" t="s">
        <v>5381</v>
      </c>
      <c r="D57" s="116" t="s">
        <v>5382</v>
      </c>
      <c r="E57" s="116" t="s">
        <v>5383</v>
      </c>
      <c r="F57" s="116" t="s">
        <v>5384</v>
      </c>
      <c r="G57" s="116" t="s">
        <v>1422</v>
      </c>
      <c r="H57" s="116" t="s">
        <v>1285</v>
      </c>
      <c r="I57" s="116"/>
      <c r="J57" s="116" t="s">
        <v>5385</v>
      </c>
      <c r="K57" s="116"/>
      <c r="L57" s="116" t="s">
        <v>5136</v>
      </c>
      <c r="M57" s="116" t="s">
        <v>5386</v>
      </c>
      <c r="N57" s="116" t="s">
        <v>5138</v>
      </c>
    </row>
    <row r="58" spans="1:14" ht="12.75" customHeight="1">
      <c r="A58" s="116" t="s">
        <v>5387</v>
      </c>
      <c r="B58" s="117" t="s">
        <v>5388</v>
      </c>
      <c r="C58" s="116" t="s">
        <v>5389</v>
      </c>
      <c r="D58" s="116" t="s">
        <v>5390</v>
      </c>
      <c r="E58" s="116" t="s">
        <v>5391</v>
      </c>
      <c r="F58" s="116" t="s">
        <v>5392</v>
      </c>
      <c r="G58" s="116" t="s">
        <v>1391</v>
      </c>
      <c r="H58" s="116" t="s">
        <v>1263</v>
      </c>
      <c r="I58" s="116"/>
      <c r="J58" s="116" t="s">
        <v>5393</v>
      </c>
      <c r="K58" s="116"/>
      <c r="L58" s="116" t="s">
        <v>5136</v>
      </c>
      <c r="M58" s="116" t="s">
        <v>5394</v>
      </c>
      <c r="N58" s="116" t="s">
        <v>5138</v>
      </c>
    </row>
    <row r="59" spans="1:14" ht="12.75" customHeight="1">
      <c r="A59" s="116" t="s">
        <v>5395</v>
      </c>
      <c r="B59" s="117" t="s">
        <v>5396</v>
      </c>
      <c r="C59" s="116" t="s">
        <v>5397</v>
      </c>
      <c r="D59" s="116" t="s">
        <v>5398</v>
      </c>
      <c r="E59" s="116" t="s">
        <v>5399</v>
      </c>
      <c r="F59" s="116"/>
      <c r="G59" s="116" t="s">
        <v>1262</v>
      </c>
      <c r="H59" s="116" t="s">
        <v>1263</v>
      </c>
      <c r="I59" s="116"/>
      <c r="J59" s="116" t="s">
        <v>5400</v>
      </c>
      <c r="K59" s="116"/>
      <c r="L59" s="116" t="s">
        <v>5136</v>
      </c>
      <c r="M59" s="116" t="s">
        <v>5401</v>
      </c>
      <c r="N59" s="116" t="s">
        <v>5138</v>
      </c>
    </row>
    <row r="60" spans="1:14" ht="12.75" customHeight="1">
      <c r="A60" s="116" t="s">
        <v>5402</v>
      </c>
      <c r="B60" s="117" t="s">
        <v>5403</v>
      </c>
      <c r="C60" s="116" t="s">
        <v>5404</v>
      </c>
      <c r="D60" s="116" t="s">
        <v>5405</v>
      </c>
      <c r="E60" s="116" t="s">
        <v>1341</v>
      </c>
      <c r="F60" s="116" t="s">
        <v>1701</v>
      </c>
      <c r="G60" s="116" t="s">
        <v>1314</v>
      </c>
      <c r="H60" s="116" t="s">
        <v>1263</v>
      </c>
      <c r="I60" s="116" t="s">
        <v>5406</v>
      </c>
      <c r="J60" s="116" t="s">
        <v>5407</v>
      </c>
      <c r="K60" s="116"/>
      <c r="L60" s="116" t="s">
        <v>5136</v>
      </c>
      <c r="M60" s="116" t="s">
        <v>5408</v>
      </c>
      <c r="N60" s="116" t="s">
        <v>5138</v>
      </c>
    </row>
    <row r="61" spans="1:14" ht="12.75" customHeight="1">
      <c r="A61" s="116" t="s">
        <v>5409</v>
      </c>
      <c r="B61" s="117" t="s">
        <v>5410</v>
      </c>
      <c r="C61" s="116" t="s">
        <v>5411</v>
      </c>
      <c r="D61" s="116" t="s">
        <v>5412</v>
      </c>
      <c r="E61" s="116" t="s">
        <v>1516</v>
      </c>
      <c r="F61" s="116" t="s">
        <v>5413</v>
      </c>
      <c r="G61" s="116" t="s">
        <v>1262</v>
      </c>
      <c r="H61" s="116" t="s">
        <v>1263</v>
      </c>
      <c r="I61" s="116"/>
      <c r="J61" s="116" t="s">
        <v>5414</v>
      </c>
      <c r="K61" s="116"/>
      <c r="L61" s="116" t="s">
        <v>5136</v>
      </c>
      <c r="M61" s="116" t="s">
        <v>5415</v>
      </c>
      <c r="N61" s="116" t="s">
        <v>5138</v>
      </c>
    </row>
    <row r="62" spans="1:14" ht="12.75" customHeight="1">
      <c r="A62" s="116" t="s">
        <v>5416</v>
      </c>
      <c r="B62" s="117" t="s">
        <v>5417</v>
      </c>
      <c r="C62" s="116" t="s">
        <v>5418</v>
      </c>
      <c r="D62" s="116" t="s">
        <v>5419</v>
      </c>
      <c r="E62" s="116" t="s">
        <v>5420</v>
      </c>
      <c r="F62" s="116" t="s">
        <v>5421</v>
      </c>
      <c r="G62" s="116" t="s">
        <v>1422</v>
      </c>
      <c r="H62" s="116" t="s">
        <v>1285</v>
      </c>
      <c r="I62" s="116" t="s">
        <v>5422</v>
      </c>
      <c r="J62" s="116" t="s">
        <v>5423</v>
      </c>
      <c r="K62" s="116"/>
      <c r="L62" s="116" t="s">
        <v>5136</v>
      </c>
      <c r="M62" s="116" t="s">
        <v>5424</v>
      </c>
      <c r="N62" s="116" t="s">
        <v>5138</v>
      </c>
    </row>
    <row r="63" spans="1:14" ht="12.75" customHeight="1">
      <c r="A63" s="116" t="s">
        <v>5425</v>
      </c>
      <c r="B63" s="116" t="s">
        <v>5426</v>
      </c>
      <c r="C63" s="116" t="s">
        <v>5427</v>
      </c>
      <c r="D63" s="116" t="s">
        <v>5428</v>
      </c>
      <c r="E63" s="116" t="s">
        <v>1364</v>
      </c>
      <c r="F63" s="116" t="s">
        <v>1654</v>
      </c>
      <c r="G63" s="116" t="s">
        <v>1422</v>
      </c>
      <c r="H63" s="116" t="s">
        <v>1285</v>
      </c>
      <c r="I63" s="116" t="s">
        <v>5429</v>
      </c>
      <c r="J63" s="116" t="s">
        <v>5430</v>
      </c>
      <c r="K63" s="116"/>
      <c r="L63" s="116" t="s">
        <v>5136</v>
      </c>
      <c r="M63" s="116" t="s">
        <v>5431</v>
      </c>
      <c r="N63" s="116" t="s">
        <v>5138</v>
      </c>
    </row>
    <row r="64" spans="1:14" ht="12.75" customHeight="1">
      <c r="A64" s="116" t="s">
        <v>5432</v>
      </c>
      <c r="B64" s="117" t="s">
        <v>5433</v>
      </c>
      <c r="C64" s="116" t="s">
        <v>5434</v>
      </c>
      <c r="D64" s="116" t="s">
        <v>5435</v>
      </c>
      <c r="E64" s="116" t="s">
        <v>5436</v>
      </c>
      <c r="F64" s="116"/>
      <c r="G64" s="116" t="s">
        <v>1422</v>
      </c>
      <c r="H64" s="116" t="s">
        <v>1285</v>
      </c>
      <c r="I64" s="116" t="s">
        <v>5437</v>
      </c>
      <c r="J64" s="116" t="s">
        <v>5438</v>
      </c>
      <c r="K64" s="116"/>
      <c r="L64" s="116" t="s">
        <v>5136</v>
      </c>
      <c r="M64" s="116" t="s">
        <v>5439</v>
      </c>
      <c r="N64" s="116" t="s">
        <v>5138</v>
      </c>
    </row>
    <row r="65" spans="1:14" ht="12.75" customHeight="1">
      <c r="A65" s="116" t="s">
        <v>5440</v>
      </c>
      <c r="B65" s="117" t="s">
        <v>5441</v>
      </c>
      <c r="C65" s="116" t="s">
        <v>5442</v>
      </c>
      <c r="D65" s="116" t="s">
        <v>5443</v>
      </c>
      <c r="E65" s="116" t="s">
        <v>1459</v>
      </c>
      <c r="F65" s="116"/>
      <c r="G65" s="116" t="s">
        <v>1391</v>
      </c>
      <c r="H65" s="116" t="s">
        <v>1263</v>
      </c>
      <c r="I65" s="116"/>
      <c r="J65" s="116" t="s">
        <v>5444</v>
      </c>
      <c r="K65" s="116"/>
      <c r="L65" s="116" t="s">
        <v>5136</v>
      </c>
      <c r="M65" s="116" t="s">
        <v>5445</v>
      </c>
      <c r="N65" s="116" t="s">
        <v>5138</v>
      </c>
    </row>
    <row r="66" spans="1:14" ht="12.75" customHeight="1">
      <c r="A66" s="116" t="s">
        <v>5446</v>
      </c>
      <c r="B66" s="117" t="s">
        <v>5447</v>
      </c>
      <c r="C66" s="116" t="s">
        <v>5448</v>
      </c>
      <c r="D66" s="116" t="s">
        <v>5449</v>
      </c>
      <c r="E66" s="116" t="s">
        <v>5450</v>
      </c>
      <c r="F66" s="116" t="s">
        <v>1743</v>
      </c>
      <c r="G66" s="116" t="s">
        <v>1262</v>
      </c>
      <c r="H66" s="116" t="s">
        <v>1263</v>
      </c>
      <c r="I66" s="116" t="s">
        <v>5451</v>
      </c>
      <c r="J66" s="116" t="s">
        <v>5452</v>
      </c>
      <c r="K66" s="116"/>
      <c r="L66" s="116" t="s">
        <v>5136</v>
      </c>
      <c r="M66" s="116" t="s">
        <v>5453</v>
      </c>
      <c r="N66" s="116" t="s">
        <v>5138</v>
      </c>
    </row>
  </sheetData>
  <autoFilter ref="A21:N21" xr:uid="{00000000-0009-0000-0000-000015000000}"/>
  <mergeCells count="1">
    <mergeCell ref="A3:N19"/>
  </mergeCells>
  <pageMargins left="0.7" right="0.7" top="0.75" bottom="0.75" header="0" footer="0"/>
  <pageSetup paperSize="9"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BD5B71-41BD-40E4-A1B9-C35C42DA39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Test Plan</vt:lpstr>
      <vt:lpstr>Stats</vt:lpstr>
      <vt:lpstr>General Checks</vt:lpstr>
      <vt:lpstr>Login and User Profile</vt:lpstr>
      <vt:lpstr>VWR Specifics</vt:lpstr>
      <vt:lpstr>VWR White Labeling</vt:lpstr>
      <vt:lpstr>Audit Log Viewer</vt:lpstr>
      <vt:lpstr>Prescribing</vt:lpstr>
      <vt:lpstr>CIS2</vt:lpstr>
      <vt:lpstr>ECDS</vt:lpstr>
      <vt:lpstr>CPIS</vt:lpstr>
      <vt:lpstr>ITK3</vt:lpstr>
      <vt:lpstr>GPC-SD</vt:lpstr>
      <vt:lpstr>BaRS</vt:lpstr>
      <vt:lpstr>APPENDIX A - prescription-order</vt:lpstr>
      <vt:lpstr>APPENDIX B - prescription-order</vt:lpstr>
      <vt:lpstr>Appendix C CPIS patients</vt:lpstr>
      <vt:lpstr>Appendix - GPConnect HTML Patie</vt:lpstr>
      <vt:lpstr>Appendix - Test patients</vt:lpstr>
      <vt:lpstr>GPC Send Document Test Scenario</vt:lpstr>
      <vt:lpstr>ITK3 Test Harness Trigger Scena</vt:lpstr>
      <vt:lpstr>ITK3 INT NHS Trigger Values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Ling</dc:creator>
  <cp:lastModifiedBy>Jason Ling</cp:lastModifiedBy>
  <dcterms:created xsi:type="dcterms:W3CDTF">2025-08-07T09:33:25Z</dcterms:created>
  <dcterms:modified xsi:type="dcterms:W3CDTF">2026-06-02T13:29:25Z</dcterms:modified>
</cp:coreProperties>
</file>